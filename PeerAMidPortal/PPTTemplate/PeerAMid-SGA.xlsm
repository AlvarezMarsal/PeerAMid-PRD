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drawings/drawing6.xml" ContentType="application/vnd.openxmlformats-officedocument.drawingml.chartshap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7.xml" ContentType="application/vnd.openxmlformats-officedocument.drawingml.chartshap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PeerAMid\PeerAMid-LOCAL\PeerAMidPortal\PPTTemplate\"/>
    </mc:Choice>
  </mc:AlternateContent>
  <xr:revisionPtr revIDLastSave="0" documentId="13_ncr:1_{F381B4C9-B0EE-46EE-A102-B201F8DCE0CB}" xr6:coauthVersionLast="47" xr6:coauthVersionMax="47" xr10:uidLastSave="{00000000-0000-0000-0000-000000000000}"/>
  <bookViews>
    <workbookView xWindow="780" yWindow="780" windowWidth="21600" windowHeight="12645" activeTab="1" xr2:uid="{00000000-000D-0000-FFFF-FFFF00000000}"/>
  </bookViews>
  <sheets>
    <sheet name="Charts" sheetId="1" r:id="rId1"/>
    <sheet name="Charts Data" sheetId="2" r:id="rId2"/>
    <sheet name="Export PPT" sheetId="3" r:id="rId3"/>
    <sheet name="Temp" sheetId="4" state="hidden" r:id="rId4"/>
  </sheets>
  <functionGroups builtInGroupCount="19"/>
  <definedNames>
    <definedName name="AnalysisPeriod">'Charts Data'!$Z$1</definedName>
    <definedName name="CName">'Charts Data'!$D$2</definedName>
    <definedName name="EBITDA_Percentile">'Charts Data'!$O$1</definedName>
    <definedName name="eStart">'Export PPT'!$B$4</definedName>
    <definedName name="FileName">'Charts Data'!$BD$4</definedName>
    <definedName name="FolderName">'Charts Data'!$BC$4</definedName>
    <definedName name="FullCompanyName">'Charts Data'!$BJ$4</definedName>
    <definedName name="Industry">'Charts Data'!$AK$2</definedName>
    <definedName name="IndustryGroup">'Charts Data'!$BJ$2</definedName>
    <definedName name="ReportName">'Charts Data'!$BJ$5</definedName>
    <definedName name="Revenue">'Charts Data'!$X$1</definedName>
    <definedName name="Score_Chart">'Charts Data'!$M$2</definedName>
    <definedName name="SectorSeries">'Charts Data'!$AP$3</definedName>
    <definedName name="SGA_Chart">'Charts Data'!$A$2</definedName>
    <definedName name="SGA_Percentile">'Charts Data'!$N$1</definedName>
    <definedName name="SGAIndustryGroupProfileMessage">'Charts Data'!$BG$9</definedName>
    <definedName name="SGATopQ">'Export PPT'!$N$18</definedName>
    <definedName name="SubIndustryGroup">'Charts Data'!$BJ$3</definedName>
    <definedName name="SubIndustryGroupName">'Charts Data'!$BJ$6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G10" i="2" l="1"/>
  <c r="BG4" i="2"/>
  <c r="AT1" i="2"/>
  <c r="G21" i="3" l="1"/>
  <c r="G29" i="3" l="1"/>
  <c r="O2" i="4" l="1"/>
  <c r="N2" i="4"/>
  <c r="M2" i="4"/>
  <c r="L2" i="4"/>
  <c r="K2" i="4"/>
  <c r="L4" i="4"/>
  <c r="K4" i="4"/>
  <c r="O3" i="4"/>
  <c r="N3" i="4"/>
  <c r="M3" i="4"/>
  <c r="L3" i="4"/>
  <c r="K3" i="4"/>
  <c r="O1" i="4"/>
  <c r="N1" i="4"/>
  <c r="M1" i="4"/>
  <c r="L1" i="4"/>
  <c r="K1" i="4"/>
  <c r="G13" i="3" l="1"/>
  <c r="AW1" i="2" l="1"/>
  <c r="G34" i="3" l="1"/>
  <c r="G30" i="3"/>
  <c r="G26" i="3"/>
  <c r="G22" i="3"/>
  <c r="O18" i="3"/>
  <c r="G18" i="3"/>
  <c r="U17" i="3"/>
  <c r="T17" i="3"/>
  <c r="S17" i="3"/>
  <c r="R17" i="3"/>
  <c r="Q17" i="3"/>
  <c r="P17" i="3"/>
  <c r="C3" i="3"/>
  <c r="D3" i="3" s="1"/>
  <c r="E3" i="3" s="1"/>
  <c r="F3" i="3" s="1"/>
  <c r="G3" i="3" s="1"/>
  <c r="H3" i="3" s="1"/>
  <c r="I3" i="3" s="1"/>
  <c r="J3" i="3" s="1"/>
  <c r="K3" i="3" s="1"/>
  <c r="L3" i="3" s="1"/>
  <c r="AN28" i="2"/>
  <c r="AM28" i="2"/>
  <c r="AL28" i="2"/>
  <c r="AN27" i="2"/>
  <c r="AM27" i="2"/>
  <c r="AL27" i="2"/>
  <c r="AN26" i="2"/>
  <c r="AM26" i="2"/>
  <c r="AL26" i="2"/>
  <c r="AN25" i="2"/>
  <c r="AM25" i="2"/>
  <c r="AL25" i="2"/>
  <c r="AN24" i="2"/>
  <c r="AM24" i="2"/>
  <c r="AL24" i="2"/>
  <c r="AN23" i="2"/>
  <c r="AM23" i="2"/>
  <c r="AL23" i="2"/>
  <c r="AN22" i="2"/>
  <c r="AM22" i="2"/>
  <c r="AL22" i="2"/>
  <c r="AN21" i="2"/>
  <c r="AM21" i="2"/>
  <c r="AL21" i="2"/>
  <c r="AN20" i="2"/>
  <c r="AM20" i="2"/>
  <c r="AL20" i="2"/>
  <c r="AN19" i="2"/>
  <c r="AM19" i="2"/>
  <c r="AL19" i="2"/>
  <c r="AN18" i="2"/>
  <c r="AM18" i="2"/>
  <c r="AL18" i="2"/>
  <c r="AN17" i="2"/>
  <c r="AM17" i="2"/>
  <c r="AL17" i="2"/>
  <c r="AN16" i="2"/>
  <c r="AM16" i="2"/>
  <c r="AL16" i="2"/>
  <c r="AN15" i="2"/>
  <c r="AM15" i="2"/>
  <c r="AL15" i="2"/>
  <c r="AN14" i="2"/>
  <c r="AM14" i="2"/>
  <c r="AL14" i="2"/>
  <c r="AN13" i="2"/>
  <c r="AM13" i="2"/>
  <c r="AL13" i="2"/>
  <c r="AN12" i="2"/>
  <c r="AM12" i="2"/>
  <c r="AL12" i="2"/>
  <c r="AN11" i="2"/>
  <c r="AM11" i="2"/>
  <c r="AL11" i="2"/>
  <c r="BO10" i="2"/>
  <c r="AN10" i="2"/>
  <c r="AM10" i="2"/>
  <c r="AL10" i="2"/>
  <c r="AA10" i="2"/>
  <c r="Z10" i="2"/>
  <c r="BO9" i="2"/>
  <c r="AN9" i="2"/>
  <c r="AM9" i="2"/>
  <c r="AL9" i="2"/>
  <c r="AA9" i="2"/>
  <c r="Z9" i="2"/>
  <c r="BO8" i="2"/>
  <c r="AN8" i="2"/>
  <c r="AM8" i="2"/>
  <c r="AL8" i="2"/>
  <c r="AA8" i="2"/>
  <c r="Z8" i="2"/>
  <c r="BO7" i="2"/>
  <c r="AN7" i="2"/>
  <c r="AM7" i="2"/>
  <c r="AL7" i="2"/>
  <c r="AA7" i="2"/>
  <c r="Z7" i="2"/>
  <c r="BO6" i="2"/>
  <c r="AN6" i="2"/>
  <c r="AM6" i="2"/>
  <c r="AL6" i="2"/>
  <c r="AA6" i="2"/>
  <c r="Z6" i="2"/>
  <c r="BO5" i="2"/>
  <c r="AN5" i="2"/>
  <c r="AM5" i="2"/>
  <c r="AL5" i="2"/>
  <c r="AA5" i="2"/>
  <c r="Z5" i="2"/>
  <c r="BO4" i="2"/>
  <c r="AN4" i="2"/>
  <c r="AM4" i="2"/>
  <c r="AL4" i="2"/>
  <c r="AA4" i="2"/>
  <c r="Z4" i="2"/>
  <c r="J4" i="2"/>
  <c r="I4" i="2"/>
  <c r="G4" i="2"/>
  <c r="F4" i="2"/>
  <c r="E4" i="2"/>
  <c r="D4" i="2"/>
  <c r="BO3" i="2"/>
  <c r="AZ3" i="2"/>
  <c r="AA3" i="2"/>
  <c r="Z3" i="2"/>
  <c r="S2" i="2"/>
  <c r="O1" i="2"/>
  <c r="N1" i="2"/>
  <c r="L1" i="2"/>
  <c r="J1" i="2"/>
  <c r="A181" i="1"/>
  <c r="AC5" i="2" l="1"/>
  <c r="Q18" i="3"/>
  <c r="M20" i="3" s="1"/>
  <c r="AD4" i="2"/>
  <c r="AC10" i="2"/>
  <c r="BR9" i="2"/>
  <c r="AD5" i="2"/>
  <c r="AH10" i="2"/>
  <c r="AD6" i="2"/>
  <c r="BS4" i="2"/>
  <c r="BR3" i="2"/>
  <c r="BS6" i="2"/>
  <c r="BS7" i="2"/>
  <c r="BS8" i="2"/>
  <c r="BS9" i="2"/>
  <c r="BS10" i="2"/>
  <c r="BS3" i="2"/>
  <c r="BS5" i="2"/>
  <c r="AH3" i="2"/>
  <c r="AG4" i="2"/>
  <c r="AH5" i="2"/>
  <c r="BR7" i="2"/>
  <c r="AG8" i="2"/>
  <c r="AC9" i="2"/>
  <c r="AH9" i="2"/>
  <c r="AD10" i="2"/>
  <c r="AC3" i="2"/>
  <c r="AC4" i="2"/>
  <c r="AH4" i="2"/>
  <c r="BR6" i="2"/>
  <c r="AG7" i="2"/>
  <c r="AC8" i="2"/>
  <c r="AH8" i="2"/>
  <c r="AD9" i="2"/>
  <c r="BR10" i="2"/>
  <c r="AD3" i="2"/>
  <c r="BR5" i="2"/>
  <c r="AG6" i="2"/>
  <c r="AC7" i="2"/>
  <c r="AH7" i="2"/>
  <c r="AD8" i="2"/>
  <c r="AG10" i="2"/>
  <c r="AG3" i="2"/>
  <c r="BR4" i="2"/>
  <c r="AG5" i="2"/>
  <c r="AC6" i="2"/>
  <c r="AH6" i="2"/>
  <c r="AD7" i="2"/>
  <c r="BR8" i="2"/>
  <c r="AG9" i="2"/>
  <c r="BS11" i="2" l="1"/>
  <c r="BT4" i="2"/>
  <c r="BT5" i="2" s="1"/>
  <c r="BT6" i="2" s="1"/>
  <c r="BT7" i="2" s="1"/>
  <c r="BT8" i="2" s="1"/>
  <c r="BT9" i="2" s="1"/>
  <c r="BT10" i="2" s="1"/>
  <c r="AE4" i="2"/>
  <c r="AE5" i="2" s="1"/>
  <c r="AE6" i="2" s="1"/>
  <c r="AE7" i="2" s="1"/>
  <c r="AE8" i="2" s="1"/>
  <c r="AE9" i="2" s="1"/>
  <c r="AE10" i="2" s="1"/>
  <c r="AD11" i="2"/>
  <c r="AI4" i="2"/>
  <c r="AI5" i="2" s="1"/>
  <c r="AI6" i="2" s="1"/>
  <c r="AI7" i="2" s="1"/>
  <c r="AI8" i="2" s="1"/>
  <c r="AI9" i="2" s="1"/>
  <c r="AI10" i="2" s="1"/>
  <c r="AH1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Ajit Garga</author>
  </authors>
  <commentList>
    <comment ref="X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Ajit Garga:</t>
        </r>
        <r>
          <rPr>
            <sz val="9"/>
            <color indexed="81"/>
            <rFont val="Tahoma"/>
            <family val="2"/>
          </rPr>
          <t xml:space="preserve">
Revenue for the Analysis period</t>
        </r>
      </text>
    </comment>
  </commentList>
</comments>
</file>

<file path=xl/sharedStrings.xml><?xml version="1.0" encoding="utf-8"?>
<sst xmlns="http://schemas.openxmlformats.org/spreadsheetml/2006/main" count="291" uniqueCount="206">
  <si>
    <t>Top Q</t>
  </si>
  <si>
    <t>Median</t>
  </si>
  <si>
    <t>Bottom Q</t>
  </si>
  <si>
    <t>Top Decile</t>
  </si>
  <si>
    <t>Bottom Decile</t>
  </si>
  <si>
    <t>Company</t>
  </si>
  <si>
    <t>SG&amp;A Cost as a % of Revenue</t>
  </si>
  <si>
    <t>For Line</t>
  </si>
  <si>
    <t>For Bars</t>
  </si>
  <si>
    <t>Target Company</t>
  </si>
  <si>
    <t>Short Name</t>
  </si>
  <si>
    <t>SG&amp;A CAGR - Percentile</t>
  </si>
  <si>
    <t>EBITDA CAGR - Percentile</t>
  </si>
  <si>
    <t>Finance cost as a % of Revenue</t>
  </si>
  <si>
    <t>HR cost as a % of Revenue</t>
  </si>
  <si>
    <t>IT cost as a % of Revenue</t>
  </si>
  <si>
    <t>Mktg. Cost as a % of Revenue</t>
  </si>
  <si>
    <t>Procurement Cost as a % of Revenue</t>
  </si>
  <si>
    <t>Sales Cost as a % of Revenue</t>
  </si>
  <si>
    <t>Customer Services Cost as a % of Revenue</t>
  </si>
  <si>
    <t>CS Support Services Cost as a % of Revenue</t>
  </si>
  <si>
    <t>SG&amp;A Function Cost as a % of Revenue</t>
  </si>
  <si>
    <t>Top Quartile</t>
  </si>
  <si>
    <t>Finance FTEs per BN of Revenue</t>
  </si>
  <si>
    <t>HR FTEs per BN of Revenue</t>
  </si>
  <si>
    <t>IT FTEs per BN of Revenue</t>
  </si>
  <si>
    <t>Mktg FTEs per BN of Revenue</t>
  </si>
  <si>
    <t>Procurement FTEs per BN of Revenue</t>
  </si>
  <si>
    <t>Sales FTEs per Bn of Revenue</t>
  </si>
  <si>
    <t>Customer Services FTEs per BN of Revenue</t>
  </si>
  <si>
    <t>CS Support Services FTEs per BN of Revenue</t>
  </si>
  <si>
    <t>SG&amp;A FTEs per BN Revenue</t>
  </si>
  <si>
    <t>Opportunity Savings</t>
  </si>
  <si>
    <t>FY Revenue:</t>
  </si>
  <si>
    <t>Finance</t>
  </si>
  <si>
    <t>HR</t>
  </si>
  <si>
    <t>IT</t>
  </si>
  <si>
    <t>Marketing</t>
  </si>
  <si>
    <t>Procurement</t>
  </si>
  <si>
    <t>Sales</t>
  </si>
  <si>
    <t>CS Support Services</t>
  </si>
  <si>
    <t>Median Rank</t>
  </si>
  <si>
    <t>Top Q Rank</t>
  </si>
  <si>
    <t>SG&amp;A</t>
  </si>
  <si>
    <t>For Median</t>
  </si>
  <si>
    <t>For Top Q</t>
  </si>
  <si>
    <t>Banks</t>
  </si>
  <si>
    <t>Household and Personal Products</t>
  </si>
  <si>
    <t>Software and Services</t>
  </si>
  <si>
    <t>Diversified Financials</t>
  </si>
  <si>
    <t>Telecommunication Services</t>
  </si>
  <si>
    <t>Retailing</t>
  </si>
  <si>
    <t>Healthcare Equipment and Services</t>
  </si>
  <si>
    <t>Consumer Durables and Apparel</t>
  </si>
  <si>
    <t>Media</t>
  </si>
  <si>
    <t>Food and Staples Retailing</t>
  </si>
  <si>
    <t>Technology Hardware and Equipment</t>
  </si>
  <si>
    <t>Commercial and Professional Services</t>
  </si>
  <si>
    <t>Food, Beverage and Tobacco</t>
  </si>
  <si>
    <t>Insurance</t>
  </si>
  <si>
    <t>Capital Goods</t>
  </si>
  <si>
    <t>Materials</t>
  </si>
  <si>
    <t>Automobiles and Components</t>
  </si>
  <si>
    <t>Energy</t>
  </si>
  <si>
    <t>Real Estate</t>
  </si>
  <si>
    <t>Transportation</t>
  </si>
  <si>
    <t>Utilities</t>
  </si>
  <si>
    <t>Cross Industry</t>
  </si>
  <si>
    <t>Consumer Services</t>
  </si>
  <si>
    <t>Pharma, Biotech and Life Sciences</t>
  </si>
  <si>
    <t>Semiconductors and Semi. Equipment</t>
  </si>
  <si>
    <t>Industry</t>
  </si>
  <si>
    <t>Series</t>
  </si>
  <si>
    <t>Do Not Delete this sheet. This is used for exporting function.</t>
  </si>
  <si>
    <t>Slide #</t>
  </si>
  <si>
    <t>Export</t>
  </si>
  <si>
    <t>Source</t>
  </si>
  <si>
    <t>Worksheet Name/ Slide Num</t>
  </si>
  <si>
    <t>Object</t>
  </si>
  <si>
    <t>Name</t>
  </si>
  <si>
    <t>Left</t>
  </si>
  <si>
    <t>Top</t>
  </si>
  <si>
    <t>Width</t>
  </si>
  <si>
    <t>Height</t>
  </si>
  <si>
    <t>Slide 1</t>
  </si>
  <si>
    <t>PPT</t>
  </si>
  <si>
    <t>Excel</t>
  </si>
  <si>
    <t>RoadMap</t>
  </si>
  <si>
    <t>SlideTitle</t>
  </si>
  <si>
    <t>Picture</t>
  </si>
  <si>
    <t>Slide 9</t>
  </si>
  <si>
    <t>Exit</t>
  </si>
  <si>
    <t>Charts</t>
  </si>
  <si>
    <t>Group_SGA</t>
  </si>
  <si>
    <t>Group_Score</t>
  </si>
  <si>
    <t>Decomposed Functional Costs and FTEs per Billion of Revenue - Peer Group Comparison*</t>
  </si>
  <si>
    <t>Group_SGA_Functions</t>
  </si>
  <si>
    <t>Group_Opportunity</t>
  </si>
  <si>
    <t>Chart_C6</t>
  </si>
  <si>
    <t>Analysis FY:</t>
  </si>
  <si>
    <t>Peer Group Demographics</t>
  </si>
  <si>
    <t>Demographics: Beverages Sector*</t>
  </si>
  <si>
    <t>Min</t>
  </si>
  <si>
    <t>Q1</t>
  </si>
  <si>
    <t>Q3</t>
  </si>
  <si>
    <t>Max</t>
  </si>
  <si>
    <t>Percent Rank</t>
  </si>
  <si>
    <t>Group_Demographics</t>
  </si>
  <si>
    <t>Topmost right hand quadrant is top performance space,</t>
  </si>
  <si>
    <t>is</t>
  </si>
  <si>
    <t>as compared with vital few peers</t>
  </si>
  <si>
    <t xml:space="preserve">Tsingtao is the best in class performer, </t>
  </si>
  <si>
    <t>File Name</t>
  </si>
  <si>
    <t>Folder Name</t>
  </si>
  <si>
    <t>Overall SG&amp;A Performance</t>
  </si>
  <si>
    <t>Estimated Opportunity Waterfall (in $Mn)*</t>
  </si>
  <si>
    <t>SG&amp;A Industry Group Profile</t>
  </si>
  <si>
    <t>Sections</t>
  </si>
  <si>
    <t>Commentary</t>
  </si>
  <si>
    <t>Customer Service</t>
  </si>
  <si>
    <t>Slide 2</t>
  </si>
  <si>
    <t>Slide 8</t>
  </si>
  <si>
    <t>Slide 10</t>
  </si>
  <si>
    <t>Slide 11</t>
  </si>
  <si>
    <t>Slide 12</t>
  </si>
  <si>
    <t>Slide 13</t>
  </si>
  <si>
    <t>Slide 14</t>
  </si>
  <si>
    <t>Slide 15</t>
  </si>
  <si>
    <t>Slide 6</t>
  </si>
  <si>
    <t>Industry Group</t>
  </si>
  <si>
    <t>Sub-Industry Group</t>
  </si>
  <si>
    <t>PPTText</t>
  </si>
  <si>
    <t>Group_Demographics_Legend</t>
  </si>
  <si>
    <t>Full Company Name</t>
  </si>
  <si>
    <t>For Decile</t>
  </si>
  <si>
    <t>Top D Rank</t>
  </si>
  <si>
    <t>Net Revenue (in USD)</t>
  </si>
  <si>
    <t>Slide 3</t>
  </si>
  <si>
    <t>Slide 4</t>
  </si>
  <si>
    <t>Slide 5</t>
  </si>
  <si>
    <t>Slide 16</t>
  </si>
  <si>
    <t>Slide 17</t>
  </si>
  <si>
    <t>Slide 18</t>
  </si>
  <si>
    <t>qqqq</t>
  </si>
  <si>
    <t>Peer Name</t>
  </si>
  <si>
    <t>SIC Code</t>
  </si>
  <si>
    <t>SIC Inds</t>
  </si>
  <si>
    <t>EBITDA Margin %</t>
  </si>
  <si>
    <t>Number of Employees</t>
  </si>
  <si>
    <t>Revenue per Employee (in USD)</t>
  </si>
  <si>
    <t>Gross Margin %</t>
  </si>
  <si>
    <t>Flag</t>
  </si>
  <si>
    <t>top decil</t>
  </si>
  <si>
    <t>quartile</t>
  </si>
  <si>
    <t>medIAN</t>
  </si>
  <si>
    <t>top quratile</t>
  </si>
  <si>
    <t>Revenue (2014-17)
3 Years CAGR</t>
  </si>
  <si>
    <t/>
  </si>
  <si>
    <t>SG&amp;A Cost as a Percent of Revenue by Industry Group</t>
  </si>
  <si>
    <t>SG&amp;A Cost as a Percent of Revenue</t>
  </si>
  <si>
    <t>Advanced Micro Devices Inc</t>
  </si>
  <si>
    <t>Stmicroelectronics Nv</t>
  </si>
  <si>
    <t>Amkor Technology, Inc.</t>
  </si>
  <si>
    <t>Analog Devices Inc</t>
  </si>
  <si>
    <t>Canadian Solar Inc.</t>
  </si>
  <si>
    <t>Jinkosolar Holding Co., Ltd.</t>
  </si>
  <si>
    <t>Microchip Technology Inc</t>
  </si>
  <si>
    <t>Nxp Semiconductors N.V.</t>
  </si>
  <si>
    <t>On Semiconductor Corp</t>
  </si>
  <si>
    <t>Semiconductor Manufacturing International Corp</t>
  </si>
  <si>
    <t>Skyworks Solutions, Inc.</t>
  </si>
  <si>
    <t>United Microelectronics Corp</t>
  </si>
  <si>
    <t>Report Name</t>
  </si>
  <si>
    <t>Sub-Industry Group Name</t>
  </si>
  <si>
    <t>Slide 19</t>
  </si>
  <si>
    <t>Outliers</t>
  </si>
  <si>
    <t>Company Name</t>
  </si>
  <si>
    <t>SIC</t>
  </si>
  <si>
    <t>SIC Primary Industry</t>
  </si>
  <si>
    <t>Country</t>
  </si>
  <si>
    <t>Latest Revenue</t>
  </si>
  <si>
    <t>FY</t>
  </si>
  <si>
    <t>Replace Text?</t>
  </si>
  <si>
    <t>Slide 22</t>
  </si>
  <si>
    <t>Slide 20</t>
  </si>
  <si>
    <t>Slide 21</t>
  </si>
  <si>
    <t>Peer Group Overview</t>
  </si>
  <si>
    <t>American</t>
  </si>
  <si>
    <t>Currency</t>
  </si>
  <si>
    <t>Id</t>
  </si>
  <si>
    <t>Description</t>
  </si>
  <si>
    <t>SVLabel</t>
  </si>
  <si>
    <t>SVFormat</t>
  </si>
  <si>
    <t>SVDecimalPlaces</t>
  </si>
  <si>
    <t>LVDivisor</t>
  </si>
  <si>
    <t>LVLabel</t>
  </si>
  <si>
    <t>LVFormat</t>
  </si>
  <si>
    <t>LVDecimalPlaces</t>
  </si>
  <si>
    <t>CanBeUsedForReporting</t>
  </si>
  <si>
    <t>Exchange Rate</t>
  </si>
  <si>
    <t>Estimated Opportunity Waterfall?</t>
  </si>
  <si>
    <t>USD</t>
  </si>
  <si>
    <t>United States Dollar</t>
  </si>
  <si>
    <t>$*</t>
  </si>
  <si>
    <t>USDMM</t>
  </si>
  <si>
    <t>$*MM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</si>
</sst>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3" formatCode="_(* #,##0.00_);_(* \(#,##0.00\);_(* &quot;-&quot;??_);_(@_)"/>
    <numFmt numFmtId="164" formatCode="0.0%"/>
    <numFmt numFmtId="165" formatCode="_(* #,##0_);_(* \(#,##0\);_(* &quot;0&quot;??_);_(@_)"/>
    <numFmt numFmtId="166" formatCode="_(&quot;$&quot;* #,##0_);_(&quot;$&quot;* \(#,##0\);_(&quot;$&quot;* &quot;0&quot;??_);_(@_)"/>
    <numFmt numFmtId="167" formatCode="0.0"/>
    <numFmt numFmtId="168" formatCode="&quot;$&quot;#,###.00\ &quot;MM&quot;"/>
    <numFmt numFmtId="169" formatCode="&quot;$&quot;#,###\ &quot;MM&quot;"/>
  </numFmts>
  <fonts count="24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theme="1"/>
      <name val="Arial"/>
      <family val="2"/>
    </font>
    <font>
      <b/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i/>
      <sz val="1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3333FF"/>
      <name val="Calibri"/>
      <family val="2"/>
      <scheme val="minor"/>
    </font>
    <font>
      <sz val="10"/>
      <color theme="3" tint="0.3999755851924192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Calibri"/>
      <family val="2"/>
      <scheme val="minor"/>
    </font>
    <font>
      <sz val="11"/>
      <color rgb="FF77787A"/>
      <name val="Verdana"/>
      <family val="2"/>
    </font>
    <font>
      <sz val="8"/>
      <color theme="1"/>
      <name val="Calibri"/>
      <family val="2"/>
      <scheme val="minor"/>
    </font>
    <font>
      <sz val="10"/>
      <color rgb="FF595555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CFDFD"/>
        <bgColor indexed="64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3"/>
      </bottom>
      <diagonal/>
    </border>
    <border>
      <left style="thin">
        <color theme="3" tint="0.59996337778862885"/>
      </left>
      <right style="thin">
        <color theme="3" tint="0.59996337778862885"/>
      </right>
      <top/>
      <bottom style="thin">
        <color theme="3"/>
      </bottom>
      <diagonal/>
    </border>
    <border>
      <left style="thin">
        <color theme="3" tint="0.59996337778862885"/>
      </left>
      <right style="thin">
        <color theme="3" tint="0.59996337778862885"/>
      </right>
      <top/>
      <bottom/>
      <diagonal/>
    </border>
    <border>
      <left style="thin">
        <color rgb="FF7F7F7F"/>
      </left>
      <right/>
      <top/>
      <bottom/>
      <diagonal/>
    </border>
  </borders>
  <cellStyleXfs count="5">
    <xf numFmtId="0" fontId="0" fillId="0" borderId="0"/>
    <xf numFmtId="0" fontId="1" fillId="2" borderId="1" applyNumberFormat="0" applyAlignment="0" applyProtection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</cellStyleXfs>
  <cellXfs count="65">
    <xf numFmtId="0" fontId="0" fillId="0" borderId="0" xfId="0"/>
    <xf numFmtId="10" fontId="0" fillId="0" borderId="0" xfId="0" applyNumberFormat="1"/>
    <xf numFmtId="0" fontId="2" fillId="0" borderId="0" xfId="0" applyFont="1"/>
    <xf numFmtId="0" fontId="2" fillId="0" borderId="0" xfId="0" applyFont="1" applyAlignment="1">
      <alignment wrapText="1"/>
    </xf>
    <xf numFmtId="14" fontId="0" fillId="0" borderId="0" xfId="0" applyNumberFormat="1"/>
    <xf numFmtId="0" fontId="3" fillId="0" borderId="0" xfId="0" applyFont="1"/>
    <xf numFmtId="0" fontId="1" fillId="2" borderId="1" xfId="1"/>
    <xf numFmtId="10" fontId="1" fillId="2" borderId="1" xfId="1" applyNumberFormat="1"/>
    <xf numFmtId="2" fontId="1" fillId="2" borderId="1" xfId="1" applyNumberFormat="1"/>
    <xf numFmtId="0" fontId="4" fillId="0" borderId="0" xfId="0" applyFont="1" applyAlignment="1">
      <alignment vertical="center"/>
    </xf>
    <xf numFmtId="10" fontId="1" fillId="2" borderId="1" xfId="1" applyNumberFormat="1" applyAlignment="1">
      <alignment horizontal="right"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/>
    <xf numFmtId="0" fontId="8" fillId="0" borderId="0" xfId="0" applyFont="1" applyAlignment="1">
      <alignment horizontal="left" wrapText="1"/>
    </xf>
    <xf numFmtId="3" fontId="1" fillId="2" borderId="1" xfId="1" applyNumberFormat="1"/>
    <xf numFmtId="3" fontId="0" fillId="0" borderId="0" xfId="0" applyNumberFormat="1"/>
    <xf numFmtId="1" fontId="11" fillId="0" borderId="0" xfId="2" applyNumberFormat="1" applyFont="1" applyBorder="1" applyAlignment="1">
      <alignment horizontal="right"/>
    </xf>
    <xf numFmtId="164" fontId="0" fillId="0" borderId="0" xfId="3" applyNumberFormat="1" applyFont="1"/>
    <xf numFmtId="164" fontId="0" fillId="0" borderId="0" xfId="0" applyNumberFormat="1"/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4" fillId="3" borderId="0" xfId="0" applyFont="1" applyFill="1" applyAlignment="1">
      <alignment horizontal="center" vertical="center"/>
    </xf>
    <xf numFmtId="0" fontId="15" fillId="4" borderId="0" xfId="0" applyFont="1" applyFill="1" applyAlignment="1">
      <alignment vertical="center"/>
    </xf>
    <xf numFmtId="0" fontId="15" fillId="4" borderId="0" xfId="0" applyFont="1" applyFill="1" applyAlignment="1">
      <alignment horizontal="center" vertical="center"/>
    </xf>
    <xf numFmtId="0" fontId="15" fillId="4" borderId="0" xfId="0" applyFont="1" applyFill="1" applyAlignment="1">
      <alignment horizontal="right" vertical="center"/>
    </xf>
    <xf numFmtId="0" fontId="13" fillId="0" borderId="0" xfId="0" applyFont="1" applyAlignment="1">
      <alignment horizontal="center" vertical="center"/>
    </xf>
    <xf numFmtId="4" fontId="13" fillId="0" borderId="0" xfId="0" applyNumberFormat="1" applyFont="1" applyAlignment="1">
      <alignment vertical="center"/>
    </xf>
    <xf numFmtId="0" fontId="13" fillId="0" borderId="2" xfId="0" applyFont="1" applyBorder="1" applyAlignment="1">
      <alignment vertical="center"/>
    </xf>
    <xf numFmtId="0" fontId="13" fillId="0" borderId="2" xfId="0" applyFont="1" applyBorder="1" applyAlignment="1">
      <alignment horizontal="center" vertical="center"/>
    </xf>
    <xf numFmtId="4" fontId="13" fillId="0" borderId="2" xfId="0" applyNumberFormat="1" applyFont="1" applyBorder="1" applyAlignment="1">
      <alignment vertical="center"/>
    </xf>
    <xf numFmtId="0" fontId="13" fillId="0" borderId="0" xfId="0" applyFont="1" applyAlignment="1">
      <alignment vertical="center" wrapText="1"/>
    </xf>
    <xf numFmtId="0" fontId="13" fillId="0" borderId="0" xfId="0" applyFont="1" applyAlignment="1">
      <alignment horizontal="left" vertical="center"/>
    </xf>
    <xf numFmtId="4" fontId="16" fillId="0" borderId="0" xfId="0" applyNumberFormat="1" applyFont="1" applyAlignment="1">
      <alignment vertical="center"/>
    </xf>
    <xf numFmtId="4" fontId="17" fillId="0" borderId="0" xfId="0" applyNumberFormat="1" applyFont="1" applyAlignment="1">
      <alignment vertical="center"/>
    </xf>
    <xf numFmtId="0" fontId="13" fillId="3" borderId="0" xfId="0" applyFont="1" applyFill="1" applyAlignment="1">
      <alignment vertical="center"/>
    </xf>
    <xf numFmtId="0" fontId="13" fillId="3" borderId="0" xfId="0" applyFont="1" applyFill="1" applyAlignment="1">
      <alignment horizontal="center" vertical="center"/>
    </xf>
    <xf numFmtId="0" fontId="19" fillId="0" borderId="3" xfId="0" applyFont="1" applyBorder="1"/>
    <xf numFmtId="0" fontId="19" fillId="0" borderId="4" xfId="0" applyFont="1" applyBorder="1" applyAlignment="1">
      <alignment horizontal="right"/>
    </xf>
    <xf numFmtId="0" fontId="2" fillId="0" borderId="5" xfId="0" applyFont="1" applyBorder="1" applyAlignment="1">
      <alignment horizontal="right"/>
    </xf>
    <xf numFmtId="0" fontId="18" fillId="0" borderId="0" xfId="0" applyFont="1"/>
    <xf numFmtId="0" fontId="18" fillId="0" borderId="3" xfId="0" applyFont="1" applyBorder="1"/>
    <xf numFmtId="9" fontId="1" fillId="2" borderId="1" xfId="1" applyNumberFormat="1" applyAlignment="1">
      <alignment horizontal="right"/>
    </xf>
    <xf numFmtId="0" fontId="0" fillId="5" borderId="0" xfId="0" applyFill="1"/>
    <xf numFmtId="2" fontId="0" fillId="0" borderId="0" xfId="0" applyNumberFormat="1"/>
    <xf numFmtId="10" fontId="1" fillId="2" borderId="1" xfId="1" applyNumberFormat="1" applyAlignment="1">
      <alignment horizontal="right"/>
    </xf>
    <xf numFmtId="0" fontId="20" fillId="0" borderId="0" xfId="1" applyFont="1" applyFill="1" applyBorder="1"/>
    <xf numFmtId="4" fontId="1" fillId="2" borderId="1" xfId="1" applyNumberFormat="1"/>
    <xf numFmtId="165" fontId="1" fillId="2" borderId="1" xfId="1" applyNumberFormat="1" applyAlignment="1">
      <alignment horizontal="right"/>
    </xf>
    <xf numFmtId="166" fontId="1" fillId="2" borderId="1" xfId="1" applyNumberFormat="1" applyAlignment="1">
      <alignment horizontal="right"/>
    </xf>
    <xf numFmtId="167" fontId="1" fillId="2" borderId="1" xfId="1" applyNumberFormat="1" applyAlignment="1">
      <alignment vertical="center"/>
    </xf>
    <xf numFmtId="0" fontId="18" fillId="0" borderId="0" xfId="0" applyFont="1" applyAlignment="1">
      <alignment wrapText="1"/>
    </xf>
    <xf numFmtId="0" fontId="13" fillId="5" borderId="0" xfId="0" applyFont="1" applyFill="1" applyAlignment="1">
      <alignment vertical="center" wrapText="1"/>
    </xf>
    <xf numFmtId="168" fontId="1" fillId="2" borderId="1" xfId="1" applyNumberFormat="1" applyAlignment="1">
      <alignment horizontal="right"/>
    </xf>
    <xf numFmtId="0" fontId="21" fillId="6" borderId="0" xfId="0" applyFont="1" applyFill="1" applyAlignment="1">
      <alignment horizontal="left" vertical="center" wrapText="1" indent="1"/>
    </xf>
    <xf numFmtId="4" fontId="0" fillId="0" borderId="0" xfId="0" applyNumberFormat="1"/>
    <xf numFmtId="169" fontId="1" fillId="2" borderId="1" xfId="1" applyNumberFormat="1" applyAlignment="1">
      <alignment horizontal="right"/>
    </xf>
    <xf numFmtId="167" fontId="0" fillId="0" borderId="0" xfId="0" applyNumberFormat="1"/>
    <xf numFmtId="49" fontId="0" fillId="0" borderId="0" xfId="0" applyNumberFormat="1"/>
    <xf numFmtId="0" fontId="1" fillId="2" borderId="1" xfId="1" quotePrefix="1"/>
    <xf numFmtId="0" fontId="22" fillId="0" borderId="0" xfId="0" applyFont="1" applyAlignment="1">
      <alignment wrapText="1"/>
    </xf>
    <xf numFmtId="0" fontId="23" fillId="0" borderId="0" xfId="0" applyFont="1" applyAlignment="1">
      <alignment horizontal="left" vertical="center" readingOrder="1"/>
    </xf>
    <xf numFmtId="0" fontId="1" fillId="0" borderId="1" xfId="1" applyFill="1"/>
    <xf numFmtId="10" fontId="1" fillId="0" borderId="1" xfId="1" applyNumberFormat="1" applyFill="1"/>
    <xf numFmtId="0" fontId="1" fillId="0" borderId="6" xfId="1" applyFill="1" applyBorder="1" applyAlignment="1"/>
    <xf numFmtId="0" fontId="0" fillId="0" borderId="0" xfId="0"/>
  </cellXfs>
  <cellStyles count="5">
    <cellStyle name="Comma" xfId="2" builtinId="3"/>
    <cellStyle name="Comma 2" xfId="4" xr:uid="{00000000-0005-0000-0000-000001000000}"/>
    <cellStyle name="Input" xfId="1" builtinId="20"/>
    <cellStyle name="Normal" xfId="0" builtinId="0"/>
    <cellStyle name="Percent" xfId="3" builtinId="5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646464"/>
      <color rgb="FF5E8AB4"/>
      <color rgb="FFF9C20A"/>
      <color rgb="FF000000"/>
      <color rgb="FF345370"/>
      <color rgb="FF002B49"/>
      <color rgb="FF29702A"/>
      <color rgb="FF538AB4"/>
      <color rgb="FFA9C6AA"/>
      <color rgb="FFEC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7105554765724"/>
          <c:y val="0.18036812155973692"/>
          <c:w val="0.85673381452318464"/>
          <c:h val="0.54200492125984256"/>
        </c:manualLayout>
      </c:layout>
      <c:barChart>
        <c:barDir val="col"/>
        <c:grouping val="stacked"/>
        <c:varyColors val="0"/>
        <c:ser>
          <c:idx val="1"/>
          <c:order val="0"/>
          <c:spPr>
            <a:noFill/>
          </c:spPr>
          <c:invertIfNegative val="0"/>
          <c:cat>
            <c:strRef>
              <c:f>'Charts Data'!$AG$3:$AG$11</c:f>
              <c:strCache>
                <c:ptCount val="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SG&amp;A</c:v>
                </c:pt>
              </c:strCache>
            </c:strRef>
          </c:cat>
          <c:val>
            <c:numRef>
              <c:f>'Charts Data'!$BT$3:$BT$11</c:f>
              <c:numCache>
                <c:formatCode>0.0</c:formatCode>
                <c:ptCount val="9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AEB-4B8D-8221-55D509FAFA85}"/>
            </c:ext>
          </c:extLst>
        </c:ser>
        <c:ser>
          <c:idx val="0"/>
          <c:order val="1"/>
          <c:tx>
            <c:v>Labels</c:v>
          </c:tx>
          <c:spPr>
            <a:solidFill>
              <a:srgbClr val="345370"/>
            </a:solidFill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-0.24416469914002648"/>
                </c:manualLayout>
              </c:layout>
              <c:numFmt formatCode="0.0" sourceLinked="0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8B1-4E15-8725-7A2032449408}"/>
                </c:ext>
              </c:extLst>
            </c:dLbl>
            <c:dLbl>
              <c:idx val="1"/>
              <c:layout>
                <c:manualLayout>
                  <c:x val="0"/>
                  <c:y val="-2.1039442417295735E-2"/>
                </c:manualLayout>
              </c:layout>
              <c:numFmt formatCode="0.0" sourceLinked="0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8B1-4E15-8725-7A2032449408}"/>
                </c:ext>
              </c:extLst>
            </c:dLbl>
            <c:dLbl>
              <c:idx val="2"/>
              <c:layout>
                <c:manualLayout>
                  <c:x val="0"/>
                  <c:y val="-2.1039442417295735E-2"/>
                </c:manualLayout>
              </c:layout>
              <c:numFmt formatCode="0.0" sourceLinked="0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B1-4E15-8725-7A2032449408}"/>
                </c:ext>
              </c:extLst>
            </c:dLbl>
            <c:dLbl>
              <c:idx val="3"/>
              <c:layout>
                <c:manualLayout>
                  <c:x val="0"/>
                  <c:y val="-2.1039442417295735E-2"/>
                </c:manualLayout>
              </c:layout>
              <c:numFmt formatCode="0.0" sourceLinked="0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8B1-4E15-8725-7A2032449408}"/>
                </c:ext>
              </c:extLst>
            </c:dLbl>
            <c:dLbl>
              <c:idx val="4"/>
              <c:layout>
                <c:manualLayout>
                  <c:x val="0"/>
                  <c:y val="-2.1039442417295735E-2"/>
                </c:manualLayout>
              </c:layout>
              <c:numFmt formatCode="0.0" sourceLinked="0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B1-4E15-8725-7A2032449408}"/>
                </c:ext>
              </c:extLst>
            </c:dLbl>
            <c:dLbl>
              <c:idx val="5"/>
              <c:layout>
                <c:manualLayout>
                  <c:x val="0"/>
                  <c:y val="-2.1039442417295735E-2"/>
                </c:manualLayout>
              </c:layout>
              <c:numFmt formatCode="0.0" sourceLinked="0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8B1-4E15-8725-7A2032449408}"/>
                </c:ext>
              </c:extLst>
            </c:dLbl>
            <c:dLbl>
              <c:idx val="6"/>
              <c:layout>
                <c:manualLayout>
                  <c:x val="0"/>
                  <c:y val="-2.1039442417295735E-2"/>
                </c:manualLayout>
              </c:layout>
              <c:numFmt formatCode="0.0" sourceLinked="0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B1-4E15-8725-7A2032449408}"/>
                </c:ext>
              </c:extLst>
            </c:dLbl>
            <c:dLbl>
              <c:idx val="7"/>
              <c:layout>
                <c:manualLayout>
                  <c:x val="0"/>
                  <c:y val="-2.1039442417295735E-2"/>
                </c:manualLayout>
              </c:layout>
              <c:numFmt formatCode="0.0" sourceLinked="0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8B1-4E15-8725-7A2032449408}"/>
                </c:ext>
              </c:extLst>
            </c:dLbl>
            <c:dLbl>
              <c:idx val="8"/>
              <c:layout>
                <c:manualLayout>
                  <c:x val="0"/>
                  <c:y val="-0.24416469914002648"/>
                </c:manualLayout>
              </c:layout>
              <c:numFmt formatCode="0.0" sourceLinked="0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B1-4E15-8725-7A203244940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'Charts Data'!$AG$3:$AG$11</c:f>
              <c:strCache>
                <c:ptCount val="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SG&amp;A</c:v>
                </c:pt>
              </c:strCache>
            </c:strRef>
          </c:cat>
          <c:val>
            <c:numRef>
              <c:f>'Charts Data'!$BS$3:$BS$11</c:f>
              <c:numCache>
                <c:formatCode>#,##0.00</c:formatCode>
                <c:ptCount val="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AEB-4B8D-8221-55D509FAFA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728636416"/>
        <c:axId val="128312448"/>
      </c:barChart>
      <c:catAx>
        <c:axId val="7286364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>
                <a:solidFill>
                  <a:srgbClr val="646464"/>
                </a:solidFill>
              </a:defRPr>
            </a:pPr>
            <a:endParaRPr lang="en-US"/>
          </a:p>
        </c:txPr>
        <c:crossAx val="128312448"/>
        <c:crosses val="autoZero"/>
        <c:auto val="1"/>
        <c:lblAlgn val="ctr"/>
        <c:lblOffset val="100"/>
        <c:noMultiLvlLbl val="0"/>
      </c:catAx>
      <c:valAx>
        <c:axId val="128312448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646464"/>
                </a:solidFill>
              </a:defRPr>
            </a:pPr>
            <a:endParaRPr lang="en-US"/>
          </a:p>
        </c:txPr>
        <c:crossAx val="728636416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7105554765724"/>
          <c:y val="0.18036812155973692"/>
          <c:w val="0.85673381452318464"/>
          <c:h val="0.54200492125984256"/>
        </c:manualLayout>
      </c:layout>
      <c:barChart>
        <c:barDir val="col"/>
        <c:grouping val="stacked"/>
        <c:varyColors val="0"/>
        <c:ser>
          <c:idx val="1"/>
          <c:order val="0"/>
          <c:spPr>
            <a:noFill/>
            <a:ln>
              <a:noFill/>
            </a:ln>
          </c:spPr>
          <c:invertIfNegative val="0"/>
          <c:cat>
            <c:strRef>
              <c:f>'Charts Data'!$AG$3:$AG$11</c:f>
              <c:strCache>
                <c:ptCount val="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SG&amp;A</c:v>
                </c:pt>
              </c:strCache>
            </c:strRef>
          </c:cat>
          <c:val>
            <c:numRef>
              <c:f>'Charts Data'!$AI$3:$AI$11</c:f>
              <c:numCache>
                <c:formatCode>0.0</c:formatCode>
                <c:ptCount val="9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AEB-4B8D-8221-55D509FAFA85}"/>
            </c:ext>
          </c:extLst>
        </c:ser>
        <c:ser>
          <c:idx val="0"/>
          <c:order val="1"/>
          <c:tx>
            <c:v>Labels</c:v>
          </c:tx>
          <c:spPr>
            <a:solidFill>
              <a:srgbClr val="29702A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3AEB-4B8D-8221-55D509FAFA85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3AEB-4B8D-8221-55D509FAFA85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3AEB-4B8D-8221-55D509FAFA85}"/>
              </c:ext>
            </c:extLst>
          </c:dPt>
          <c:dLbls>
            <c:dLbl>
              <c:idx val="0"/>
              <c:layout>
                <c:manualLayout>
                  <c:x val="0"/>
                  <c:y val="-0.12673043377833745"/>
                </c:manualLayout>
              </c:layout>
              <c:numFmt formatCode="0.0" sourceLinked="0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AEB-4B8D-8221-55D509FAFA85}"/>
                </c:ext>
              </c:extLst>
            </c:dLbl>
            <c:dLbl>
              <c:idx val="1"/>
              <c:layout>
                <c:manualLayout>
                  <c:x val="0"/>
                  <c:y val="-2.1039442417295683E-2"/>
                </c:manualLayout>
              </c:layout>
              <c:numFmt formatCode="0.0" sourceLinked="0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2D1-4C10-B2F9-5D94D063E7C3}"/>
                </c:ext>
              </c:extLst>
            </c:dLbl>
            <c:dLbl>
              <c:idx val="2"/>
              <c:layout>
                <c:manualLayout>
                  <c:x val="0"/>
                  <c:y val="-2.1039442417295683E-2"/>
                </c:manualLayout>
              </c:layout>
              <c:numFmt formatCode="0.0" sourceLinked="0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2D1-4C10-B2F9-5D94D063E7C3}"/>
                </c:ext>
              </c:extLst>
            </c:dLbl>
            <c:dLbl>
              <c:idx val="3"/>
              <c:layout>
                <c:manualLayout>
                  <c:x val="0"/>
                  <c:y val="-2.1039442417295683E-2"/>
                </c:manualLayout>
              </c:layout>
              <c:numFmt formatCode="0.0" sourceLinked="0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2D1-4C10-B2F9-5D94D063E7C3}"/>
                </c:ext>
              </c:extLst>
            </c:dLbl>
            <c:dLbl>
              <c:idx val="4"/>
              <c:layout>
                <c:manualLayout>
                  <c:x val="0"/>
                  <c:y val="-2.1039442417295683E-2"/>
                </c:manualLayout>
              </c:layout>
              <c:numFmt formatCode="0.0" sourceLinked="0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2D1-4C10-B2F9-5D94D063E7C3}"/>
                </c:ext>
              </c:extLst>
            </c:dLbl>
            <c:dLbl>
              <c:idx val="5"/>
              <c:layout>
                <c:manualLayout>
                  <c:x val="0"/>
                  <c:y val="-2.1039442417295683E-2"/>
                </c:manualLayout>
              </c:layout>
              <c:numFmt formatCode="0.0" sourceLinked="0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2D1-4C10-B2F9-5D94D063E7C3}"/>
                </c:ext>
              </c:extLst>
            </c:dLbl>
            <c:dLbl>
              <c:idx val="6"/>
              <c:layout>
                <c:manualLayout>
                  <c:x val="0"/>
                  <c:y val="-2.1039442417295683E-2"/>
                </c:manualLayout>
              </c:layout>
              <c:numFmt formatCode="0.0" sourceLinked="0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2D1-4C10-B2F9-5D94D063E7C3}"/>
                </c:ext>
              </c:extLst>
            </c:dLbl>
            <c:dLbl>
              <c:idx val="7"/>
              <c:layout>
                <c:manualLayout>
                  <c:x val="0"/>
                  <c:y val="-2.1039442417295683E-2"/>
                </c:manualLayout>
              </c:layout>
              <c:numFmt formatCode="0.0" sourceLinked="0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AEB-4B8D-8221-55D509FAFA85}"/>
                </c:ext>
              </c:extLst>
            </c:dLbl>
            <c:dLbl>
              <c:idx val="8"/>
              <c:layout>
                <c:manualLayout>
                  <c:x val="0"/>
                  <c:y val="-0.12673043377833745"/>
                </c:manualLayout>
              </c:layout>
              <c:numFmt formatCode="0.0" sourceLinked="0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AEB-4B8D-8221-55D509FAFA8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'Charts Data'!$AG$3:$AG$11</c:f>
              <c:strCache>
                <c:ptCount val="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SG&amp;A</c:v>
                </c:pt>
              </c:strCache>
            </c:strRef>
          </c:cat>
          <c:val>
            <c:numRef>
              <c:f>'Charts Data'!$AH$3:$AH$11</c:f>
              <c:numCache>
                <c:formatCode>#,##0</c:formatCode>
                <c:ptCount val="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AEB-4B8D-8221-55D509FAFA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728671744"/>
        <c:axId val="128313600"/>
      </c:barChart>
      <c:catAx>
        <c:axId val="72867174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>
                <a:solidFill>
                  <a:srgbClr val="646464"/>
                </a:solidFill>
              </a:defRPr>
            </a:pPr>
            <a:endParaRPr lang="en-US"/>
          </a:p>
        </c:txPr>
        <c:crossAx val="128313600"/>
        <c:crosses val="autoZero"/>
        <c:auto val="1"/>
        <c:lblAlgn val="ctr"/>
        <c:lblOffset val="100"/>
        <c:noMultiLvlLbl val="0"/>
      </c:catAx>
      <c:valAx>
        <c:axId val="128313600"/>
        <c:scaling>
          <c:orientation val="minMax"/>
          <c:max val="3"/>
        </c:scaling>
        <c:delete val="0"/>
        <c:axPos val="l"/>
        <c:numFmt formatCode="0.0" sourceLinked="0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646464"/>
                </a:solidFill>
              </a:defRPr>
            </a:pPr>
            <a:endParaRPr lang="en-US"/>
          </a:p>
        </c:txPr>
        <c:crossAx val="728671744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7105554765724"/>
          <c:y val="0.16710351601145224"/>
          <c:w val="0.85673381452318464"/>
          <c:h val="0.55450492125984241"/>
        </c:manualLayout>
      </c:layout>
      <c:barChart>
        <c:barDir val="col"/>
        <c:grouping val="stacked"/>
        <c:varyColors val="0"/>
        <c:ser>
          <c:idx val="1"/>
          <c:order val="0"/>
          <c:spPr>
            <a:noFill/>
            <a:ln>
              <a:noFill/>
            </a:ln>
          </c:spPr>
          <c:invertIfNegative val="0"/>
          <c:cat>
            <c:strRef>
              <c:f>'Charts Data'!$AC$3:$AC$11</c:f>
              <c:strCache>
                <c:ptCount val="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SG&amp;A</c:v>
                </c:pt>
              </c:strCache>
            </c:strRef>
          </c:cat>
          <c:val>
            <c:numRef>
              <c:f>'Charts Data'!$AE$3:$AE$11</c:f>
              <c:numCache>
                <c:formatCode>0.0</c:formatCode>
                <c:ptCount val="9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92-4C90-9C76-AE7E2F67E40F}"/>
            </c:ext>
          </c:extLst>
        </c:ser>
        <c:ser>
          <c:idx val="0"/>
          <c:order val="1"/>
          <c:tx>
            <c:v>Labels</c:v>
          </c:tx>
          <c:spPr>
            <a:solidFill>
              <a:srgbClr val="F9C20A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EB92-4C90-9C76-AE7E2F67E40F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EB92-4C90-9C76-AE7E2F67E40F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EB92-4C90-9C76-AE7E2F67E40F}"/>
              </c:ext>
            </c:extLst>
          </c:dPt>
          <c:dLbls>
            <c:dLbl>
              <c:idx val="0"/>
              <c:layout>
                <c:manualLayout>
                  <c:x val="0"/>
                  <c:y val="-2.1039442417295783E-2"/>
                </c:manualLayout>
              </c:layout>
              <c:numFmt formatCode="0.0" sourceLinked="0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B92-4C90-9C76-AE7E2F67E40F}"/>
                </c:ext>
              </c:extLst>
            </c:dLbl>
            <c:dLbl>
              <c:idx val="1"/>
              <c:layout>
                <c:manualLayout>
                  <c:x val="0"/>
                  <c:y val="-2.1039442417295783E-2"/>
                </c:manualLayout>
              </c:layout>
              <c:numFmt formatCode="0.0" sourceLinked="0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1BB-432E-A419-E8C542873CF0}"/>
                </c:ext>
              </c:extLst>
            </c:dLbl>
            <c:dLbl>
              <c:idx val="2"/>
              <c:layout>
                <c:manualLayout>
                  <c:x val="0"/>
                  <c:y val="-2.1039442417295783E-2"/>
                </c:manualLayout>
              </c:layout>
              <c:numFmt formatCode="0.0" sourceLinked="0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1BB-432E-A419-E8C542873CF0}"/>
                </c:ext>
              </c:extLst>
            </c:dLbl>
            <c:dLbl>
              <c:idx val="3"/>
              <c:layout>
                <c:manualLayout>
                  <c:x val="0"/>
                  <c:y val="-2.1039442417295783E-2"/>
                </c:manualLayout>
              </c:layout>
              <c:numFmt formatCode="0.0" sourceLinked="0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1BB-432E-A419-E8C542873CF0}"/>
                </c:ext>
              </c:extLst>
            </c:dLbl>
            <c:dLbl>
              <c:idx val="4"/>
              <c:layout>
                <c:manualLayout>
                  <c:x val="0"/>
                  <c:y val="-2.1039442417295783E-2"/>
                </c:manualLayout>
              </c:layout>
              <c:numFmt formatCode="0.0" sourceLinked="0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1BB-432E-A419-E8C542873CF0}"/>
                </c:ext>
              </c:extLst>
            </c:dLbl>
            <c:dLbl>
              <c:idx val="5"/>
              <c:layout>
                <c:manualLayout>
                  <c:x val="0"/>
                  <c:y val="-2.1039442417295783E-2"/>
                </c:manualLayout>
              </c:layout>
              <c:numFmt formatCode="0.0" sourceLinked="0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1BB-432E-A419-E8C542873CF0}"/>
                </c:ext>
              </c:extLst>
            </c:dLbl>
            <c:dLbl>
              <c:idx val="6"/>
              <c:layout>
                <c:manualLayout>
                  <c:x val="0"/>
                  <c:y val="-2.1039442417295783E-2"/>
                </c:manualLayout>
              </c:layout>
              <c:numFmt formatCode="0.0" sourceLinked="0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1BB-432E-A419-E8C542873CF0}"/>
                </c:ext>
              </c:extLst>
            </c:dLbl>
            <c:dLbl>
              <c:idx val="7"/>
              <c:layout>
                <c:manualLayout>
                  <c:x val="0"/>
                  <c:y val="-2.1039442417295783E-2"/>
                </c:manualLayout>
              </c:layout>
              <c:numFmt formatCode="0.0" sourceLinked="0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B92-4C90-9C76-AE7E2F67E40F}"/>
                </c:ext>
              </c:extLst>
            </c:dLbl>
            <c:dLbl>
              <c:idx val="8"/>
              <c:layout>
                <c:manualLayout>
                  <c:x val="0"/>
                  <c:y val="-2.1039442417295783E-2"/>
                </c:manualLayout>
              </c:layout>
              <c:numFmt formatCode="0.0" sourceLinked="0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B92-4C90-9C76-AE7E2F67E40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'Charts Data'!$AC$3:$AC$11</c:f>
              <c:strCache>
                <c:ptCount val="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SG&amp;A</c:v>
                </c:pt>
              </c:strCache>
            </c:strRef>
          </c:cat>
          <c:val>
            <c:numRef>
              <c:f>'Charts Data'!$AD$3:$AD$11</c:f>
              <c:numCache>
                <c:formatCode>#,##0</c:formatCode>
                <c:ptCount val="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B92-4C90-9C76-AE7E2F67E4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728673792"/>
        <c:axId val="128315328"/>
      </c:barChart>
      <c:catAx>
        <c:axId val="7286737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 anchor="b" anchorCtr="0"/>
          <a:lstStyle/>
          <a:p>
            <a:pPr>
              <a:defRPr>
                <a:solidFill>
                  <a:srgbClr val="646464"/>
                </a:solidFill>
              </a:defRPr>
            </a:pPr>
            <a:endParaRPr lang="en-US"/>
          </a:p>
        </c:txPr>
        <c:crossAx val="128315328"/>
        <c:crosses val="autoZero"/>
        <c:auto val="1"/>
        <c:lblAlgn val="ctr"/>
        <c:lblOffset val="100"/>
        <c:noMultiLvlLbl val="0"/>
      </c:catAx>
      <c:valAx>
        <c:axId val="128315328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646464"/>
                </a:solidFill>
              </a:defRPr>
            </a:pPr>
            <a:endParaRPr lang="en-US"/>
          </a:p>
        </c:txPr>
        <c:crossAx val="728673792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33711708995529E-2"/>
          <c:y val="2.6254646505265919E-2"/>
          <c:w val="0.92120919193391659"/>
          <c:h val="0.53000660432517466"/>
        </c:manualLayout>
      </c:layout>
      <c:barChart>
        <c:barDir val="col"/>
        <c:grouping val="stacked"/>
        <c:varyColors val="0"/>
        <c:ser>
          <c:idx val="0"/>
          <c:order val="0"/>
          <c:spPr>
            <a:noFill/>
            <a:ln>
              <a:noFill/>
            </a:ln>
          </c:spPr>
          <c:invertIfNegative val="0"/>
          <c:dLbls>
            <c:dLbl>
              <c:idx val="0"/>
              <c:layout>
                <c:manualLayout>
                  <c:x val="0"/>
                  <c:y val="-0.1808163750996411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rgbClr val="646464"/>
                        </a:solidFill>
                      </a:rPr>
                      <a:t>44.4%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4AFB-456B-A673-A96AD7692EB9}"/>
                </c:ext>
              </c:extLst>
            </c:dLbl>
            <c:dLbl>
              <c:idx val="1"/>
              <c:layout>
                <c:manualLayout>
                  <c:x val="0"/>
                  <c:y val="-8.4973682686996663E-2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rgbClr val="646464"/>
                        </a:solidFill>
                      </a:rPr>
                      <a:t>22.7%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4AFB-456B-A673-A96AD7692EB9}"/>
                </c:ext>
              </c:extLst>
            </c:dLbl>
            <c:dLbl>
              <c:idx val="2"/>
              <c:layout>
                <c:manualLayout>
                  <c:x val="0"/>
                  <c:y val="-7.2606780251049358E-2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rgbClr val="646464"/>
                        </a:solidFill>
                      </a:rPr>
                      <a:t>19.9%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4AFB-456B-A673-A96AD7692EB9}"/>
                </c:ext>
              </c:extLst>
            </c:dLbl>
            <c:dLbl>
              <c:idx val="3"/>
              <c:layout>
                <c:manualLayout>
                  <c:x val="0"/>
                  <c:y val="-5.5823328995359606E-2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rgbClr val="646464"/>
                        </a:solidFill>
                      </a:rPr>
                      <a:t>16.1%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4AFB-456B-A673-A96AD7692EB9}"/>
                </c:ext>
              </c:extLst>
            </c:dLbl>
            <c:dLbl>
              <c:idx val="4"/>
              <c:layout>
                <c:manualLayout>
                  <c:x val="0"/>
                  <c:y val="-7.7465172532988805E-2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rgbClr val="646464"/>
                        </a:solidFill>
                      </a:rPr>
                      <a:t>21.0%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4AFB-456B-A673-A96AD7692EB9}"/>
                </c:ext>
              </c:extLst>
            </c:dLbl>
            <c:dLbl>
              <c:idx val="5"/>
              <c:layout>
                <c:manualLayout>
                  <c:x val="0"/>
                  <c:y val="-7.7906827414963048E-2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rgbClr val="646464"/>
                        </a:solidFill>
                      </a:rPr>
                      <a:t>21.1%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AFB-456B-A673-A96AD7692EB9}"/>
                </c:ext>
              </c:extLst>
            </c:dLbl>
            <c:dLbl>
              <c:idx val="6"/>
              <c:layout>
                <c:manualLayout>
                  <c:x val="0"/>
                  <c:y val="-5.8914913169179281E-2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rgbClr val="646464"/>
                        </a:solidFill>
                      </a:rPr>
                      <a:t>16.8%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AFB-456B-A673-A96AD7692EB9}"/>
                </c:ext>
              </c:extLst>
            </c:dLbl>
            <c:dLbl>
              <c:idx val="7"/>
              <c:layout>
                <c:manualLayout>
                  <c:x val="0"/>
                  <c:y val="-3.2414677349610573E-2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rgbClr val="646464"/>
                        </a:solidFill>
                      </a:rPr>
                      <a:t>10.8%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AFB-456B-A673-A96AD7692EB9}"/>
                </c:ext>
              </c:extLst>
            </c:dLbl>
            <c:dLbl>
              <c:idx val="8"/>
              <c:layout>
                <c:manualLayout>
                  <c:x val="0"/>
                  <c:y val="-4.1689807031515341E-2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rgbClr val="646464"/>
                        </a:solidFill>
                      </a:rPr>
                      <a:t>12.9%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AFB-456B-A673-A96AD7692EB9}"/>
                </c:ext>
              </c:extLst>
            </c:dLbl>
            <c:dLbl>
              <c:idx val="9"/>
              <c:layout>
                <c:manualLayout>
                  <c:x val="0"/>
                  <c:y val="-3.9922998923395507E-2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rgbClr val="646464"/>
                        </a:solidFill>
                      </a:rPr>
                      <a:t>12.5%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AFB-456B-A673-A96AD7692EB9}"/>
                </c:ext>
              </c:extLst>
            </c:dLbl>
            <c:dLbl>
              <c:idx val="10"/>
              <c:layout>
                <c:manualLayout>
                  <c:x val="0"/>
                  <c:y val="-4.1689807031515341E-2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rgbClr val="646464"/>
                        </a:solidFill>
                      </a:rPr>
                      <a:t>12.9%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AFB-456B-A673-A96AD7692EB9}"/>
                </c:ext>
              </c:extLst>
            </c:dLbl>
            <c:dLbl>
              <c:idx val="11"/>
              <c:layout>
                <c:manualLayout>
                  <c:x val="0"/>
                  <c:y val="-3.9481344041421271E-2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rgbClr val="646464"/>
                        </a:solidFill>
                      </a:rPr>
                      <a:t>12.4%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AFB-456B-A673-A96AD7692EB9}"/>
                </c:ext>
              </c:extLst>
            </c:dLbl>
            <c:dLbl>
              <c:idx val="12"/>
              <c:layout>
                <c:manualLayout>
                  <c:x val="0"/>
                  <c:y val="-2.5789476959551239E-2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rgbClr val="646464"/>
                        </a:solidFill>
                      </a:rPr>
                      <a:t>9.3%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4AFB-456B-A673-A96AD7692EB9}"/>
                </c:ext>
              </c:extLst>
            </c:dLbl>
            <c:dLbl>
              <c:idx val="13"/>
              <c:layout>
                <c:manualLayout>
                  <c:x val="0"/>
                  <c:y val="-3.3297987113559052E-2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rgbClr val="646464"/>
                        </a:solidFill>
                      </a:rPr>
                      <a:t>11.0%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4AFB-456B-A673-A96AD7692EB9}"/>
                </c:ext>
              </c:extLst>
            </c:dLbl>
            <c:dLbl>
              <c:idx val="14"/>
              <c:layout>
                <c:manualLayout>
                  <c:x val="0"/>
                  <c:y val="-3.7273069631550075E-2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rgbClr val="646464"/>
                        </a:solidFill>
                      </a:rPr>
                      <a:t>11.9%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4AFB-456B-A673-A96AD7692EB9}"/>
                </c:ext>
              </c:extLst>
            </c:dLbl>
            <c:dLbl>
              <c:idx val="15"/>
              <c:layout>
                <c:manualLayout>
                  <c:x val="0"/>
                  <c:y val="-2.755628506767107E-2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rgbClr val="646464"/>
                        </a:solidFill>
                      </a:rPr>
                      <a:t>9.7%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4AFB-456B-A673-A96AD7692EB9}"/>
                </c:ext>
              </c:extLst>
            </c:dLbl>
            <c:dLbl>
              <c:idx val="16"/>
              <c:layout>
                <c:manualLayout>
                  <c:x val="0"/>
                  <c:y val="-2.711463018569683E-2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rgbClr val="646464"/>
                        </a:solidFill>
                      </a:rPr>
                      <a:t>9.6%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4AFB-456B-A673-A96AD7692EB9}"/>
                </c:ext>
              </c:extLst>
            </c:dLbl>
            <c:dLbl>
              <c:idx val="17"/>
              <c:layout>
                <c:manualLayout>
                  <c:x val="0"/>
                  <c:y val="-2.6231131841525479E-2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rgbClr val="646464"/>
                        </a:solidFill>
                      </a:rPr>
                      <a:t>9.4%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4AFB-456B-A673-A96AD7692EB9}"/>
                </c:ext>
              </c:extLst>
            </c:dLbl>
            <c:dLbl>
              <c:idx val="18"/>
              <c:layout>
                <c:manualLayout>
                  <c:x val="0"/>
                  <c:y val="-6.7975627137674688E-3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rgbClr val="646464"/>
                        </a:solidFill>
                      </a:rPr>
                      <a:t>5.0%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4AFB-456B-A673-A96AD7692EB9}"/>
                </c:ext>
              </c:extLst>
            </c:dLbl>
            <c:dLbl>
              <c:idx val="19"/>
              <c:layout>
                <c:manualLayout>
                  <c:x val="0"/>
                  <c:y val="-9.0060257038615376E-3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rgbClr val="646464"/>
                        </a:solidFill>
                      </a:rPr>
                      <a:t>5.5%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4AFB-456B-A673-A96AD7692EB9}"/>
                </c:ext>
              </c:extLst>
            </c:dLbl>
            <c:dLbl>
              <c:idx val="20"/>
              <c:layout>
                <c:manualLayout>
                  <c:x val="0"/>
                  <c:y val="-1.3422763103826802E-2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rgbClr val="646464"/>
                        </a:solidFill>
                      </a:rPr>
                      <a:t>6.5%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4AFB-456B-A673-A96AD7692EB9}"/>
                </c:ext>
              </c:extLst>
            </c:dLbl>
            <c:dLbl>
              <c:idx val="21"/>
              <c:layout>
                <c:manualLayout>
                  <c:x val="0"/>
                  <c:y val="-5.4725980678447528E-3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rgbClr val="646464"/>
                        </a:solidFill>
                      </a:rPr>
                      <a:t>4.7%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4AFB-456B-A673-A96AD7692EB9}"/>
                </c:ext>
              </c:extLst>
            </c:dLbl>
            <c:dLbl>
              <c:idx val="22"/>
              <c:layout>
                <c:manualLayout>
                  <c:x val="0"/>
                  <c:y val="-1.4975155498537277E-3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rgbClr val="646464"/>
                        </a:solidFill>
                      </a:rPr>
                      <a:t>3.8%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4AFB-456B-A673-A96AD7692EB9}"/>
                </c:ext>
              </c:extLst>
            </c:dLbl>
            <c:dLbl>
              <c:idx val="23"/>
              <c:layout>
                <c:manualLayout>
                  <c:x val="0"/>
                  <c:y val="7.3359592500767991E-3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rgbClr val="646464"/>
                        </a:solidFill>
                      </a:rPr>
                      <a:t>1.8%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4AFB-456B-A673-A96AD7692EB9}"/>
                </c:ext>
              </c:extLst>
            </c:dLbl>
            <c:dLbl>
              <c:idx val="24"/>
              <c:layout>
                <c:manualLayout>
                  <c:x val="0"/>
                  <c:y val="-2.4022857431654283E-2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rgbClr val="646464"/>
                        </a:solidFill>
                      </a:rPr>
                      <a:t>8.9%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4AFB-456B-A673-A96AD7692EB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="1">
                    <a:solidFill>
                      <a:srgbClr val="646464"/>
                    </a:solidFill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'Charts Data'!$AK$4:$AK$28</c:f>
              <c:strCache>
                <c:ptCount val="25"/>
                <c:pt idx="0">
                  <c:v>Banks</c:v>
                </c:pt>
                <c:pt idx="1">
                  <c:v>Household and Personal Products</c:v>
                </c:pt>
                <c:pt idx="2">
                  <c:v>Software and Services</c:v>
                </c:pt>
                <c:pt idx="3">
                  <c:v>Diversified Financials</c:v>
                </c:pt>
                <c:pt idx="4">
                  <c:v>Retailing</c:v>
                </c:pt>
                <c:pt idx="5">
                  <c:v>Pharma, Biotech and Life Sciences</c:v>
                </c:pt>
                <c:pt idx="6">
                  <c:v>Telecommunication Services</c:v>
                </c:pt>
                <c:pt idx="7">
                  <c:v>Healthcare Equipment and Services</c:v>
                </c:pt>
                <c:pt idx="8">
                  <c:v>Consumer Durables and Apparel</c:v>
                </c:pt>
                <c:pt idx="9">
                  <c:v>Media</c:v>
                </c:pt>
                <c:pt idx="10">
                  <c:v>Commercial and Professional Services</c:v>
                </c:pt>
                <c:pt idx="11">
                  <c:v>Food and Staples Retailing</c:v>
                </c:pt>
                <c:pt idx="12">
                  <c:v>Food, Beverage and Tobacco</c:v>
                </c:pt>
                <c:pt idx="13">
                  <c:v>Technology Hardware and Equipment</c:v>
                </c:pt>
                <c:pt idx="14">
                  <c:v>Semiconductors and Semi. Equipment</c:v>
                </c:pt>
                <c:pt idx="15">
                  <c:v>Consumer Services</c:v>
                </c:pt>
                <c:pt idx="16">
                  <c:v>Capital Goods</c:v>
                </c:pt>
                <c:pt idx="17">
                  <c:v>Insurance</c:v>
                </c:pt>
                <c:pt idx="18">
                  <c:v>Energy</c:v>
                </c:pt>
                <c:pt idx="19">
                  <c:v>Materials</c:v>
                </c:pt>
                <c:pt idx="20">
                  <c:v>Automobiles and Components</c:v>
                </c:pt>
                <c:pt idx="21">
                  <c:v>Real Estate</c:v>
                </c:pt>
                <c:pt idx="22">
                  <c:v>Transportation</c:v>
                </c:pt>
                <c:pt idx="23">
                  <c:v>Utilities</c:v>
                </c:pt>
                <c:pt idx="24">
                  <c:v>Cross Industry</c:v>
                </c:pt>
              </c:strCache>
            </c:strRef>
          </c:cat>
          <c:val>
            <c:numRef>
              <c:f>'Charts Data'!$AL$4:$AL$28</c:f>
              <c:numCache>
                <c:formatCode>0.0%</c:formatCode>
                <c:ptCount val="25"/>
                <c:pt idx="0">
                  <c:v>0.44400000000000001</c:v>
                </c:pt>
                <c:pt idx="1">
                  <c:v>0.22700000000000001</c:v>
                </c:pt>
                <c:pt idx="2">
                  <c:v>0.19900000000000001</c:v>
                </c:pt>
                <c:pt idx="3">
                  <c:v>0.161</c:v>
                </c:pt>
                <c:pt idx="4">
                  <c:v>0.21</c:v>
                </c:pt>
                <c:pt idx="5">
                  <c:v>0.21099999999999999</c:v>
                </c:pt>
                <c:pt idx="6">
                  <c:v>0.16800000000000001</c:v>
                </c:pt>
                <c:pt idx="7">
                  <c:v>0.108</c:v>
                </c:pt>
                <c:pt idx="8">
                  <c:v>0.129</c:v>
                </c:pt>
                <c:pt idx="9">
                  <c:v>0.125</c:v>
                </c:pt>
                <c:pt idx="10">
                  <c:v>0.129</c:v>
                </c:pt>
                <c:pt idx="11">
                  <c:v>0.124</c:v>
                </c:pt>
                <c:pt idx="12">
                  <c:v>9.2999999999999999E-2</c:v>
                </c:pt>
                <c:pt idx="13">
                  <c:v>0.11</c:v>
                </c:pt>
                <c:pt idx="14">
                  <c:v>0.11899999999999999</c:v>
                </c:pt>
                <c:pt idx="15">
                  <c:v>9.7000000000000003E-2</c:v>
                </c:pt>
                <c:pt idx="16">
                  <c:v>9.6000000000000002E-2</c:v>
                </c:pt>
                <c:pt idx="17">
                  <c:v>9.4E-2</c:v>
                </c:pt>
                <c:pt idx="18">
                  <c:v>0.05</c:v>
                </c:pt>
                <c:pt idx="19">
                  <c:v>5.5E-2</c:v>
                </c:pt>
                <c:pt idx="20">
                  <c:v>6.5000000000000002E-2</c:v>
                </c:pt>
                <c:pt idx="21">
                  <c:v>4.7E-2</c:v>
                </c:pt>
                <c:pt idx="22">
                  <c:v>3.7999999999999999E-2</c:v>
                </c:pt>
                <c:pt idx="23">
                  <c:v>1.8000000000000002E-2</c:v>
                </c:pt>
                <c:pt idx="24">
                  <c:v>8.900000000000001E-2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BF-47A7-9332-CDCDADBCA23C}"/>
            </c:ext>
          </c:extLst>
        </c:ser>
        <c:ser>
          <c:idx val="1"/>
          <c:order val="1"/>
          <c:spPr>
            <a:solidFill>
              <a:srgbClr val="29702A"/>
            </a:solidFill>
            <a:effectLst/>
          </c:spPr>
          <c:invertIfNegative val="0"/>
          <c:dLbls>
            <c:dLbl>
              <c:idx val="0"/>
              <c:layout>
                <c:manualLayout>
                  <c:x val="-6.4526516867491846E-18"/>
                  <c:y val="-5.0177991443360957E-2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rgbClr val="646464"/>
                        </a:solidFill>
                      </a:rPr>
                      <a:t>52.3%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4AFB-456B-A673-A96AD7692EB9}"/>
                </c:ext>
              </c:extLst>
            </c:dLbl>
            <c:dLbl>
              <c:idx val="1"/>
              <c:layout>
                <c:manualLayout>
                  <c:x val="0"/>
                  <c:y val="-7.0494870335067461E-2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rgbClr val="646464"/>
                        </a:solidFill>
                      </a:rPr>
                      <a:t>35.2%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4AFB-456B-A673-A96AD7692EB9}"/>
                </c:ext>
              </c:extLst>
            </c:dLbl>
            <c:dLbl>
              <c:idx val="2"/>
              <c:layout>
                <c:manualLayout>
                  <c:x val="0"/>
                  <c:y val="-6.4311513407205187E-2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rgbClr val="646464"/>
                        </a:solidFill>
                      </a:rPr>
                      <a:t>31.0%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4AFB-456B-A673-A96AD7692EB9}"/>
                </c:ext>
              </c:extLst>
            </c:dLbl>
            <c:dLbl>
              <c:idx val="3"/>
              <c:layout>
                <c:manualLayout>
                  <c:x val="0"/>
                  <c:y val="-7.2703144744938691E-2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rgbClr val="646464"/>
                        </a:solidFill>
                      </a:rPr>
                      <a:t>29.1%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4AFB-456B-A673-A96AD7692EB9}"/>
                </c:ext>
              </c:extLst>
            </c:dLbl>
            <c:dLbl>
              <c:idx val="4"/>
              <c:layout>
                <c:manualLayout>
                  <c:x val="2.5810606746996739E-17"/>
                  <c:y val="-4.443628939747294E-2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rgbClr val="646464"/>
                        </a:solidFill>
                      </a:rPr>
                      <a:t>27.6%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4AFB-456B-A673-A96AD7692EB9}"/>
                </c:ext>
              </c:extLst>
            </c:dLbl>
            <c:dLbl>
              <c:idx val="5"/>
              <c:layout>
                <c:manualLayout>
                  <c:x val="0"/>
                  <c:y val="-5.1502956089283687E-2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rgbClr val="646464"/>
                        </a:solidFill>
                      </a:rPr>
                      <a:t>29.3%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4AFB-456B-A673-A96AD7692EB9}"/>
                </c:ext>
              </c:extLst>
            </c:dLbl>
            <c:dLbl>
              <c:idx val="6"/>
              <c:layout>
                <c:manualLayout>
                  <c:x val="-1.4078675407270028E-3"/>
                  <c:y val="-6.6078132935102146E-2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rgbClr val="646464"/>
                        </a:solidFill>
                      </a:rPr>
                      <a:t>28.3%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4AFB-456B-A673-A96AD7692EB9}"/>
                </c:ext>
              </c:extLst>
            </c:dLbl>
            <c:dLbl>
              <c:idx val="7"/>
              <c:layout>
                <c:manualLayout>
                  <c:x val="-5.1621213493993477E-17"/>
                  <c:y val="-7.1378180099015975E-2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rgbClr val="646464"/>
                        </a:solidFill>
                      </a:rPr>
                      <a:t>23.5%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4AFB-456B-A673-A96AD7692EB9}"/>
                </c:ext>
              </c:extLst>
            </c:dLbl>
            <c:dLbl>
              <c:idx val="8"/>
              <c:layout>
                <c:manualLayout>
                  <c:x val="5.1621213493993477E-17"/>
                  <c:y val="-5.9453121125265733E-2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rgbClr val="646464"/>
                        </a:solidFill>
                      </a:rPr>
                      <a:t>22.9%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4AFB-456B-A673-A96AD7692EB9}"/>
                </c:ext>
              </c:extLst>
            </c:dLbl>
            <c:dLbl>
              <c:idx val="9"/>
              <c:layout>
                <c:manualLayout>
                  <c:x val="-2.8157350814540572E-3"/>
                  <c:y val="-5.3269764197403514E-2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rgbClr val="646464"/>
                        </a:solidFill>
                      </a:rPr>
                      <a:t>21.1%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4AFB-456B-A673-A96AD7692EB9}"/>
                </c:ext>
              </c:extLst>
            </c:dLbl>
            <c:dLbl>
              <c:idx val="10"/>
              <c:layout>
                <c:manualLayout>
                  <c:x val="-1.4078675407270544E-3"/>
                  <c:y val="-4.9736336561386728E-2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rgbClr val="646464"/>
                        </a:solidFill>
                      </a:rPr>
                      <a:t>20.7%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4AFB-456B-A673-A96AD7692EB9}"/>
                </c:ext>
              </c:extLst>
            </c:dLbl>
            <c:dLbl>
              <c:idx val="11"/>
              <c:layout>
                <c:manualLayout>
                  <c:x val="0"/>
                  <c:y val="-4.8853026797438297E-2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rgbClr val="646464"/>
                        </a:solidFill>
                      </a:rPr>
                      <a:t>20.0%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4AFB-456B-A673-A96AD7692EB9}"/>
                </c:ext>
              </c:extLst>
            </c:dLbl>
            <c:dLbl>
              <c:idx val="12"/>
              <c:layout>
                <c:manualLayout>
                  <c:x val="0"/>
                  <c:y val="-5.9453121125265691E-2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rgbClr val="646464"/>
                        </a:solidFill>
                      </a:rPr>
                      <a:t>19.3%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4AFB-456B-A673-A96AD7692EB9}"/>
                </c:ext>
              </c:extLst>
            </c:dLbl>
            <c:dLbl>
              <c:idx val="13"/>
              <c:layout>
                <c:manualLayout>
                  <c:x val="0"/>
                  <c:y val="-4.6202908925369941E-2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rgbClr val="646464"/>
                        </a:solidFill>
                      </a:rPr>
                      <a:t>18.0%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4AFB-456B-A673-A96AD7692EB9}"/>
                </c:ext>
              </c:extLst>
            </c:dLbl>
            <c:dLbl>
              <c:idx val="14"/>
              <c:layout>
                <c:manualLayout>
                  <c:x val="-1.0324242698798695E-16"/>
                  <c:y val="-3.7369434125439416E-2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rgbClr val="646464"/>
                        </a:solidFill>
                      </a:rPr>
                      <a:t>16.9%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7-4AFB-456B-A673-A96AD7692EB9}"/>
                </c:ext>
              </c:extLst>
            </c:dLbl>
            <c:dLbl>
              <c:idx val="15"/>
              <c:layout>
                <c:manualLayout>
                  <c:x val="0"/>
                  <c:y val="-4.3994634515498746E-2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rgbClr val="646464"/>
                        </a:solidFill>
                      </a:rPr>
                      <a:t>16.2%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4AFB-456B-A673-A96AD7692EB9}"/>
                </c:ext>
              </c:extLst>
            </c:dLbl>
            <c:dLbl>
              <c:idx val="16"/>
              <c:layout>
                <c:manualLayout>
                  <c:x val="0"/>
                  <c:y val="-4.1786171525404724E-2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rgbClr val="646464"/>
                        </a:solidFill>
                      </a:rPr>
                      <a:t>15.6%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9-4AFB-456B-A673-A96AD7692EB9}"/>
                </c:ext>
              </c:extLst>
            </c:dLbl>
            <c:dLbl>
              <c:idx val="17"/>
              <c:layout>
                <c:manualLayout>
                  <c:x val="-1.0324242698798695E-16"/>
                  <c:y val="-4.2227826407378877E-2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rgbClr val="646464"/>
                        </a:solidFill>
                      </a:rPr>
                      <a:t>15.5%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A-4AFB-456B-A673-A96AD7692EB9}"/>
                </c:ext>
              </c:extLst>
            </c:dLbl>
            <c:dLbl>
              <c:idx val="18"/>
              <c:layout>
                <c:manualLayout>
                  <c:x val="0"/>
                  <c:y val="-3.9136242233559243E-2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rgbClr val="646464"/>
                        </a:solidFill>
                      </a:rPr>
                      <a:t>10.4%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4AFB-456B-A673-A96AD7692EB9}"/>
                </c:ext>
              </c:extLst>
            </c:dLbl>
            <c:dLbl>
              <c:idx val="19"/>
              <c:layout>
                <c:manualLayout>
                  <c:x val="-1.4078675407270028E-3"/>
                  <c:y val="-3.118607719757711E-2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rgbClr val="646464"/>
                        </a:solidFill>
                      </a:rPr>
                      <a:t>9.1%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C-4AFB-456B-A673-A96AD7692EB9}"/>
                </c:ext>
              </c:extLst>
            </c:dLbl>
            <c:dLbl>
              <c:idx val="20"/>
              <c:layout>
                <c:manualLayout>
                  <c:x val="-1.0324242698798695E-16"/>
                  <c:y val="-2.1910947515672432E-2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rgbClr val="646464"/>
                        </a:solidFill>
                      </a:rPr>
                      <a:t>8.0%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D-4AFB-456B-A673-A96AD7692EB9}"/>
                </c:ext>
              </c:extLst>
            </c:dLbl>
            <c:dLbl>
              <c:idx val="21"/>
              <c:layout>
                <c:manualLayout>
                  <c:x val="-1.0324242698798695E-16"/>
                  <c:y val="-2.6327684915637781E-2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rgbClr val="646464"/>
                        </a:solidFill>
                      </a:rPr>
                      <a:t>7.2%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E-4AFB-456B-A673-A96AD7692EB9}"/>
                </c:ext>
              </c:extLst>
            </c:dLbl>
            <c:dLbl>
              <c:idx val="22"/>
              <c:layout>
                <c:manualLayout>
                  <c:x val="0"/>
                  <c:y val="-2.2794257279620821E-2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rgbClr val="646464"/>
                        </a:solidFill>
                      </a:rPr>
                      <a:t>5.5%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F-4AFB-456B-A673-A96AD7692EB9}"/>
                </c:ext>
              </c:extLst>
            </c:dLbl>
            <c:dLbl>
              <c:idx val="23"/>
              <c:layout>
                <c:manualLayout>
                  <c:x val="0"/>
                  <c:y val="-3.2069386961525677E-2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rgbClr val="646464"/>
                        </a:solidFill>
                      </a:rPr>
                      <a:t>5.6%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0-4AFB-456B-A673-A96AD7692EB9}"/>
                </c:ext>
              </c:extLst>
            </c:dLbl>
            <c:dLbl>
              <c:idx val="24"/>
              <c:layout>
                <c:manualLayout>
                  <c:x val="-5.5427855934133969E-8"/>
                  <c:y val="-5.2386454433454993E-2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rgbClr val="646464"/>
                        </a:solidFill>
                      </a:rPr>
                      <a:t>17.3%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1-4AFB-456B-A673-A96AD7692EB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="1">
                    <a:solidFill>
                      <a:srgbClr val="646464"/>
                    </a:solidFill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'Charts Data'!$AK$4:$AK$28</c:f>
              <c:strCache>
                <c:ptCount val="25"/>
                <c:pt idx="0">
                  <c:v>Banks</c:v>
                </c:pt>
                <c:pt idx="1">
                  <c:v>Household and Personal Products</c:v>
                </c:pt>
                <c:pt idx="2">
                  <c:v>Software and Services</c:v>
                </c:pt>
                <c:pt idx="3">
                  <c:v>Diversified Financials</c:v>
                </c:pt>
                <c:pt idx="4">
                  <c:v>Retailing</c:v>
                </c:pt>
                <c:pt idx="5">
                  <c:v>Pharma, Biotech and Life Sciences</c:v>
                </c:pt>
                <c:pt idx="6">
                  <c:v>Telecommunication Services</c:v>
                </c:pt>
                <c:pt idx="7">
                  <c:v>Healthcare Equipment and Services</c:v>
                </c:pt>
                <c:pt idx="8">
                  <c:v>Consumer Durables and Apparel</c:v>
                </c:pt>
                <c:pt idx="9">
                  <c:v>Media</c:v>
                </c:pt>
                <c:pt idx="10">
                  <c:v>Commercial and Professional Services</c:v>
                </c:pt>
                <c:pt idx="11">
                  <c:v>Food and Staples Retailing</c:v>
                </c:pt>
                <c:pt idx="12">
                  <c:v>Food, Beverage and Tobacco</c:v>
                </c:pt>
                <c:pt idx="13">
                  <c:v>Technology Hardware and Equipment</c:v>
                </c:pt>
                <c:pt idx="14">
                  <c:v>Semiconductors and Semi. Equipment</c:v>
                </c:pt>
                <c:pt idx="15">
                  <c:v>Consumer Services</c:v>
                </c:pt>
                <c:pt idx="16">
                  <c:v>Capital Goods</c:v>
                </c:pt>
                <c:pt idx="17">
                  <c:v>Insurance</c:v>
                </c:pt>
                <c:pt idx="18">
                  <c:v>Energy</c:v>
                </c:pt>
                <c:pt idx="19">
                  <c:v>Materials</c:v>
                </c:pt>
                <c:pt idx="20">
                  <c:v>Automobiles and Components</c:v>
                </c:pt>
                <c:pt idx="21">
                  <c:v>Real Estate</c:v>
                </c:pt>
                <c:pt idx="22">
                  <c:v>Transportation</c:v>
                </c:pt>
                <c:pt idx="23">
                  <c:v>Utilities</c:v>
                </c:pt>
                <c:pt idx="24">
                  <c:v>Cross Industry</c:v>
                </c:pt>
              </c:strCache>
            </c:strRef>
          </c:cat>
          <c:val>
            <c:numRef>
              <c:f>'Charts Data'!$AM$4:$AM$28</c:f>
              <c:numCache>
                <c:formatCode>0.0%</c:formatCode>
                <c:ptCount val="25"/>
                <c:pt idx="0">
                  <c:v>7.9000000000000015E-2</c:v>
                </c:pt>
                <c:pt idx="1">
                  <c:v>0.12499999999999997</c:v>
                </c:pt>
                <c:pt idx="2">
                  <c:v>0.11099999999999999</c:v>
                </c:pt>
                <c:pt idx="3">
                  <c:v>0.12999999999999998</c:v>
                </c:pt>
                <c:pt idx="4">
                  <c:v>6.6000000000000031E-2</c:v>
                </c:pt>
                <c:pt idx="5">
                  <c:v>8.199999999999999E-2</c:v>
                </c:pt>
                <c:pt idx="6">
                  <c:v>0.11499999999999996</c:v>
                </c:pt>
                <c:pt idx="7">
                  <c:v>0.127</c:v>
                </c:pt>
                <c:pt idx="8">
                  <c:v>0.1</c:v>
                </c:pt>
                <c:pt idx="9">
                  <c:v>8.5999999999999993E-2</c:v>
                </c:pt>
                <c:pt idx="10">
                  <c:v>7.7999999999999986E-2</c:v>
                </c:pt>
                <c:pt idx="11">
                  <c:v>7.6000000000000012E-2</c:v>
                </c:pt>
                <c:pt idx="12">
                  <c:v>0.1</c:v>
                </c:pt>
                <c:pt idx="13">
                  <c:v>6.9999999999999993E-2</c:v>
                </c:pt>
                <c:pt idx="14">
                  <c:v>5.0000000000000017E-2</c:v>
                </c:pt>
                <c:pt idx="15">
                  <c:v>6.5000000000000002E-2</c:v>
                </c:pt>
                <c:pt idx="16">
                  <c:v>0.06</c:v>
                </c:pt>
                <c:pt idx="17">
                  <c:v>6.0999999999999999E-2</c:v>
                </c:pt>
                <c:pt idx="18">
                  <c:v>5.3999999999999992E-2</c:v>
                </c:pt>
                <c:pt idx="19">
                  <c:v>3.5999999999999997E-2</c:v>
                </c:pt>
                <c:pt idx="20">
                  <c:v>1.4999999999999999E-2</c:v>
                </c:pt>
                <c:pt idx="21">
                  <c:v>2.4999999999999994E-2</c:v>
                </c:pt>
                <c:pt idx="22">
                  <c:v>1.7000000000000001E-2</c:v>
                </c:pt>
                <c:pt idx="23">
                  <c:v>3.7999999999999999E-2</c:v>
                </c:pt>
                <c:pt idx="24">
                  <c:v>8.4000000000000005E-2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BF-47A7-9332-CDCDADBCA23C}"/>
            </c:ext>
          </c:extLst>
        </c:ser>
        <c:ser>
          <c:idx val="2"/>
          <c:order val="2"/>
          <c:spPr>
            <a:solidFill>
              <a:srgbClr val="F9C20A"/>
            </a:solidFill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-4.5319599161421462E-2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rgbClr val="646464"/>
                        </a:solidFill>
                      </a:rPr>
                      <a:t>59.1%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C7BF-47A7-9332-CDCDADBCA23C}"/>
                </c:ext>
              </c:extLst>
            </c:dLbl>
            <c:dLbl>
              <c:idx val="1"/>
              <c:layout>
                <c:manualLayout>
                  <c:x val="0"/>
                  <c:y val="-8.68366667087829E-2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rgbClr val="646464"/>
                        </a:solidFill>
                      </a:rPr>
                      <a:t>51.4%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C7BF-47A7-9332-CDCDADBCA23C}"/>
                </c:ext>
              </c:extLst>
            </c:dLbl>
            <c:dLbl>
              <c:idx val="2"/>
              <c:layout>
                <c:manualLayout>
                  <c:x val="-2.5810606746996739E-17"/>
                  <c:y val="-8.5953356944834414E-2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rgbClr val="646464"/>
                        </a:solidFill>
                      </a:rPr>
                      <a:t>47.0%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C7BF-47A7-9332-CDCDADBCA23C}"/>
                </c:ext>
              </c:extLst>
            </c:dLbl>
            <c:dLbl>
              <c:idx val="3"/>
              <c:layout>
                <c:manualLayout>
                  <c:x val="0"/>
                  <c:y val="-0.11863713827248824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rgbClr val="646464"/>
                        </a:solidFill>
                      </a:rPr>
                      <a:t>52.5%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C7BF-47A7-9332-CDCDADBCA23C}"/>
                </c:ext>
              </c:extLst>
            </c:dLbl>
            <c:dLbl>
              <c:idx val="4"/>
              <c:layout>
                <c:manualLayout>
                  <c:x val="0"/>
                  <c:y val="-4.9736336561386769E-2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rgbClr val="646464"/>
                        </a:solidFill>
                      </a:rPr>
                      <a:t>35.4%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C7BF-47A7-9332-CDCDADBCA23C}"/>
                </c:ext>
              </c:extLst>
            </c:dLbl>
            <c:dLbl>
              <c:idx val="5"/>
              <c:layout>
                <c:manualLayout>
                  <c:x val="0"/>
                  <c:y val="-5.7244658135171621E-2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rgbClr val="646464"/>
                        </a:solidFill>
                      </a:rPr>
                      <a:t>38.8%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C7BF-47A7-9332-CDCDADBCA23C}"/>
                </c:ext>
              </c:extLst>
            </c:dLbl>
            <c:dLbl>
              <c:idx val="6"/>
              <c:layout>
                <c:manualLayout>
                  <c:x val="0"/>
                  <c:y val="-5.2827920735206445E-2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rgbClr val="646464"/>
                        </a:solidFill>
                      </a:rPr>
                      <a:t>36.8%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C7BF-47A7-9332-CDCDADBCA23C}"/>
                </c:ext>
              </c:extLst>
            </c:dLbl>
            <c:dLbl>
              <c:idx val="7"/>
              <c:layout>
                <c:manualLayout>
                  <c:x val="-5.1621213493993477E-17"/>
                  <c:y val="-6.6961631279273542E-2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rgbClr val="646464"/>
                        </a:solidFill>
                      </a:rPr>
                      <a:t>35.2%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C7BF-47A7-9332-CDCDADBCA23C}"/>
                </c:ext>
              </c:extLst>
            </c:dLbl>
            <c:dLbl>
              <c:idx val="8"/>
              <c:layout>
                <c:manualLayout>
                  <c:x val="0"/>
                  <c:y val="-6.1219740653162734E-2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rgbClr val="646464"/>
                        </a:solidFill>
                      </a:rPr>
                      <a:t>33.3%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C7BF-47A7-9332-CDCDADBCA23C}"/>
                </c:ext>
              </c:extLst>
            </c:dLbl>
            <c:dLbl>
              <c:idx val="9"/>
              <c:layout>
                <c:manualLayout>
                  <c:x val="0"/>
                  <c:y val="-5.0619646325335249E-2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rgbClr val="646464"/>
                        </a:solidFill>
                      </a:rPr>
                      <a:t>29.1%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C7BF-47A7-9332-CDCDADBCA23C}"/>
                </c:ext>
              </c:extLst>
            </c:dLbl>
            <c:dLbl>
              <c:idx val="10"/>
              <c:layout>
                <c:manualLayout>
                  <c:x val="5.1621213493993477E-17"/>
                  <c:y val="-5.0619646325335207E-2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rgbClr val="646464"/>
                        </a:solidFill>
                      </a:rPr>
                      <a:t>28.7%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C7BF-47A7-9332-CDCDADBCA23C}"/>
                </c:ext>
              </c:extLst>
            </c:dLbl>
            <c:dLbl>
              <c:idx val="11"/>
              <c:layout>
                <c:manualLayout>
                  <c:x val="0"/>
                  <c:y val="-3.1186077197577197E-2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rgbClr val="646464"/>
                        </a:solidFill>
                      </a:rPr>
                      <a:t>23.6%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C7BF-47A7-9332-CDCDADBCA23C}"/>
                </c:ext>
              </c:extLst>
            </c:dLbl>
            <c:dLbl>
              <c:idx val="12"/>
              <c:layout>
                <c:manualLayout>
                  <c:x val="-1.4078675407270028E-3"/>
                  <c:y val="-5.1061301207309402E-2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rgbClr val="646464"/>
                        </a:solidFill>
                      </a:rPr>
                      <a:t>27.4%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C7BF-47A7-9332-CDCDADBCA23C}"/>
                </c:ext>
              </c:extLst>
            </c:dLbl>
            <c:dLbl>
              <c:idx val="13"/>
              <c:layout>
                <c:manualLayout>
                  <c:x val="0"/>
                  <c:y val="-6.5636478053127958E-2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rgbClr val="646464"/>
                        </a:solidFill>
                      </a:rPr>
                      <a:t>29.4%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7-C7BF-47A7-9332-CDCDADBCA23C}"/>
                </c:ext>
              </c:extLst>
            </c:dLbl>
            <c:dLbl>
              <c:idx val="14"/>
              <c:layout>
                <c:manualLayout>
                  <c:x val="0"/>
                  <c:y val="-3.3394351607448393E-2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rgbClr val="646464"/>
                        </a:solidFill>
                      </a:rPr>
                      <a:t>21.0%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C7BF-47A7-9332-CDCDADBCA23C}"/>
                </c:ext>
              </c:extLst>
            </c:dLbl>
            <c:dLbl>
              <c:idx val="15"/>
              <c:layout>
                <c:manualLayout>
                  <c:x val="0"/>
                  <c:y val="-6.0778085771188449E-2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rgbClr val="646464"/>
                        </a:solidFill>
                      </a:rPr>
                      <a:t>26.5%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FAED-4E4A-BA85-DFE31FB40DF1}"/>
                </c:ext>
              </c:extLst>
            </c:dLbl>
            <c:dLbl>
              <c:idx val="16"/>
              <c:layout>
                <c:manualLayout>
                  <c:x val="-1.4078675407270028E-3"/>
                  <c:y val="-4.1344516643430439E-2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rgbClr val="646464"/>
                        </a:solidFill>
                      </a:rPr>
                      <a:t>21.5%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A-C7BF-47A7-9332-CDCDADBCA23C}"/>
                </c:ext>
              </c:extLst>
            </c:dLbl>
            <c:dLbl>
              <c:idx val="17"/>
              <c:layout>
                <c:manualLayout>
                  <c:x val="-1.0324242698798695E-16"/>
                  <c:y val="-4.9294681679412491E-2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rgbClr val="646464"/>
                        </a:solidFill>
                      </a:rPr>
                      <a:t>23.2%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C7BF-47A7-9332-CDCDADBCA23C}"/>
                </c:ext>
              </c:extLst>
            </c:dLbl>
            <c:dLbl>
              <c:idx val="18"/>
              <c:layout>
                <c:manualLayout>
                  <c:x val="0"/>
                  <c:y val="-4.3111324751550315E-2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rgbClr val="646464"/>
                        </a:solidFill>
                      </a:rPr>
                      <a:t>16.7%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C-C7BF-47A7-9332-CDCDADBCA23C}"/>
                </c:ext>
              </c:extLst>
            </c:dLbl>
            <c:dLbl>
              <c:idx val="19"/>
              <c:layout>
                <c:manualLayout>
                  <c:x val="-1.4078675407272092E-3"/>
                  <c:y val="-4.222782640737896E-2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rgbClr val="646464"/>
                        </a:solidFill>
                      </a:rPr>
                      <a:t>15.2%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D-C7BF-47A7-9332-CDCDADBCA23C}"/>
                </c:ext>
              </c:extLst>
            </c:dLbl>
            <c:dLbl>
              <c:idx val="20"/>
              <c:layout>
                <c:manualLayout>
                  <c:x val="-1.0324242698798695E-16"/>
                  <c:y val="-3.5602814597542463E-2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rgbClr val="646464"/>
                        </a:solidFill>
                      </a:rPr>
                      <a:t>12.6%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E-C7BF-47A7-9332-CDCDADBCA23C}"/>
                </c:ext>
              </c:extLst>
            </c:dLbl>
            <c:dLbl>
              <c:idx val="21"/>
              <c:layout>
                <c:manualLayout>
                  <c:x val="-1.0324242698798695E-16"/>
                  <c:y val="-3.2952885305697024E-2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rgbClr val="646464"/>
                        </a:solidFill>
                      </a:rPr>
                      <a:t>11.2%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F-C7BF-47A7-9332-CDCDADBCA23C}"/>
                </c:ext>
              </c:extLst>
            </c:dLbl>
            <c:dLbl>
              <c:idx val="22"/>
              <c:layout>
                <c:manualLayout>
                  <c:x val="-2.0648485397597391E-16"/>
                  <c:y val="-4.8411371915464012E-2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rgbClr val="646464"/>
                        </a:solidFill>
                      </a:rPr>
                      <a:t>13.0%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0-C7BF-47A7-9332-CDCDADBCA23C}"/>
                </c:ext>
              </c:extLst>
            </c:dLbl>
            <c:dLbl>
              <c:idx val="23"/>
              <c:layout>
                <c:manualLayout>
                  <c:x val="0"/>
                  <c:y val="-5.459472884332614E-2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rgbClr val="646464"/>
                        </a:solidFill>
                      </a:rPr>
                      <a:t>14.5%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C-C7BF-47A7-9332-CDCDADBCA23C}"/>
                </c:ext>
              </c:extLst>
            </c:dLbl>
            <c:dLbl>
              <c:idx val="24"/>
              <c:layout>
                <c:manualLayout>
                  <c:x val="0"/>
                  <c:y val="-7.0494870335067461E-2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rgbClr val="646464"/>
                        </a:solidFill>
                      </a:rPr>
                      <a:t>29.8%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D-C7BF-47A7-9332-CDCDADBCA2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>
                    <a:solidFill>
                      <a:srgbClr val="646464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'Charts Data'!$AK$4:$AK$28</c:f>
              <c:strCache>
                <c:ptCount val="25"/>
                <c:pt idx="0">
                  <c:v>Banks</c:v>
                </c:pt>
                <c:pt idx="1">
                  <c:v>Household and Personal Products</c:v>
                </c:pt>
                <c:pt idx="2">
                  <c:v>Software and Services</c:v>
                </c:pt>
                <c:pt idx="3">
                  <c:v>Diversified Financials</c:v>
                </c:pt>
                <c:pt idx="4">
                  <c:v>Retailing</c:v>
                </c:pt>
                <c:pt idx="5">
                  <c:v>Pharma, Biotech and Life Sciences</c:v>
                </c:pt>
                <c:pt idx="6">
                  <c:v>Telecommunication Services</c:v>
                </c:pt>
                <c:pt idx="7">
                  <c:v>Healthcare Equipment and Services</c:v>
                </c:pt>
                <c:pt idx="8">
                  <c:v>Consumer Durables and Apparel</c:v>
                </c:pt>
                <c:pt idx="9">
                  <c:v>Media</c:v>
                </c:pt>
                <c:pt idx="10">
                  <c:v>Commercial and Professional Services</c:v>
                </c:pt>
                <c:pt idx="11">
                  <c:v>Food and Staples Retailing</c:v>
                </c:pt>
                <c:pt idx="12">
                  <c:v>Food, Beverage and Tobacco</c:v>
                </c:pt>
                <c:pt idx="13">
                  <c:v>Technology Hardware and Equipment</c:v>
                </c:pt>
                <c:pt idx="14">
                  <c:v>Semiconductors and Semi. Equipment</c:v>
                </c:pt>
                <c:pt idx="15">
                  <c:v>Consumer Services</c:v>
                </c:pt>
                <c:pt idx="16">
                  <c:v>Capital Goods</c:v>
                </c:pt>
                <c:pt idx="17">
                  <c:v>Insurance</c:v>
                </c:pt>
                <c:pt idx="18">
                  <c:v>Energy</c:v>
                </c:pt>
                <c:pt idx="19">
                  <c:v>Materials</c:v>
                </c:pt>
                <c:pt idx="20">
                  <c:v>Automobiles and Components</c:v>
                </c:pt>
                <c:pt idx="21">
                  <c:v>Real Estate</c:v>
                </c:pt>
                <c:pt idx="22">
                  <c:v>Transportation</c:v>
                </c:pt>
                <c:pt idx="23">
                  <c:v>Utilities</c:v>
                </c:pt>
                <c:pt idx="24">
                  <c:v>Cross Industry</c:v>
                </c:pt>
              </c:strCache>
            </c:strRef>
          </c:cat>
          <c:val>
            <c:numRef>
              <c:f>'Charts Data'!$AN$4:$AN$28</c:f>
              <c:numCache>
                <c:formatCode>0.0%</c:formatCode>
                <c:ptCount val="25"/>
                <c:pt idx="0">
                  <c:v>6.7999999999999949E-2</c:v>
                </c:pt>
                <c:pt idx="1">
                  <c:v>0.16200000000000003</c:v>
                </c:pt>
                <c:pt idx="2">
                  <c:v>0.15999999999999998</c:v>
                </c:pt>
                <c:pt idx="3">
                  <c:v>0.23400000000000004</c:v>
                </c:pt>
                <c:pt idx="4">
                  <c:v>7.7999999999999958E-2</c:v>
                </c:pt>
                <c:pt idx="5">
                  <c:v>9.5000000000000029E-2</c:v>
                </c:pt>
                <c:pt idx="6">
                  <c:v>8.500000000000002E-2</c:v>
                </c:pt>
                <c:pt idx="7">
                  <c:v>0.11699999999999999</c:v>
                </c:pt>
                <c:pt idx="8">
                  <c:v>0.10400000000000001</c:v>
                </c:pt>
                <c:pt idx="9">
                  <c:v>7.9999999999999988E-2</c:v>
                </c:pt>
                <c:pt idx="10">
                  <c:v>7.9999999999999988E-2</c:v>
                </c:pt>
                <c:pt idx="11">
                  <c:v>3.5999999999999976E-2</c:v>
                </c:pt>
                <c:pt idx="12">
                  <c:v>8.1000000000000016E-2</c:v>
                </c:pt>
                <c:pt idx="13">
                  <c:v>0.11399999999999999</c:v>
                </c:pt>
                <c:pt idx="14">
                  <c:v>4.0999999999999981E-2</c:v>
                </c:pt>
                <c:pt idx="15">
                  <c:v>0.10300000000000001</c:v>
                </c:pt>
                <c:pt idx="16">
                  <c:v>5.8999999999999997E-2</c:v>
                </c:pt>
                <c:pt idx="17">
                  <c:v>7.7000000000000013E-2</c:v>
                </c:pt>
                <c:pt idx="18">
                  <c:v>6.3000000000000014E-2</c:v>
                </c:pt>
                <c:pt idx="19">
                  <c:v>6.0999999999999999E-2</c:v>
                </c:pt>
                <c:pt idx="20">
                  <c:v>4.5999999999999999E-2</c:v>
                </c:pt>
                <c:pt idx="21">
                  <c:v>4.0000000000000008E-2</c:v>
                </c:pt>
                <c:pt idx="22">
                  <c:v>7.5000000000000011E-2</c:v>
                </c:pt>
                <c:pt idx="23">
                  <c:v>8.8999999999999996E-2</c:v>
                </c:pt>
                <c:pt idx="24">
                  <c:v>0.12499999999999997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7BF-47A7-9332-CDCDADBCA2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"/>
        <c:overlap val="100"/>
        <c:axId val="729722880"/>
        <c:axId val="128317056"/>
      </c:barChart>
      <c:catAx>
        <c:axId val="7297228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>
                <a:solidFill>
                  <a:srgbClr val="646464"/>
                </a:solidFill>
              </a:defRPr>
            </a:pPr>
            <a:endParaRPr lang="en-US"/>
          </a:p>
        </c:txPr>
        <c:crossAx val="128317056"/>
        <c:crosses val="autoZero"/>
        <c:auto val="1"/>
        <c:lblAlgn val="ctr"/>
        <c:lblOffset val="100"/>
        <c:noMultiLvlLbl val="0"/>
      </c:catAx>
      <c:valAx>
        <c:axId val="128317056"/>
        <c:scaling>
          <c:orientation val="minMax"/>
          <c:max val="0.60000000000000009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r>
                  <a:rPr lang="en-US">
                    <a:solidFill>
                      <a:srgbClr val="646464"/>
                    </a:solidFill>
                  </a:rPr>
                  <a:t>SG&amp;A Cost as a % of Revenue</a:t>
                </a:r>
              </a:p>
            </c:rich>
          </c:tx>
          <c:layout>
            <c:manualLayout>
              <c:xMode val="edge"/>
              <c:yMode val="edge"/>
              <c:x val="1.0724067090890485E-3"/>
              <c:y val="0.14508140662812535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646464"/>
                </a:solidFill>
              </a:defRPr>
            </a:pPr>
            <a:endParaRPr lang="en-US"/>
          </a:p>
        </c:txPr>
        <c:crossAx val="729722880"/>
        <c:crosses val="autoZero"/>
        <c:crossBetween val="between"/>
        <c:majorUnit val="0.1"/>
      </c:valAx>
      <c:spPr>
        <a:noFill/>
        <a:ln w="25400">
          <a:noFill/>
        </a:ln>
      </c:spPr>
    </c:plotArea>
    <c:plotVisOnly val="1"/>
    <c:dispBlanksAs val="gap"/>
    <c:showDLblsOverMax val="0"/>
  </c:chart>
  <c:txPr>
    <a:bodyPr/>
    <a:lstStyle/>
    <a:p>
      <a:pPr>
        <a:defRPr>
          <a:solidFill>
            <a:srgbClr val="00206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53164105007051"/>
          <c:y val="0.13114481894864019"/>
          <c:w val="0.78998400403071911"/>
          <c:h val="0.70778150015339314"/>
        </c:manualLayout>
      </c:layout>
      <c:scatterChart>
        <c:scatterStyle val="lineMarker"/>
        <c:varyColors val="0"/>
        <c:ser>
          <c:idx val="4"/>
          <c:order val="0"/>
          <c:tx>
            <c:strRef>
              <c:f>'Charts Data'!$M$3:$M$14</c:f>
              <c:strCache>
                <c:ptCount val="12"/>
              </c:strCache>
            </c:strRef>
          </c:tx>
          <c:spPr>
            <a:ln w="28575">
              <a:noFill/>
            </a:ln>
            <a:effectLst/>
          </c:spPr>
          <c:marker>
            <c:symbol val="circle"/>
            <c:size val="8"/>
            <c:spPr>
              <a:solidFill>
                <a:srgbClr val="0083CA"/>
              </a:solidFill>
              <a:ln>
                <a:noFill/>
              </a:ln>
              <a:effectLst/>
            </c:spPr>
          </c:marker>
          <c:dPt>
            <c:idx val="0"/>
            <c:marker>
              <c:spPr>
                <a:solidFill>
                  <a:srgbClr val="002B49"/>
                </a:solidFill>
                <a:ln>
                  <a:solidFill>
                    <a:srgbClr val="002B49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4606-4D31-864F-2F77BA76DADB}"/>
              </c:ext>
            </c:extLst>
          </c:dPt>
          <c:dPt>
            <c:idx val="1"/>
            <c:marker>
              <c:spPr>
                <a:solidFill>
                  <a:srgbClr val="002B49"/>
                </a:solidFill>
                <a:ln>
                  <a:solidFill>
                    <a:srgbClr val="002B49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4606-4D31-864F-2F77BA76DADB}"/>
              </c:ext>
            </c:extLst>
          </c:dPt>
          <c:dPt>
            <c:idx val="2"/>
            <c:marker>
              <c:symbol val="circle"/>
              <c:size val="10"/>
              <c:spPr>
                <a:solidFill>
                  <a:srgbClr val="5E8AB4"/>
                </a:solidFill>
                <a:ln>
                  <a:solidFill>
                    <a:srgbClr val="5E8AB4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4606-4D31-864F-2F77BA76DADB}"/>
              </c:ext>
            </c:extLst>
          </c:dPt>
          <c:dPt>
            <c:idx val="3"/>
            <c:marker>
              <c:spPr>
                <a:solidFill>
                  <a:srgbClr val="002B49"/>
                </a:solidFill>
                <a:ln>
                  <a:solidFill>
                    <a:srgbClr val="002B49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4606-4D31-864F-2F77BA76DADB}"/>
              </c:ext>
            </c:extLst>
          </c:dPt>
          <c:dPt>
            <c:idx val="4"/>
            <c:marker>
              <c:spPr>
                <a:solidFill>
                  <a:srgbClr val="002B49"/>
                </a:solidFill>
                <a:ln>
                  <a:solidFill>
                    <a:srgbClr val="002B49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4606-4D31-864F-2F77BA76DADB}"/>
              </c:ext>
            </c:extLst>
          </c:dPt>
          <c:dPt>
            <c:idx val="5"/>
            <c:marker>
              <c:spPr>
                <a:solidFill>
                  <a:srgbClr val="002B49"/>
                </a:solidFill>
                <a:ln>
                  <a:solidFill>
                    <a:srgbClr val="002B49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4606-4D31-864F-2F77BA76DADB}"/>
              </c:ext>
            </c:extLst>
          </c:dPt>
          <c:dPt>
            <c:idx val="6"/>
            <c:marker>
              <c:spPr>
                <a:solidFill>
                  <a:srgbClr val="002B49"/>
                </a:solidFill>
                <a:ln>
                  <a:solidFill>
                    <a:srgbClr val="002B49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4606-4D31-864F-2F77BA76DADB}"/>
              </c:ext>
            </c:extLst>
          </c:dPt>
          <c:dPt>
            <c:idx val="7"/>
            <c:marker>
              <c:spPr>
                <a:solidFill>
                  <a:srgbClr val="002B49"/>
                </a:solidFill>
                <a:ln>
                  <a:solidFill>
                    <a:srgbClr val="002B49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4606-4D31-864F-2F77BA76DADB}"/>
              </c:ext>
            </c:extLst>
          </c:dPt>
          <c:dPt>
            <c:idx val="8"/>
            <c:marker>
              <c:spPr>
                <a:solidFill>
                  <a:srgbClr val="002B49"/>
                </a:solidFill>
                <a:ln>
                  <a:solidFill>
                    <a:srgbClr val="002B49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4606-4D31-864F-2F77BA76DADB}"/>
              </c:ext>
            </c:extLst>
          </c:dPt>
          <c:dPt>
            <c:idx val="9"/>
            <c:marker>
              <c:spPr>
                <a:solidFill>
                  <a:srgbClr val="002B49"/>
                </a:solidFill>
                <a:ln>
                  <a:solidFill>
                    <a:srgbClr val="002B49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4606-4D31-864F-2F77BA76DADB}"/>
              </c:ext>
            </c:extLst>
          </c:dPt>
          <c:dPt>
            <c:idx val="10"/>
            <c:marker>
              <c:spPr>
                <a:solidFill>
                  <a:srgbClr val="002B49"/>
                </a:solidFill>
                <a:ln>
                  <a:solidFill>
                    <a:srgbClr val="002B49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4606-4D31-864F-2F77BA76DADB}"/>
              </c:ext>
            </c:extLst>
          </c:dPt>
          <c:dPt>
            <c:idx val="11"/>
            <c:marker>
              <c:spPr>
                <a:solidFill>
                  <a:srgbClr val="002B49"/>
                </a:solidFill>
                <a:ln>
                  <a:solidFill>
                    <a:srgbClr val="002B49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4606-4D31-864F-2F77BA76DADB}"/>
              </c:ext>
            </c:extLst>
          </c:dPt>
          <c:dPt>
            <c:idx val="12"/>
            <c:marker>
              <c:spPr>
                <a:solidFill>
                  <a:srgbClr val="002B49"/>
                </a:solidFill>
                <a:ln>
                  <a:solidFill>
                    <a:srgbClr val="002B49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4606-4D31-864F-2F77BA76DADB}"/>
              </c:ext>
            </c:extLst>
          </c:dPt>
          <c:dPt>
            <c:idx val="13"/>
            <c:marker>
              <c:spPr>
                <a:solidFill>
                  <a:srgbClr val="002B49"/>
                </a:solidFill>
                <a:ln>
                  <a:solidFill>
                    <a:srgbClr val="002B49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4606-4D31-864F-2F77BA76DADB}"/>
              </c:ext>
            </c:extLst>
          </c:dPt>
          <c:dPt>
            <c:idx val="14"/>
            <c:marker>
              <c:spPr>
                <a:solidFill>
                  <a:srgbClr val="002B49"/>
                </a:solidFill>
                <a:ln>
                  <a:solidFill>
                    <a:srgbClr val="002B49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4606-4D31-864F-2F77BA76DADB}"/>
              </c:ext>
            </c:extLst>
          </c:dPt>
          <c:dPt>
            <c:idx val="15"/>
            <c:marker>
              <c:spPr>
                <a:solidFill>
                  <a:srgbClr val="002B49"/>
                </a:solidFill>
                <a:ln>
                  <a:solidFill>
                    <a:srgbClr val="002B49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4606-4D31-864F-2F77BA76DADB}"/>
              </c:ext>
            </c:extLst>
          </c:dPt>
          <c:dPt>
            <c:idx val="16"/>
            <c:marker>
              <c:spPr>
                <a:solidFill>
                  <a:srgbClr val="0083CA"/>
                </a:solidFill>
                <a:ln>
                  <a:solidFill>
                    <a:srgbClr val="7030A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4606-4D31-864F-2F77BA76DADB}"/>
              </c:ext>
            </c:extLst>
          </c:dPt>
          <c:dPt>
            <c:idx val="17"/>
            <c:marker>
              <c:spPr>
                <a:solidFill>
                  <a:srgbClr val="0083CA"/>
                </a:solidFill>
                <a:ln>
                  <a:solidFill>
                    <a:srgbClr val="7030A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4606-4D31-864F-2F77BA76DADB}"/>
              </c:ext>
            </c:extLst>
          </c:dPt>
          <c:dPt>
            <c:idx val="18"/>
            <c:marker>
              <c:spPr>
                <a:solidFill>
                  <a:srgbClr val="0083CA"/>
                </a:solidFill>
                <a:ln>
                  <a:solidFill>
                    <a:srgbClr val="7030A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4606-4D31-864F-2F77BA76DADB}"/>
              </c:ext>
            </c:extLst>
          </c:dPt>
          <c:dPt>
            <c:idx val="19"/>
            <c:marker>
              <c:spPr>
                <a:solidFill>
                  <a:srgbClr val="0083CA"/>
                </a:solidFill>
                <a:ln>
                  <a:solidFill>
                    <a:srgbClr val="7030A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4606-4D31-864F-2F77BA76DADB}"/>
              </c:ext>
            </c:extLst>
          </c:dPt>
          <c:dPt>
            <c:idx val="20"/>
            <c:marker>
              <c:spPr>
                <a:solidFill>
                  <a:srgbClr val="0083CA"/>
                </a:solidFill>
                <a:ln>
                  <a:solidFill>
                    <a:srgbClr val="7030A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4606-4D31-864F-2F77BA76DADB}"/>
              </c:ext>
            </c:extLst>
          </c:dPt>
          <c:dPt>
            <c:idx val="21"/>
            <c:marker>
              <c:spPr>
                <a:solidFill>
                  <a:srgbClr val="0083CA"/>
                </a:solidFill>
                <a:ln>
                  <a:solidFill>
                    <a:srgbClr val="7030A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4606-4D31-864F-2F77BA76DADB}"/>
              </c:ext>
            </c:extLst>
          </c:dPt>
          <c:dPt>
            <c:idx val="22"/>
            <c:marker>
              <c:spPr>
                <a:solidFill>
                  <a:srgbClr val="0083CA"/>
                </a:solidFill>
                <a:ln>
                  <a:solidFill>
                    <a:srgbClr val="7030A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4606-4D31-864F-2F77BA76DADB}"/>
              </c:ext>
            </c:extLst>
          </c:dPt>
          <c:dPt>
            <c:idx val="23"/>
            <c:marker>
              <c:spPr>
                <a:solidFill>
                  <a:srgbClr val="0083CA"/>
                </a:solidFill>
                <a:ln>
                  <a:solidFill>
                    <a:srgbClr val="7030A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4606-4D31-864F-2F77BA76DADB}"/>
              </c:ext>
            </c:extLst>
          </c:dPt>
          <c:dPt>
            <c:idx val="24"/>
            <c:marker>
              <c:spPr>
                <a:solidFill>
                  <a:srgbClr val="0083CA"/>
                </a:solidFill>
                <a:ln>
                  <a:solidFill>
                    <a:srgbClr val="7030A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4606-4D31-864F-2F77BA76DADB}"/>
              </c:ext>
            </c:extLst>
          </c:dPt>
          <c:dPt>
            <c:idx val="25"/>
            <c:marker>
              <c:spPr>
                <a:solidFill>
                  <a:srgbClr val="0083CA"/>
                </a:solidFill>
                <a:ln>
                  <a:solidFill>
                    <a:srgbClr val="7030A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4606-4D31-864F-2F77BA76DADB}"/>
              </c:ext>
            </c:extLst>
          </c:dPt>
          <c:dPt>
            <c:idx val="26"/>
            <c:marker>
              <c:spPr>
                <a:solidFill>
                  <a:srgbClr val="0083CA"/>
                </a:solidFill>
                <a:ln>
                  <a:solidFill>
                    <a:srgbClr val="7030A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4606-4D31-864F-2F77BA76DADB}"/>
              </c:ext>
            </c:extLst>
          </c:dPt>
          <c:dPt>
            <c:idx val="27"/>
            <c:marker>
              <c:spPr>
                <a:solidFill>
                  <a:srgbClr val="0083CA"/>
                </a:solidFill>
                <a:ln>
                  <a:solidFill>
                    <a:srgbClr val="7030A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4606-4D31-864F-2F77BA76DADB}"/>
              </c:ext>
            </c:extLst>
          </c:dPt>
          <c:dPt>
            <c:idx val="28"/>
            <c:marker>
              <c:spPr>
                <a:solidFill>
                  <a:srgbClr val="0083CA"/>
                </a:solidFill>
                <a:ln>
                  <a:solidFill>
                    <a:srgbClr val="7030A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4606-4D31-864F-2F77BA76DADB}"/>
              </c:ext>
            </c:extLst>
          </c:dPt>
          <c:dPt>
            <c:idx val="29"/>
            <c:marker>
              <c:spPr>
                <a:solidFill>
                  <a:srgbClr val="0083CA"/>
                </a:solidFill>
                <a:ln>
                  <a:solidFill>
                    <a:srgbClr val="7030A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4606-4D31-864F-2F77BA76DADB}"/>
              </c:ext>
            </c:extLst>
          </c:dPt>
          <c:dPt>
            <c:idx val="30"/>
            <c:marker>
              <c:spPr>
                <a:solidFill>
                  <a:srgbClr val="0083CA"/>
                </a:solidFill>
                <a:ln>
                  <a:solidFill>
                    <a:srgbClr val="7030A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4606-4D31-864F-2F77BA76DADB}"/>
              </c:ext>
            </c:extLst>
          </c:dPt>
          <c:dPt>
            <c:idx val="31"/>
            <c:marker>
              <c:spPr>
                <a:solidFill>
                  <a:srgbClr val="0083CA"/>
                </a:solidFill>
                <a:ln>
                  <a:solidFill>
                    <a:srgbClr val="7030A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4606-4D31-864F-2F77BA76DADB}"/>
              </c:ext>
            </c:extLst>
          </c:dPt>
          <c:dPt>
            <c:idx val="32"/>
            <c:marker>
              <c:spPr>
                <a:solidFill>
                  <a:srgbClr val="0083CA"/>
                </a:solidFill>
                <a:ln>
                  <a:solidFill>
                    <a:srgbClr val="7030A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4606-4D31-864F-2F77BA76DADB}"/>
              </c:ext>
            </c:extLst>
          </c:dPt>
          <c:dPt>
            <c:idx val="33"/>
            <c:marker>
              <c:spPr>
                <a:solidFill>
                  <a:srgbClr val="0083CA"/>
                </a:solidFill>
                <a:ln>
                  <a:solidFill>
                    <a:srgbClr val="7030A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4606-4D31-864F-2F77BA76DADB}"/>
              </c:ext>
            </c:extLst>
          </c:dPt>
          <c:dPt>
            <c:idx val="34"/>
            <c:marker>
              <c:spPr>
                <a:solidFill>
                  <a:srgbClr val="0083CA"/>
                </a:solidFill>
                <a:ln>
                  <a:solidFill>
                    <a:srgbClr val="7030A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4606-4D31-864F-2F77BA76DADB}"/>
              </c:ext>
            </c:extLst>
          </c:dPt>
          <c:dPt>
            <c:idx val="35"/>
            <c:marker>
              <c:spPr>
                <a:solidFill>
                  <a:srgbClr val="0083CA"/>
                </a:solidFill>
                <a:ln>
                  <a:solidFill>
                    <a:srgbClr val="7030A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4606-4D31-864F-2F77BA76DADB}"/>
              </c:ext>
            </c:extLst>
          </c:dPt>
          <c:dPt>
            <c:idx val="36"/>
            <c:marker>
              <c:spPr>
                <a:solidFill>
                  <a:srgbClr val="0083CA"/>
                </a:solidFill>
                <a:ln>
                  <a:solidFill>
                    <a:srgbClr val="7030A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4606-4D31-864F-2F77BA76DADB}"/>
              </c:ext>
            </c:extLst>
          </c:dPt>
          <c:dPt>
            <c:idx val="37"/>
            <c:marker>
              <c:spPr>
                <a:solidFill>
                  <a:srgbClr val="0083CA"/>
                </a:solidFill>
                <a:ln>
                  <a:solidFill>
                    <a:srgbClr val="7030A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4606-4D31-864F-2F77BA76DADB}"/>
              </c:ext>
            </c:extLst>
          </c:dPt>
          <c:dPt>
            <c:idx val="38"/>
            <c:marker>
              <c:spPr>
                <a:solidFill>
                  <a:srgbClr val="0083CA"/>
                </a:solidFill>
                <a:ln>
                  <a:solidFill>
                    <a:srgbClr val="7030A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4606-4D31-864F-2F77BA76DADB}"/>
              </c:ext>
            </c:extLst>
          </c:dPt>
          <c:dPt>
            <c:idx val="39"/>
            <c:marker>
              <c:spPr>
                <a:solidFill>
                  <a:srgbClr val="0083CA"/>
                </a:solidFill>
                <a:ln>
                  <a:solidFill>
                    <a:srgbClr val="7030A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4606-4D31-864F-2F77BA76DADB}"/>
              </c:ext>
            </c:extLst>
          </c:dPt>
          <c:dPt>
            <c:idx val="40"/>
            <c:marker>
              <c:spPr>
                <a:solidFill>
                  <a:srgbClr val="0083CA"/>
                </a:solidFill>
                <a:ln>
                  <a:solidFill>
                    <a:srgbClr val="7030A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4606-4D31-864F-2F77BA76DADB}"/>
              </c:ext>
            </c:extLst>
          </c:dPt>
          <c:dPt>
            <c:idx val="41"/>
            <c:marker>
              <c:spPr>
                <a:solidFill>
                  <a:srgbClr val="0083CA"/>
                </a:solidFill>
                <a:ln>
                  <a:solidFill>
                    <a:srgbClr val="7030A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4606-4D31-864F-2F77BA76DADB}"/>
              </c:ext>
            </c:extLst>
          </c:dPt>
          <c:dPt>
            <c:idx val="42"/>
            <c:marker>
              <c:spPr>
                <a:solidFill>
                  <a:srgbClr val="0083CA"/>
                </a:solidFill>
                <a:ln>
                  <a:solidFill>
                    <a:srgbClr val="7030A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4606-4D31-864F-2F77BA76DADB}"/>
              </c:ext>
            </c:extLst>
          </c:dPt>
          <c:dPt>
            <c:idx val="43"/>
            <c:marker>
              <c:spPr>
                <a:solidFill>
                  <a:srgbClr val="0083CA"/>
                </a:solidFill>
                <a:ln>
                  <a:solidFill>
                    <a:srgbClr val="7030A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4606-4D31-864F-2F77BA76DADB}"/>
              </c:ext>
            </c:extLst>
          </c:dPt>
          <c:dPt>
            <c:idx val="44"/>
            <c:marker>
              <c:spPr>
                <a:solidFill>
                  <a:srgbClr val="0083CA"/>
                </a:solidFill>
                <a:ln>
                  <a:solidFill>
                    <a:srgbClr val="7030A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4606-4D31-864F-2F77BA76DADB}"/>
              </c:ext>
            </c:extLst>
          </c:dPt>
          <c:dPt>
            <c:idx val="45"/>
            <c:marker>
              <c:spPr>
                <a:solidFill>
                  <a:srgbClr val="0083CA"/>
                </a:solidFill>
                <a:ln>
                  <a:solidFill>
                    <a:srgbClr val="7030A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4606-4D31-864F-2F77BA76DADB}"/>
              </c:ext>
            </c:extLst>
          </c:dPt>
          <c:dPt>
            <c:idx val="46"/>
            <c:marker>
              <c:spPr>
                <a:solidFill>
                  <a:srgbClr val="0083CA"/>
                </a:solidFill>
                <a:ln>
                  <a:solidFill>
                    <a:srgbClr val="7030A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4606-4D31-864F-2F77BA76DADB}"/>
              </c:ext>
            </c:extLst>
          </c:dPt>
          <c:dPt>
            <c:idx val="47"/>
            <c:marker>
              <c:spPr>
                <a:solidFill>
                  <a:srgbClr val="0083CA"/>
                </a:solidFill>
                <a:ln>
                  <a:solidFill>
                    <a:srgbClr val="7030A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4606-4D31-864F-2F77BA76DADB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646464"/>
                        </a:solidFill>
                      </a:defRPr>
                    </a:pPr>
                    <a:r>
                      <a:rPr lang="en-US" sz="900">
                        <a:solidFill>
                          <a:srgbClr val="646464"/>
                        </a:solidFill>
                      </a:rPr>
                      <a:t>United Microelectronics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4606-4D31-864F-2F77BA76DADB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646464"/>
                        </a:solidFill>
                      </a:defRPr>
                    </a:pPr>
                    <a:r>
                      <a:rPr lang="en-US" sz="900">
                        <a:solidFill>
                          <a:srgbClr val="646464"/>
                        </a:solidFill>
                      </a:rPr>
                      <a:t>Jinkosolar Holding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4606-4D31-864F-2F77BA76DADB}"/>
                </c:ext>
              </c:extLst>
            </c:dLbl>
            <c:dLbl>
              <c:idx val="2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000">
                        <a:solidFill>
                          <a:srgbClr val="646464"/>
                        </a:solidFill>
                      </a:defRPr>
                    </a:pPr>
                    <a:r>
                      <a:rPr lang="en-US" sz="1000">
                        <a:solidFill>
                          <a:srgbClr val="646464"/>
                        </a:solidFill>
                      </a:rPr>
                      <a:t>Advanced Micro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4606-4D31-864F-2F77BA76DADB}"/>
                </c:ext>
              </c:extLst>
            </c:dLbl>
            <c:dLbl>
              <c:idx val="3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646464"/>
                        </a:solidFill>
                      </a:defRPr>
                    </a:pPr>
                    <a:r>
                      <a:rPr lang="en-US" sz="900">
                        <a:solidFill>
                          <a:srgbClr val="646464"/>
                        </a:solidFill>
                      </a:rPr>
                      <a:t>Canadian Solar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4606-4D31-864F-2F77BA76DADB}"/>
                </c:ext>
              </c:extLst>
            </c:dLbl>
            <c:dLbl>
              <c:idx val="4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646464"/>
                        </a:solidFill>
                      </a:defRPr>
                    </a:pPr>
                    <a:r>
                      <a:rPr lang="en-US" sz="900">
                        <a:solidFill>
                          <a:srgbClr val="646464"/>
                        </a:solidFill>
                      </a:rPr>
                      <a:t>Microchip Technology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4606-4D31-864F-2F77BA76DADB}"/>
                </c:ext>
              </c:extLst>
            </c:dLbl>
            <c:dLbl>
              <c:idx val="5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646464"/>
                        </a:solidFill>
                      </a:defRPr>
                    </a:pPr>
                    <a:r>
                      <a:rPr lang="en-US" sz="900">
                        <a:solidFill>
                          <a:srgbClr val="646464"/>
                        </a:solidFill>
                      </a:rPr>
                      <a:t>Amkor Technology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606-4D31-864F-2F77BA76DADB}"/>
                </c:ext>
              </c:extLst>
            </c:dLbl>
            <c:dLbl>
              <c:idx val="6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646464"/>
                        </a:solidFill>
                      </a:defRPr>
                    </a:pPr>
                    <a:r>
                      <a:rPr lang="en-US" sz="900">
                        <a:solidFill>
                          <a:srgbClr val="646464"/>
                        </a:solidFill>
                      </a:rPr>
                      <a:t>On Semiconductor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606-4D31-864F-2F77BA76DADB}"/>
                </c:ext>
              </c:extLst>
            </c:dLbl>
            <c:dLbl>
              <c:idx val="7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646464"/>
                        </a:solidFill>
                      </a:defRPr>
                    </a:pPr>
                    <a:r>
                      <a:rPr lang="en-US" sz="900">
                        <a:solidFill>
                          <a:srgbClr val="646464"/>
                        </a:solidFill>
                      </a:rPr>
                      <a:t>Stmicroelectronics Nv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606-4D31-864F-2F77BA76DAD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pPr>
                      <a:defRPr sz="900">
                        <a:solidFill>
                          <a:srgbClr val="646464"/>
                        </a:solidFill>
                      </a:defRPr>
                    </a:pPr>
                    <a:r>
                      <a:rPr lang="en-US" sz="900">
                        <a:solidFill>
                          <a:srgbClr val="646464"/>
                        </a:solidFill>
                      </a:rPr>
                      <a:t>Semiconductor Manufacturing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606-4D31-864F-2F77BA76DADB}"/>
                </c:ext>
              </c:extLst>
            </c:dLbl>
            <c:dLbl>
              <c:idx val="9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646464"/>
                        </a:solidFill>
                      </a:defRPr>
                    </a:pPr>
                    <a:r>
                      <a:rPr lang="en-US" sz="900"/>
                      <a:t>Nxp Semiconductors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606-4D31-864F-2F77BA76DADB}"/>
                </c:ext>
              </c:extLst>
            </c:dLbl>
            <c:dLbl>
              <c:idx val="1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646464"/>
                        </a:solidFill>
                      </a:defRPr>
                    </a:pPr>
                    <a:r>
                      <a:rPr lang="en-US" sz="900"/>
                      <a:t>Analog Devices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606-4D31-864F-2F77BA76DAD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pPr>
                      <a:defRPr sz="900">
                        <a:solidFill>
                          <a:srgbClr val="646464"/>
                        </a:solidFill>
                      </a:defRPr>
                    </a:pPr>
                    <a:r>
                      <a:rPr lang="en-US" sz="900">
                        <a:solidFill>
                          <a:srgbClr val="646464"/>
                        </a:solidFill>
                      </a:rPr>
                      <a:t>Skyworks Solutions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606-4D31-864F-2F77BA76DAD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pPr>
                      <a:defRPr sz="900">
                        <a:solidFill>
                          <a:srgbClr val="646464"/>
                        </a:solidFill>
                      </a:defRPr>
                    </a:pPr>
                    <a:r>
                      <a:rPr lang="en-US" sz="900">
                        <a:solidFill>
                          <a:srgbClr val="646464"/>
                        </a:solidFill>
                      </a:rPr>
                      <a:t>WHITING PETROLEUM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4606-4D31-864F-2F77BA76DAD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pPr>
                      <a:defRPr sz="900">
                        <a:solidFill>
                          <a:srgbClr val="646464"/>
                        </a:solidFill>
                      </a:defRPr>
                    </a:pPr>
                    <a:r>
                      <a:rPr lang="en-US" sz="900">
                        <a:solidFill>
                          <a:srgbClr val="646464"/>
                        </a:solidFill>
                      </a:rPr>
                      <a:t>CONCHO RESOURCES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4606-4D31-864F-2F77BA76DAD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pPr>
                      <a:defRPr sz="900">
                        <a:solidFill>
                          <a:srgbClr val="646464"/>
                        </a:solidFill>
                      </a:defRPr>
                    </a:pPr>
                    <a:r>
                      <a:rPr lang="en-US" sz="900">
                        <a:solidFill>
                          <a:srgbClr val="646464"/>
                        </a:solidFill>
                      </a:rPr>
                      <a:t>CONTINENTAL RESOURCES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4606-4D31-864F-2F77BA76DAD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pPr>
                      <a:defRPr sz="900">
                        <a:solidFill>
                          <a:srgbClr val="646464"/>
                        </a:solidFill>
                      </a:defRPr>
                    </a:pPr>
                    <a:r>
                      <a:rPr lang="en-US" sz="900">
                        <a:solidFill>
                          <a:srgbClr val="646464"/>
                        </a:solidFill>
                      </a:rPr>
                      <a:t>DIAMONDBACK ENERGY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4606-4D31-864F-2F77BA76DA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646464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'Charts Data'!$N$3:$N$14</c:f>
              <c:numCache>
                <c:formatCode>0.00</c:formatCode>
                <c:ptCount val="12"/>
              </c:numCache>
            </c:numRef>
          </c:xVal>
          <c:yVal>
            <c:numRef>
              <c:f>'Charts Data'!$O$3:$O$14</c:f>
              <c:numCache>
                <c:formatCode>0.00</c:formatCode>
                <c:ptCount val="1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606-4D31-864F-2F77BA76DADB}"/>
            </c:ext>
          </c:extLst>
        </c:ser>
        <c:ser>
          <c:idx val="0"/>
          <c:order val="1"/>
          <c:tx>
            <c:v>Median p50 cutoff</c:v>
          </c:tx>
          <c:spPr>
            <a:ln w="12700">
              <a:solidFill>
                <a:srgbClr val="ECCC99"/>
              </a:solidFill>
              <a:prstDash val="sysDash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</c:v>
              </c:pt>
              <c:pt idx="1">
                <c:v>0</c:v>
              </c:pt>
            </c:numLit>
          </c:xVal>
          <c:yVal>
            <c:numLit>
              <c:formatCode>General</c:formatCode>
              <c:ptCount val="2"/>
              <c:pt idx="0">
                <c:v>0.5</c:v>
              </c:pt>
              <c:pt idx="1">
                <c:v>0.5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0-6C34-4778-AE52-D804AA5D9BCF}"/>
            </c:ext>
          </c:extLst>
        </c:ser>
        <c:ser>
          <c:idx val="1"/>
          <c:order val="2"/>
          <c:tx>
            <c:v>Median p50 cutoff</c:v>
          </c:tx>
          <c:spPr>
            <a:ln w="12700">
              <a:solidFill>
                <a:srgbClr val="ECCC99"/>
              </a:solidFill>
              <a:prstDash val="sysDash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0.5</c:v>
              </c:pt>
              <c:pt idx="1">
                <c:v>0.5</c:v>
              </c:pt>
            </c:numLit>
          </c:xVal>
          <c:yVal>
            <c:numLit>
              <c:formatCode>General</c:formatCode>
              <c:ptCount val="2"/>
              <c:pt idx="0">
                <c:v>1</c:v>
              </c:pt>
              <c:pt idx="1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1-6C34-4778-AE52-D804AA5D9BCF}"/>
            </c:ext>
          </c:extLst>
        </c:ser>
        <c:ser>
          <c:idx val="2"/>
          <c:order val="3"/>
          <c:tx>
            <c:v>Top Quartile p75 cutoff</c:v>
          </c:tx>
          <c:spPr>
            <a:ln w="12700">
              <a:solidFill>
                <a:srgbClr val="A9C6AA"/>
              </a:solidFill>
              <a:prstDash val="sysDash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</c:v>
              </c:pt>
              <c:pt idx="1">
                <c:v>0</c:v>
              </c:pt>
            </c:numLit>
          </c:xVal>
          <c:yVal>
            <c:numLit>
              <c:formatCode>General</c:formatCode>
              <c:ptCount val="2"/>
              <c:pt idx="0">
                <c:v>0.75</c:v>
              </c:pt>
              <c:pt idx="1">
                <c:v>0.75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2-6C34-4778-AE52-D804AA5D9BCF}"/>
            </c:ext>
          </c:extLst>
        </c:ser>
        <c:ser>
          <c:idx val="3"/>
          <c:order val="4"/>
          <c:tx>
            <c:v>Top Quartile p75 cutoff</c:v>
          </c:tx>
          <c:spPr>
            <a:ln w="12700">
              <a:solidFill>
                <a:srgbClr val="A9C6AA"/>
              </a:solidFill>
              <a:prstDash val="sysDash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0.75</c:v>
              </c:pt>
              <c:pt idx="1">
                <c:v>0.75</c:v>
              </c:pt>
            </c:numLit>
          </c:xVal>
          <c:yVal>
            <c:numLit>
              <c:formatCode>General</c:formatCode>
              <c:ptCount val="2"/>
              <c:pt idx="0">
                <c:v>1</c:v>
              </c:pt>
              <c:pt idx="1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3-6C34-4778-AE52-D804AA5D9B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0673088"/>
        <c:axId val="730673664"/>
      </c:scatterChart>
      <c:valAx>
        <c:axId val="730673088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>
                    <a:solidFill>
                      <a:srgbClr val="646464"/>
                    </a:solidFill>
                  </a:defRPr>
                </a:pPr>
                <a:r>
                  <a:rPr lang="en-US" sz="1200" b="0" i="0" baseline="0">
                    <a:solidFill>
                      <a:srgbClr val="646464"/>
                    </a:solidFill>
                    <a:effectLst/>
                  </a:rPr>
                  <a:t>SG&amp;A Score</a:t>
                </a:r>
                <a:endParaRPr lang="en-IN" sz="1200">
                  <a:solidFill>
                    <a:srgbClr val="646464"/>
                  </a:solidFill>
                  <a:effectLst/>
                </a:endParaRPr>
              </a:p>
            </c:rich>
          </c:tx>
          <c:layout>
            <c:manualLayout>
              <c:xMode val="edge"/>
              <c:yMode val="edge"/>
              <c:x val="0.40408963784287627"/>
              <c:y val="0.9270866608050452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50000"/>
              </a:schemeClr>
            </a:solidFill>
          </a:ln>
        </c:spPr>
        <c:txPr>
          <a:bodyPr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730673664"/>
        <c:crosses val="autoZero"/>
        <c:crossBetween val="midCat"/>
        <c:majorUnit val="0.1"/>
      </c:valAx>
      <c:valAx>
        <c:axId val="730673664"/>
        <c:scaling>
          <c:orientation val="minMax"/>
          <c:max val="1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200">
                    <a:solidFill>
                      <a:srgbClr val="646464"/>
                    </a:solidFill>
                  </a:defRPr>
                </a:pPr>
                <a:r>
                  <a:rPr lang="en-US" sz="1200" b="0" i="0" baseline="0">
                    <a:solidFill>
                      <a:srgbClr val="646464"/>
                    </a:solidFill>
                    <a:effectLst/>
                  </a:rPr>
                  <a:t>EBITDA  Score</a:t>
                </a:r>
                <a:endParaRPr lang="en-IN" sz="1200">
                  <a:solidFill>
                    <a:srgbClr val="646464"/>
                  </a:solidFill>
                  <a:effectLst/>
                </a:endParaRPr>
              </a:p>
            </c:rich>
          </c:tx>
          <c:layout>
            <c:manualLayout>
              <c:xMode val="edge"/>
              <c:yMode val="edge"/>
              <c:x val="4.8111026611648358E-3"/>
              <c:y val="0.42169734266132375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spPr>
          <a:ln>
            <a:solidFill>
              <a:schemeClr val="bg1">
                <a:lumMod val="50000"/>
              </a:schemeClr>
            </a:solidFill>
          </a:ln>
        </c:spPr>
        <c:txPr>
          <a:bodyPr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73067308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5635289906943458E-3"/>
          <c:y val="6.8215691788526434E-2"/>
          <c:w val="0.99743647100930566"/>
          <c:h val="0.78508467691538553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'Charts Data'!$T$2</c:f>
              <c:strCache>
                <c:ptCount val="1"/>
                <c:pt idx="0">
                  <c:v>Median</c:v>
                </c:pt>
              </c:strCache>
            </c:strRef>
          </c:tx>
          <c:spPr>
            <a:solidFill>
              <a:srgbClr val="F9C20A"/>
            </a:solidFill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7E3-4DE9-8CB9-50EC5A2EF0DC}"/>
              </c:ext>
            </c:extLst>
          </c:dPt>
          <c:dLbls>
            <c:dLbl>
              <c:idx val="0"/>
              <c:layout>
                <c:manualLayout>
                  <c:x val="0"/>
                  <c:y val="2.9761904761904767E-2"/>
                </c:manualLayout>
              </c:layout>
              <c:tx>
                <c:rich>
                  <a:bodyPr/>
                  <a:lstStyle/>
                  <a:p>
                    <a:r>
                      <a:rPr lang="en-US" sz="700"/>
                      <a:t>0.53%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47E3-4DE9-8CB9-50EC5A2EF0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767185"/>
                    </a:solidFill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'Charts Data'!$R$3</c:f>
              <c:strCache>
                <c:ptCount val="1"/>
                <c:pt idx="0">
                  <c:v>Finance cost as a % of Revenue</c:v>
                </c:pt>
              </c:strCache>
            </c:strRef>
          </c:cat>
          <c:val>
            <c:numRef>
              <c:f>'Charts Data'!$T$3</c:f>
              <c:numCache>
                <c:formatCode>0.00%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47E3-4DE9-8CB9-50EC5A2EF0DC}"/>
            </c:ext>
          </c:extLst>
        </c:ser>
        <c:ser>
          <c:idx val="5"/>
          <c:order val="1"/>
          <c:tx>
            <c:strRef>
              <c:f>'Charts Data'!$U$2</c:f>
              <c:strCache>
                <c:ptCount val="1"/>
                <c:pt idx="0">
                  <c:v>Top Quartile</c:v>
                </c:pt>
              </c:strCache>
            </c:strRef>
          </c:tx>
          <c:spPr>
            <a:solidFill>
              <a:srgbClr val="29702A"/>
            </a:solidFill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47E3-4DE9-8CB9-50EC5A2EF0DC}"/>
              </c:ext>
            </c:extLst>
          </c:dPt>
          <c:dLbls>
            <c:dLbl>
              <c:idx val="0"/>
              <c:layout>
                <c:manualLayout>
                  <c:x val="0"/>
                  <c:y val="2.976190476190476E-2"/>
                </c:manualLayout>
              </c:layout>
              <c:tx>
                <c:rich>
                  <a:bodyPr/>
                  <a:lstStyle/>
                  <a:p>
                    <a:r>
                      <a:rPr lang="en-US" sz="700"/>
                      <a:t>0.34%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47E3-4DE9-8CB9-50EC5A2EF0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767185"/>
                    </a:solidFill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'Charts Data'!$R$3</c:f>
              <c:strCache>
                <c:ptCount val="1"/>
                <c:pt idx="0">
                  <c:v>Finance cost as a % of Revenue</c:v>
                </c:pt>
              </c:strCache>
            </c:strRef>
          </c:cat>
          <c:val>
            <c:numRef>
              <c:f>'Charts Data'!$U$3</c:f>
              <c:numCache>
                <c:formatCode>0.00%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5-47E3-4DE9-8CB9-50EC5A2EF0DC}"/>
            </c:ext>
          </c:extLst>
        </c:ser>
        <c:ser>
          <c:idx val="3"/>
          <c:order val="2"/>
          <c:tx>
            <c:strRef>
              <c:f>'Charts Data'!$S$2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5E8AB4"/>
            </a:solidFill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6832-4E67-B96C-6A9E7905E107}"/>
              </c:ext>
            </c:extLst>
          </c:dPt>
          <c:dLbls>
            <c:dLbl>
              <c:idx val="0"/>
              <c:layout>
                <c:manualLayout>
                  <c:x val="0"/>
                  <c:y val="2.9761904761904854E-2"/>
                </c:manualLayout>
              </c:layout>
              <c:tx>
                <c:rich>
                  <a:bodyPr/>
                  <a:lstStyle/>
                  <a:p>
                    <a:r>
                      <a:rPr lang="en-US" sz="700"/>
                      <a:t>0.02%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832-4E67-B96C-6A9E7905E10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767185"/>
                    </a:solidFill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'Charts Data'!$R$3</c:f>
              <c:strCache>
                <c:ptCount val="1"/>
                <c:pt idx="0">
                  <c:v>Finance cost as a % of Revenue</c:v>
                </c:pt>
              </c:strCache>
            </c:strRef>
          </c:cat>
          <c:val>
            <c:numRef>
              <c:f>'Charts Data'!$S$3</c:f>
              <c:numCache>
                <c:formatCode>0.00%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9-47E3-4DE9-8CB9-50EC5A2EF0D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32"/>
        <c:overlap val="-34"/>
        <c:axId val="731609600"/>
        <c:axId val="731947008"/>
      </c:barChart>
      <c:catAx>
        <c:axId val="73160960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one"/>
        <c:crossAx val="731947008"/>
        <c:crosses val="autoZero"/>
        <c:auto val="1"/>
        <c:lblAlgn val="ctr"/>
        <c:lblOffset val="100"/>
        <c:noMultiLvlLbl val="0"/>
      </c:catAx>
      <c:valAx>
        <c:axId val="731947008"/>
        <c:scaling>
          <c:orientation val="minMax"/>
        </c:scaling>
        <c:delete val="1"/>
        <c:axPos val="l"/>
        <c:numFmt formatCode="0%" sourceLinked="0"/>
        <c:majorTickMark val="none"/>
        <c:minorTickMark val="none"/>
        <c:tickLblPos val="nextTo"/>
        <c:crossAx val="731609600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9.0048745853679918E-2"/>
          <c:w val="1"/>
          <c:h val="0.67837277727588818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'Charts Data'!$T$2</c:f>
              <c:strCache>
                <c:ptCount val="1"/>
                <c:pt idx="0">
                  <c:v>Median</c:v>
                </c:pt>
              </c:strCache>
            </c:strRef>
          </c:tx>
          <c:spPr>
            <a:solidFill>
              <a:srgbClr val="F9C20A"/>
            </a:solidFill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DA48-4C72-93B3-2EE2C13CD990}"/>
              </c:ext>
            </c:extLst>
          </c:dPt>
          <c:dLbls>
            <c:dLbl>
              <c:idx val="0"/>
              <c:layout>
                <c:manualLayout>
                  <c:x val="0"/>
                  <c:y val="3.2749374452565434E-2"/>
                </c:manualLayout>
              </c:layout>
              <c:tx>
                <c:rich>
                  <a:bodyPr/>
                  <a:lstStyle/>
                  <a:p>
                    <a:r>
                      <a:rPr lang="en-US" sz="700"/>
                      <a:t>0.39%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DA48-4C72-93B3-2EE2C13CD9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767185"/>
                    </a:solidFill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'Charts Data'!$R$4</c:f>
              <c:strCache>
                <c:ptCount val="1"/>
                <c:pt idx="0">
                  <c:v>HR cost as a % of Revenue</c:v>
                </c:pt>
              </c:strCache>
            </c:strRef>
          </c:cat>
          <c:val>
            <c:numRef>
              <c:f>'Charts Data'!$T$4</c:f>
              <c:numCache>
                <c:formatCode>0.00%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B1F0-4A09-9ABF-6209516E0A09}"/>
            </c:ext>
          </c:extLst>
        </c:ser>
        <c:ser>
          <c:idx val="5"/>
          <c:order val="1"/>
          <c:tx>
            <c:strRef>
              <c:f>'Charts Data'!$U$2</c:f>
              <c:strCache>
                <c:ptCount val="1"/>
                <c:pt idx="0">
                  <c:v>Top Quartile</c:v>
                </c:pt>
              </c:strCache>
            </c:strRef>
          </c:tx>
          <c:spPr>
            <a:solidFill>
              <a:srgbClr val="29702A"/>
            </a:solidFill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3.2749374452565358E-2"/>
                </c:manualLayout>
              </c:layout>
              <c:tx>
                <c:rich>
                  <a:bodyPr/>
                  <a:lstStyle/>
                  <a:p>
                    <a:r>
                      <a:rPr lang="en-US" sz="700"/>
                      <a:t>0.25%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EE61-4E56-A0AB-E249D9849D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767185"/>
                    </a:solidFill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'Charts Data'!$R$4</c:f>
              <c:strCache>
                <c:ptCount val="1"/>
                <c:pt idx="0">
                  <c:v>HR cost as a % of Revenue</c:v>
                </c:pt>
              </c:strCache>
            </c:strRef>
          </c:cat>
          <c:val>
            <c:numRef>
              <c:f>'Charts Data'!$U$4</c:f>
              <c:numCache>
                <c:formatCode>0.00%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B1F0-4A09-9ABF-6209516E0A09}"/>
            </c:ext>
          </c:extLst>
        </c:ser>
        <c:ser>
          <c:idx val="3"/>
          <c:order val="2"/>
          <c:tx>
            <c:strRef>
              <c:f>'Charts Data'!$S$2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5E8AB4"/>
            </a:solidFill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DA48-4C72-93B3-2EE2C13CD990}"/>
              </c:ext>
            </c:extLst>
          </c:dPt>
          <c:dLbls>
            <c:dLbl>
              <c:idx val="0"/>
              <c:layout>
                <c:manualLayout>
                  <c:x val="0"/>
                  <c:y val="3.2749374452565511E-2"/>
                </c:manualLayout>
              </c:layout>
              <c:tx>
                <c:rich>
                  <a:bodyPr/>
                  <a:lstStyle/>
                  <a:p>
                    <a:r>
                      <a:rPr lang="en-US" sz="700"/>
                      <a:t>0.02%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DA48-4C72-93B3-2EE2C13CD9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767185"/>
                    </a:solidFill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'Charts Data'!$R$4</c:f>
              <c:strCache>
                <c:ptCount val="1"/>
                <c:pt idx="0">
                  <c:v>HR cost as a % of Revenue</c:v>
                </c:pt>
              </c:strCache>
            </c:strRef>
          </c:cat>
          <c:val>
            <c:numRef>
              <c:f>'Charts Data'!$S$4</c:f>
              <c:numCache>
                <c:formatCode>0.00%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B1F0-4A09-9ABF-6209516E0A0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32"/>
        <c:overlap val="-34"/>
        <c:axId val="731610624"/>
        <c:axId val="731949312"/>
      </c:barChart>
      <c:catAx>
        <c:axId val="73161062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one"/>
        <c:crossAx val="731949312"/>
        <c:crosses val="autoZero"/>
        <c:auto val="1"/>
        <c:lblAlgn val="ctr"/>
        <c:lblOffset val="100"/>
        <c:noMultiLvlLbl val="0"/>
      </c:catAx>
      <c:valAx>
        <c:axId val="731949312"/>
        <c:scaling>
          <c:orientation val="minMax"/>
        </c:scaling>
        <c:delete val="1"/>
        <c:axPos val="l"/>
        <c:numFmt formatCode="0%" sourceLinked="0"/>
        <c:majorTickMark val="none"/>
        <c:minorTickMark val="none"/>
        <c:tickLblPos val="nextTo"/>
        <c:crossAx val="731610624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5.8295056867891513E-2"/>
          <c:w val="1"/>
          <c:h val="0.71012607799025129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'Charts Data'!$T$2</c:f>
              <c:strCache>
                <c:ptCount val="1"/>
                <c:pt idx="0">
                  <c:v>Median</c:v>
                </c:pt>
              </c:strCache>
            </c:strRef>
          </c:tx>
          <c:spPr>
            <a:solidFill>
              <a:srgbClr val="F9C20A"/>
            </a:solidFill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F5CD-42F2-B8DE-081ACE1816B9}"/>
              </c:ext>
            </c:extLst>
          </c:dPt>
          <c:dLbls>
            <c:dLbl>
              <c:idx val="0"/>
              <c:layout>
                <c:manualLayout>
                  <c:x val="0"/>
                  <c:y val="2.976190476190476E-2"/>
                </c:manualLayout>
              </c:layout>
              <c:tx>
                <c:rich>
                  <a:bodyPr/>
                  <a:lstStyle/>
                  <a:p>
                    <a:r>
                      <a:rPr lang="en-US" sz="700"/>
                      <a:t>1.94%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5CD-42F2-B8DE-081ACE1816B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767185"/>
                    </a:solidFill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'Charts Data'!$R$5</c:f>
              <c:strCache>
                <c:ptCount val="1"/>
                <c:pt idx="0">
                  <c:v>IT cost as a % of Revenue</c:v>
                </c:pt>
              </c:strCache>
            </c:strRef>
          </c:cat>
          <c:val>
            <c:numRef>
              <c:f>'Charts Data'!$T$5</c:f>
              <c:numCache>
                <c:formatCode>0.00%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D0F8-495C-B6D4-6ABA8C7F8F87}"/>
            </c:ext>
          </c:extLst>
        </c:ser>
        <c:ser>
          <c:idx val="5"/>
          <c:order val="1"/>
          <c:tx>
            <c:strRef>
              <c:f>'Charts Data'!$U$2</c:f>
              <c:strCache>
                <c:ptCount val="1"/>
                <c:pt idx="0">
                  <c:v>Top Quartile</c:v>
                </c:pt>
              </c:strCache>
            </c:strRef>
          </c:tx>
          <c:spPr>
            <a:solidFill>
              <a:srgbClr val="FFD400"/>
            </a:solidFill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9702A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03-F5CD-42F2-B8DE-081ACE1816B9}"/>
              </c:ext>
            </c:extLst>
          </c:dPt>
          <c:dLbls>
            <c:dLbl>
              <c:idx val="0"/>
              <c:layout>
                <c:manualLayout>
                  <c:x val="0"/>
                  <c:y val="2.9761904761904715E-2"/>
                </c:manualLayout>
              </c:layout>
              <c:tx>
                <c:rich>
                  <a:bodyPr/>
                  <a:lstStyle/>
                  <a:p>
                    <a:r>
                      <a:rPr lang="en-US" sz="700"/>
                      <a:t>1.25%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5CD-42F2-B8DE-081ACE1816B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767185"/>
                    </a:solidFill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'Charts Data'!$R$5</c:f>
              <c:strCache>
                <c:ptCount val="1"/>
                <c:pt idx="0">
                  <c:v>IT cost as a % of Revenue</c:v>
                </c:pt>
              </c:strCache>
            </c:strRef>
          </c:cat>
          <c:val>
            <c:numRef>
              <c:f>'Charts Data'!$U$5</c:f>
              <c:numCache>
                <c:formatCode>0.00%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D0F8-495C-B6D4-6ABA8C7F8F87}"/>
            </c:ext>
          </c:extLst>
        </c:ser>
        <c:ser>
          <c:idx val="3"/>
          <c:order val="2"/>
          <c:tx>
            <c:strRef>
              <c:f>'Charts Data'!$S$2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5E8AB4"/>
            </a:solidFill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F5CD-42F2-B8DE-081ACE1816B9}"/>
              </c:ext>
            </c:extLst>
          </c:dPt>
          <c:dLbls>
            <c:dLbl>
              <c:idx val="0"/>
              <c:layout>
                <c:manualLayout>
                  <c:x val="0"/>
                  <c:y val="2.9761904761904854E-2"/>
                </c:manualLayout>
              </c:layout>
              <c:tx>
                <c:rich>
                  <a:bodyPr/>
                  <a:lstStyle/>
                  <a:p>
                    <a:r>
                      <a:rPr lang="en-US" sz="700"/>
                      <a:t>0.02%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5CD-42F2-B8DE-081ACE1816B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767185"/>
                    </a:solidFill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'Charts Data'!$R$5</c:f>
              <c:strCache>
                <c:ptCount val="1"/>
                <c:pt idx="0">
                  <c:v>IT cost as a % of Revenue</c:v>
                </c:pt>
              </c:strCache>
            </c:strRef>
          </c:cat>
          <c:val>
            <c:numRef>
              <c:f>'Charts Data'!$S$5</c:f>
              <c:numCache>
                <c:formatCode>0.00%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D0F8-495C-B6D4-6ABA8C7F8F8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32"/>
        <c:overlap val="-34"/>
        <c:axId val="731681280"/>
        <c:axId val="731951616"/>
      </c:barChart>
      <c:catAx>
        <c:axId val="73168128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one"/>
        <c:crossAx val="731951616"/>
        <c:crosses val="autoZero"/>
        <c:auto val="1"/>
        <c:lblAlgn val="ctr"/>
        <c:lblOffset val="100"/>
        <c:noMultiLvlLbl val="0"/>
      </c:catAx>
      <c:valAx>
        <c:axId val="731951616"/>
        <c:scaling>
          <c:orientation val="minMax"/>
        </c:scaling>
        <c:delete val="1"/>
        <c:axPos val="l"/>
        <c:numFmt formatCode="0%" sourceLinked="0"/>
        <c:majorTickMark val="none"/>
        <c:minorTickMark val="none"/>
        <c:tickLblPos val="nextTo"/>
        <c:crossAx val="731681280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766603038256606E-3"/>
          <c:y val="6.8215691788526434E-2"/>
          <c:w val="0.99112333969617439"/>
          <c:h val="0.70020544306961641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'Charts Data'!$T$2</c:f>
              <c:strCache>
                <c:ptCount val="1"/>
                <c:pt idx="0">
                  <c:v>Median</c:v>
                </c:pt>
              </c:strCache>
            </c:strRef>
          </c:tx>
          <c:spPr>
            <a:solidFill>
              <a:srgbClr val="F9C20A"/>
            </a:solidFill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03D2-43D3-8B20-993374FD8E27}"/>
              </c:ext>
            </c:extLst>
          </c:dPt>
          <c:dLbls>
            <c:dLbl>
              <c:idx val="0"/>
              <c:layout>
                <c:manualLayout>
                  <c:x val="0"/>
                  <c:y val="2.9761904761904785E-2"/>
                </c:manualLayout>
              </c:layout>
              <c:tx>
                <c:rich>
                  <a:bodyPr/>
                  <a:lstStyle/>
                  <a:p>
                    <a:r>
                      <a:rPr lang="en-US" sz="700"/>
                      <a:t>0.15%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03D2-43D3-8B20-993374FD8E2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767185"/>
                    </a:solidFill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'Charts Data'!$R$7</c:f>
              <c:strCache>
                <c:ptCount val="1"/>
                <c:pt idx="0">
                  <c:v>Procurement Cost as a % of Revenue</c:v>
                </c:pt>
              </c:strCache>
            </c:strRef>
          </c:cat>
          <c:val>
            <c:numRef>
              <c:f>'Charts Data'!$T$7</c:f>
              <c:numCache>
                <c:formatCode>0.00%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4447-4FC4-B442-E11E28FACA60}"/>
            </c:ext>
          </c:extLst>
        </c:ser>
        <c:ser>
          <c:idx val="5"/>
          <c:order val="1"/>
          <c:tx>
            <c:strRef>
              <c:f>'Charts Data'!$U$2</c:f>
              <c:strCache>
                <c:ptCount val="1"/>
                <c:pt idx="0">
                  <c:v>Top Quartile</c:v>
                </c:pt>
              </c:strCache>
            </c:strRef>
          </c:tx>
          <c:spPr>
            <a:solidFill>
              <a:srgbClr val="538AB4"/>
            </a:solidFill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9702A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05-03D2-43D3-8B20-993374FD8E27}"/>
              </c:ext>
            </c:extLst>
          </c:dPt>
          <c:dLbls>
            <c:dLbl>
              <c:idx val="0"/>
              <c:layout>
                <c:manualLayout>
                  <c:x val="0"/>
                  <c:y val="2.976190476190476E-2"/>
                </c:manualLayout>
              </c:layout>
              <c:tx>
                <c:rich>
                  <a:bodyPr/>
                  <a:lstStyle/>
                  <a:p>
                    <a:r>
                      <a:rPr lang="en-US" sz="700"/>
                      <a:t>0.10%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03D2-43D3-8B20-993374FD8E2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767185"/>
                    </a:solidFill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'Charts Data'!$R$7</c:f>
              <c:strCache>
                <c:ptCount val="1"/>
                <c:pt idx="0">
                  <c:v>Procurement Cost as a % of Revenue</c:v>
                </c:pt>
              </c:strCache>
            </c:strRef>
          </c:cat>
          <c:val>
            <c:numRef>
              <c:f>'Charts Data'!$U$7</c:f>
              <c:numCache>
                <c:formatCode>0.00%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4447-4FC4-B442-E11E28FACA60}"/>
            </c:ext>
          </c:extLst>
        </c:ser>
        <c:ser>
          <c:idx val="3"/>
          <c:order val="2"/>
          <c:tx>
            <c:strRef>
              <c:f>'Charts Data'!$S$2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5E8AB4"/>
            </a:solidFill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03D2-43D3-8B20-993374FD8E27}"/>
              </c:ext>
            </c:extLst>
          </c:dPt>
          <c:dLbls>
            <c:dLbl>
              <c:idx val="0"/>
              <c:layout>
                <c:manualLayout>
                  <c:x val="0"/>
                  <c:y val="2.976190476190476E-2"/>
                </c:manualLayout>
              </c:layout>
              <c:tx>
                <c:rich>
                  <a:bodyPr/>
                  <a:lstStyle/>
                  <a:p>
                    <a:r>
                      <a:rPr lang="en-US" sz="700"/>
                      <a:t>0.02%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03D2-43D3-8B20-993374FD8E2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646464"/>
                    </a:solidFill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'Charts Data'!$R$7</c:f>
              <c:strCache>
                <c:ptCount val="1"/>
                <c:pt idx="0">
                  <c:v>Procurement Cost as a % of Revenue</c:v>
                </c:pt>
              </c:strCache>
            </c:strRef>
          </c:cat>
          <c:val>
            <c:numRef>
              <c:f>'Charts Data'!$S$7</c:f>
              <c:numCache>
                <c:formatCode>0.00%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4447-4FC4-B442-E11E28FACA6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32"/>
        <c:overlap val="-34"/>
        <c:axId val="731682304"/>
        <c:axId val="731953920"/>
      </c:barChart>
      <c:catAx>
        <c:axId val="7316823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one"/>
        <c:crossAx val="731953920"/>
        <c:crosses val="autoZero"/>
        <c:auto val="1"/>
        <c:lblAlgn val="ctr"/>
        <c:lblOffset val="100"/>
        <c:noMultiLvlLbl val="0"/>
      </c:catAx>
      <c:valAx>
        <c:axId val="731953920"/>
        <c:scaling>
          <c:orientation val="minMax"/>
        </c:scaling>
        <c:delete val="1"/>
        <c:axPos val="l"/>
        <c:numFmt formatCode="0%" sourceLinked="0"/>
        <c:majorTickMark val="none"/>
        <c:minorTickMark val="none"/>
        <c:tickLblPos val="nextTo"/>
        <c:crossAx val="731682304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6.8215691788526434E-2"/>
          <c:w val="1"/>
          <c:h val="0.78508467691538553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'Charts Data'!$T$2</c:f>
              <c:strCache>
                <c:ptCount val="1"/>
                <c:pt idx="0">
                  <c:v>Median</c:v>
                </c:pt>
              </c:strCache>
            </c:strRef>
          </c:tx>
          <c:spPr>
            <a:solidFill>
              <a:srgbClr val="F9C20A"/>
            </a:solidFill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515C-4254-8530-F65FD8A669B0}"/>
              </c:ext>
            </c:extLst>
          </c:dPt>
          <c:dLbls>
            <c:dLbl>
              <c:idx val="0"/>
              <c:layout>
                <c:manualLayout>
                  <c:x val="0"/>
                  <c:y val="2.9761904761904785E-2"/>
                </c:manualLayout>
              </c:layout>
              <c:tx>
                <c:rich>
                  <a:bodyPr/>
                  <a:lstStyle/>
                  <a:p>
                    <a:r>
                      <a:rPr lang="en-US" sz="700"/>
                      <a:t>1.61%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15C-4254-8530-F65FD8A669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767185"/>
                    </a:solidFill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'Charts Data'!$R$8</c:f>
              <c:strCache>
                <c:ptCount val="1"/>
                <c:pt idx="0">
                  <c:v>Sales Cost as a % of Revenue</c:v>
                </c:pt>
              </c:strCache>
            </c:strRef>
          </c:cat>
          <c:val>
            <c:numRef>
              <c:f>'Charts Data'!$T$8</c:f>
              <c:numCache>
                <c:formatCode>0.00%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C35B-4254-8554-A45943FE6A26}"/>
            </c:ext>
          </c:extLst>
        </c:ser>
        <c:ser>
          <c:idx val="5"/>
          <c:order val="1"/>
          <c:tx>
            <c:strRef>
              <c:f>'Charts Data'!$U$2</c:f>
              <c:strCache>
                <c:ptCount val="1"/>
                <c:pt idx="0">
                  <c:v>Top Quartile</c:v>
                </c:pt>
              </c:strCache>
            </c:strRef>
          </c:tx>
          <c:spPr>
            <a:solidFill>
              <a:srgbClr val="FFD400"/>
            </a:solidFill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9702A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03-515C-4254-8530-F65FD8A669B0}"/>
              </c:ext>
            </c:extLst>
          </c:dPt>
          <c:dLbls>
            <c:dLbl>
              <c:idx val="0"/>
              <c:layout>
                <c:manualLayout>
                  <c:x val="0"/>
                  <c:y val="2.976190476190476E-2"/>
                </c:manualLayout>
              </c:layout>
              <c:tx>
                <c:rich>
                  <a:bodyPr/>
                  <a:lstStyle/>
                  <a:p>
                    <a:r>
                      <a:rPr lang="en-US" sz="700"/>
                      <a:t>1.04%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15C-4254-8530-F65FD8A669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767185"/>
                    </a:solidFill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'Charts Data'!$R$8</c:f>
              <c:strCache>
                <c:ptCount val="1"/>
                <c:pt idx="0">
                  <c:v>Sales Cost as a % of Revenue</c:v>
                </c:pt>
              </c:strCache>
            </c:strRef>
          </c:cat>
          <c:val>
            <c:numRef>
              <c:f>'Charts Data'!$U$8</c:f>
              <c:numCache>
                <c:formatCode>0.00%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C35B-4254-8554-A45943FE6A26}"/>
            </c:ext>
          </c:extLst>
        </c:ser>
        <c:ser>
          <c:idx val="3"/>
          <c:order val="2"/>
          <c:tx>
            <c:strRef>
              <c:f>'Charts Data'!$S$2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5E8AB4"/>
            </a:solidFill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515C-4254-8530-F65FD8A669B0}"/>
              </c:ext>
            </c:extLst>
          </c:dPt>
          <c:dLbls>
            <c:dLbl>
              <c:idx val="0"/>
              <c:layout>
                <c:manualLayout>
                  <c:x val="0"/>
                  <c:y val="2.976190476190476E-2"/>
                </c:manualLayout>
              </c:layout>
              <c:tx>
                <c:rich>
                  <a:bodyPr/>
                  <a:lstStyle/>
                  <a:p>
                    <a:r>
                      <a:rPr lang="en-US" sz="700"/>
                      <a:t>0.02%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15C-4254-8530-F65FD8A669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767185"/>
                    </a:solidFill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'Charts Data'!$R$8</c:f>
              <c:strCache>
                <c:ptCount val="1"/>
                <c:pt idx="0">
                  <c:v>Sales Cost as a % of Revenue</c:v>
                </c:pt>
              </c:strCache>
            </c:strRef>
          </c:cat>
          <c:val>
            <c:numRef>
              <c:f>'Charts Data'!$S$8</c:f>
              <c:numCache>
                <c:formatCode>0.00%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C35B-4254-8554-A45943FE6A2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32"/>
        <c:overlap val="-34"/>
        <c:axId val="731683328"/>
        <c:axId val="732095616"/>
      </c:barChart>
      <c:catAx>
        <c:axId val="7316833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one"/>
        <c:crossAx val="732095616"/>
        <c:crosses val="autoZero"/>
        <c:auto val="1"/>
        <c:lblAlgn val="ctr"/>
        <c:lblOffset val="100"/>
        <c:noMultiLvlLbl val="0"/>
      </c:catAx>
      <c:valAx>
        <c:axId val="732095616"/>
        <c:scaling>
          <c:orientation val="minMax"/>
        </c:scaling>
        <c:delete val="1"/>
        <c:axPos val="l"/>
        <c:numFmt formatCode="0%" sourceLinked="0"/>
        <c:majorTickMark val="none"/>
        <c:minorTickMark val="none"/>
        <c:tickLblPos val="nextTo"/>
        <c:crossAx val="731683328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6.8215691788526434E-2"/>
          <c:w val="1"/>
          <c:h val="0.7002054430696163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'Charts Data'!$T$2</c:f>
              <c:strCache>
                <c:ptCount val="1"/>
                <c:pt idx="0">
                  <c:v>Median</c:v>
                </c:pt>
              </c:strCache>
            </c:strRef>
          </c:tx>
          <c:spPr>
            <a:solidFill>
              <a:srgbClr val="F9C20A"/>
            </a:solidFill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24AF-49E5-A9A6-BA6D33008B9D}"/>
              </c:ext>
            </c:extLst>
          </c:dPt>
          <c:dLbls>
            <c:dLbl>
              <c:idx val="0"/>
              <c:layout>
                <c:manualLayout>
                  <c:x val="0"/>
                  <c:y val="2.976190476190475E-2"/>
                </c:manualLayout>
              </c:layout>
              <c:tx>
                <c:rich>
                  <a:bodyPr/>
                  <a:lstStyle/>
                  <a:p>
                    <a:r>
                      <a:rPr lang="en-US" sz="700"/>
                      <a:t>1.73%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24AF-49E5-A9A6-BA6D33008B9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767185"/>
                    </a:solidFill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'Charts Data'!$R$6</c:f>
              <c:strCache>
                <c:ptCount val="1"/>
                <c:pt idx="0">
                  <c:v>Mktg. Cost as a % of Revenue</c:v>
                </c:pt>
              </c:strCache>
            </c:strRef>
          </c:cat>
          <c:val>
            <c:numRef>
              <c:f>'Charts Data'!$T$6</c:f>
              <c:numCache>
                <c:formatCode>0.00%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F5B4-4D2C-B55D-2B19E1CE68BE}"/>
            </c:ext>
          </c:extLst>
        </c:ser>
        <c:ser>
          <c:idx val="5"/>
          <c:order val="1"/>
          <c:tx>
            <c:strRef>
              <c:f>'Charts Data'!$U$2</c:f>
              <c:strCache>
                <c:ptCount val="1"/>
                <c:pt idx="0">
                  <c:v>Top Quartile</c:v>
                </c:pt>
              </c:strCache>
            </c:strRef>
          </c:tx>
          <c:spPr>
            <a:solidFill>
              <a:srgbClr val="538AB4"/>
            </a:solidFill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9702A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05-A7C8-46BC-8F41-52FC6D4D5912}"/>
              </c:ext>
            </c:extLst>
          </c:dPt>
          <c:dLbls>
            <c:dLbl>
              <c:idx val="0"/>
              <c:layout>
                <c:manualLayout>
                  <c:x val="0"/>
                  <c:y val="2.976190476190476E-2"/>
                </c:manualLayout>
              </c:layout>
              <c:tx>
                <c:rich>
                  <a:bodyPr/>
                  <a:lstStyle/>
                  <a:p>
                    <a:r>
                      <a:rPr lang="en-US" sz="700"/>
                      <a:t>1.12%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A7C8-46BC-8F41-52FC6D4D591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767185"/>
                    </a:solidFill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'Charts Data'!$R$6</c:f>
              <c:strCache>
                <c:ptCount val="1"/>
                <c:pt idx="0">
                  <c:v>Mktg. Cost as a % of Revenue</c:v>
                </c:pt>
              </c:strCache>
            </c:strRef>
          </c:cat>
          <c:val>
            <c:numRef>
              <c:f>'Charts Data'!$U$6</c:f>
              <c:numCache>
                <c:formatCode>0.00%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F5B4-4D2C-B55D-2B19E1CE68BE}"/>
            </c:ext>
          </c:extLst>
        </c:ser>
        <c:ser>
          <c:idx val="3"/>
          <c:order val="2"/>
          <c:tx>
            <c:strRef>
              <c:f>'Charts Data'!$S$2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5E8AB4"/>
            </a:solidFill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A7C8-46BC-8F41-52FC6D4D5912}"/>
              </c:ext>
            </c:extLst>
          </c:dPt>
          <c:dLbls>
            <c:dLbl>
              <c:idx val="0"/>
              <c:layout>
                <c:manualLayout>
                  <c:x val="0"/>
                  <c:y val="2.976190476190476E-2"/>
                </c:manualLayout>
              </c:layout>
              <c:tx>
                <c:rich>
                  <a:bodyPr/>
                  <a:lstStyle/>
                  <a:p>
                    <a:r>
                      <a:rPr lang="en-US" sz="700"/>
                      <a:t>0.02%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A7C8-46BC-8F41-52FC6D4D591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767185"/>
                    </a:solidFill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'Charts Data'!$R$6</c:f>
              <c:strCache>
                <c:ptCount val="1"/>
                <c:pt idx="0">
                  <c:v>Mktg. Cost as a % of Revenue</c:v>
                </c:pt>
              </c:strCache>
            </c:strRef>
          </c:cat>
          <c:val>
            <c:numRef>
              <c:f>'Charts Data'!$S$6</c:f>
              <c:numCache>
                <c:formatCode>0.00%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F5B4-4D2C-B55D-2B19E1CE68B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32"/>
        <c:overlap val="-34"/>
        <c:axId val="731684352"/>
        <c:axId val="732097920"/>
      </c:barChart>
      <c:catAx>
        <c:axId val="73168435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one"/>
        <c:crossAx val="732097920"/>
        <c:crosses val="autoZero"/>
        <c:auto val="1"/>
        <c:lblAlgn val="ctr"/>
        <c:lblOffset val="100"/>
        <c:noMultiLvlLbl val="0"/>
      </c:catAx>
      <c:valAx>
        <c:axId val="732097920"/>
        <c:scaling>
          <c:orientation val="minMax"/>
        </c:scaling>
        <c:delete val="1"/>
        <c:axPos val="l"/>
        <c:numFmt formatCode="0%" sourceLinked="0"/>
        <c:majorTickMark val="none"/>
        <c:minorTickMark val="none"/>
        <c:tickLblPos val="nextTo"/>
        <c:crossAx val="731684352"/>
        <c:crosses val="autoZero"/>
        <c:crossBetween val="between"/>
      </c:valAx>
    </c:plotArea>
    <c:plotVisOnly val="1"/>
    <c:dispBlanksAs val="gap"/>
    <c:showDLblsOverMax val="0"/>
  </c:chart>
  <c:spPr>
    <a:ln>
      <a:noFill/>
    </a:ln>
    <a:effectLst/>
  </c:spPr>
  <c:txPr>
    <a:bodyPr/>
    <a:lstStyle/>
    <a:p>
      <a:pPr>
        <a:defRPr sz="7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5635289906943458E-3"/>
          <c:y val="5.8295056867891513E-2"/>
          <c:w val="0.99743647100930566"/>
          <c:h val="0.71012607799025118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'Charts Data'!$T$2</c:f>
              <c:strCache>
                <c:ptCount val="1"/>
                <c:pt idx="0">
                  <c:v>Median</c:v>
                </c:pt>
              </c:strCache>
            </c:strRef>
          </c:tx>
          <c:spPr>
            <a:solidFill>
              <a:srgbClr val="F9C20A"/>
            </a:solidFill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2BBA-48BB-8BB8-6A2DC87B093E}"/>
              </c:ext>
            </c:extLst>
          </c:dPt>
          <c:dLbls>
            <c:dLbl>
              <c:idx val="0"/>
              <c:layout>
                <c:manualLayout>
                  <c:x val="0"/>
                  <c:y val="5.7102237220347661E-4"/>
                </c:manualLayout>
              </c:layout>
              <c:tx>
                <c:rich>
                  <a:bodyPr/>
                  <a:lstStyle/>
                  <a:p>
                    <a:r>
                      <a:rPr lang="en-US" sz="700"/>
                      <a:t>0.23%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2BBA-48BB-8BB8-6A2DC87B09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767185"/>
                    </a:solidFill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'Charts Data'!$R$8</c:f>
              <c:strCache>
                <c:ptCount val="1"/>
                <c:pt idx="0">
                  <c:v>Sales Cost as a % of Revenue</c:v>
                </c:pt>
              </c:strCache>
            </c:strRef>
          </c:cat>
          <c:val>
            <c:numRef>
              <c:f>'Charts Data'!$T$9</c:f>
              <c:numCache>
                <c:formatCode>0.00%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5918-4DF5-AE54-6D730BB06030}"/>
            </c:ext>
          </c:extLst>
        </c:ser>
        <c:ser>
          <c:idx val="3"/>
          <c:order val="1"/>
          <c:tx>
            <c:strRef>
              <c:f>'Charts Data'!$S$2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5E8AB4"/>
            </a:solidFill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6FB4-4112-BF77-4FAB3B5848BB}"/>
              </c:ext>
            </c:extLst>
          </c:dPt>
          <c:dLbls>
            <c:dLbl>
              <c:idx val="0"/>
              <c:layout>
                <c:manualLayout>
                  <c:x val="0"/>
                  <c:y val="2.9761904761904739E-2"/>
                </c:manualLayout>
              </c:layout>
              <c:tx>
                <c:rich>
                  <a:bodyPr/>
                  <a:lstStyle/>
                  <a:p>
                    <a:r>
                      <a:rPr lang="en-US" sz="700"/>
                      <a:t>0.17%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6FB4-4112-BF77-4FAB3B5848B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767185"/>
                    </a:solidFill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'Charts Data'!$R$8</c:f>
              <c:strCache>
                <c:ptCount val="1"/>
                <c:pt idx="0">
                  <c:v>Sales Cost as a % of Revenue</c:v>
                </c:pt>
              </c:strCache>
            </c:strRef>
          </c:cat>
          <c:val>
            <c:numRef>
              <c:f>'Charts Data'!$S$9</c:f>
              <c:numCache>
                <c:formatCode>0.00%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5918-4DF5-AE54-6D730BB06030}"/>
            </c:ext>
          </c:extLst>
        </c:ser>
        <c:ser>
          <c:idx val="5"/>
          <c:order val="2"/>
          <c:tx>
            <c:strRef>
              <c:f>'Charts Data'!$U$2</c:f>
              <c:strCache>
                <c:ptCount val="1"/>
                <c:pt idx="0">
                  <c:v>Top Quartile</c:v>
                </c:pt>
              </c:strCache>
            </c:strRef>
          </c:tx>
          <c:spPr>
            <a:solidFill>
              <a:srgbClr val="29702A"/>
            </a:solidFill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2.976190476190476E-2"/>
                </c:manualLayout>
              </c:layout>
              <c:tx>
                <c:rich>
                  <a:bodyPr/>
                  <a:lstStyle/>
                  <a:p>
                    <a:r>
                      <a:rPr lang="en-US" sz="700"/>
                      <a:t>0.15%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0C1-4215-B454-A8F62AA8E4B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767185"/>
                    </a:solidFill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'Charts Data'!$R$8</c:f>
              <c:strCache>
                <c:ptCount val="1"/>
                <c:pt idx="0">
                  <c:v>Sales Cost as a % of Revenue</c:v>
                </c:pt>
              </c:strCache>
            </c:strRef>
          </c:cat>
          <c:val>
            <c:numRef>
              <c:f>'Charts Data'!$U$9</c:f>
              <c:numCache>
                <c:formatCode>0.00%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5918-4DF5-AE54-6D730BB0603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32"/>
        <c:overlap val="-34"/>
        <c:axId val="728634368"/>
        <c:axId val="732100800"/>
      </c:barChart>
      <c:catAx>
        <c:axId val="72863436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one"/>
        <c:crossAx val="732100800"/>
        <c:crosses val="autoZero"/>
        <c:auto val="1"/>
        <c:lblAlgn val="ctr"/>
        <c:lblOffset val="100"/>
        <c:noMultiLvlLbl val="0"/>
      </c:catAx>
      <c:valAx>
        <c:axId val="732100800"/>
        <c:scaling>
          <c:orientation val="minMax"/>
        </c:scaling>
        <c:delete val="1"/>
        <c:axPos val="l"/>
        <c:numFmt formatCode="0%" sourceLinked="0"/>
        <c:majorTickMark val="none"/>
        <c:minorTickMark val="none"/>
        <c:tickLblPos val="nextTo"/>
        <c:crossAx val="728634368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12393916551343467"/>
          <c:w val="1"/>
          <c:h val="0.64448190559264129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'Charts Data'!$T$2</c:f>
              <c:strCache>
                <c:ptCount val="1"/>
                <c:pt idx="0">
                  <c:v>Median</c:v>
                </c:pt>
              </c:strCache>
            </c:strRef>
          </c:tx>
          <c:spPr>
            <a:solidFill>
              <a:srgbClr val="F9C20A"/>
            </a:solidFill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C836-4E13-9706-0E44CA0D849A}"/>
              </c:ext>
            </c:extLst>
          </c:dPt>
          <c:dLbls>
            <c:dLbl>
              <c:idx val="0"/>
              <c:layout>
                <c:manualLayout>
                  <c:x val="0"/>
                  <c:y val="3.3434221022139422E-2"/>
                </c:manualLayout>
              </c:layout>
              <c:tx>
                <c:rich>
                  <a:bodyPr/>
                  <a:lstStyle/>
                  <a:p>
                    <a:r>
                      <a:rPr lang="en-US" sz="700"/>
                      <a:t>0.63%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C836-4E13-9706-0E44CA0D849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767185"/>
                    </a:solidFill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'Charts Data'!$R$10</c:f>
              <c:strCache>
                <c:ptCount val="1"/>
                <c:pt idx="0">
                  <c:v>CS Support Services Cost as a % of Revenue</c:v>
                </c:pt>
              </c:strCache>
            </c:strRef>
          </c:cat>
          <c:val>
            <c:numRef>
              <c:f>'Charts Data'!$T$10</c:f>
              <c:numCache>
                <c:formatCode>0.00%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7AA9-45E6-80D4-387F93F1A196}"/>
            </c:ext>
          </c:extLst>
        </c:ser>
        <c:ser>
          <c:idx val="5"/>
          <c:order val="1"/>
          <c:tx>
            <c:strRef>
              <c:f>'Charts Data'!$U$2</c:f>
              <c:strCache>
                <c:ptCount val="1"/>
                <c:pt idx="0">
                  <c:v>Top Quartile</c:v>
                </c:pt>
              </c:strCache>
            </c:strRef>
          </c:tx>
          <c:spPr>
            <a:solidFill>
              <a:srgbClr val="29702A"/>
            </a:solidFill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3.3434221022139471E-2"/>
                </c:manualLayout>
              </c:layout>
              <c:tx>
                <c:rich>
                  <a:bodyPr/>
                  <a:lstStyle/>
                  <a:p>
                    <a:r>
                      <a:rPr lang="en-US" sz="700"/>
                      <a:t>0.41%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5D61-4725-A80F-D132AAC201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767185"/>
                    </a:solidFill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'Charts Data'!$R$10</c:f>
              <c:strCache>
                <c:ptCount val="1"/>
                <c:pt idx="0">
                  <c:v>CS Support Services Cost as a % of Revenue</c:v>
                </c:pt>
              </c:strCache>
            </c:strRef>
          </c:cat>
          <c:val>
            <c:numRef>
              <c:f>'Charts Data'!$U$10</c:f>
              <c:numCache>
                <c:formatCode>0.00%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7AA9-45E6-80D4-387F93F1A196}"/>
            </c:ext>
          </c:extLst>
        </c:ser>
        <c:ser>
          <c:idx val="3"/>
          <c:order val="2"/>
          <c:tx>
            <c:strRef>
              <c:f>'Charts Data'!$S$2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5E8AB4"/>
            </a:solidFill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C836-4E13-9706-0E44CA0D849A}"/>
              </c:ext>
            </c:extLst>
          </c:dPt>
          <c:dLbls>
            <c:dLbl>
              <c:idx val="0"/>
              <c:layout>
                <c:manualLayout>
                  <c:x val="0"/>
                  <c:y val="3.3434221022139526E-2"/>
                </c:manualLayout>
              </c:layout>
              <c:tx>
                <c:rich>
                  <a:bodyPr/>
                  <a:lstStyle/>
                  <a:p>
                    <a:r>
                      <a:rPr lang="en-US" sz="700"/>
                      <a:t>0.02%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C836-4E13-9706-0E44CA0D849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IN" sz="700" b="0" i="0" u="none" strike="noStrike" kern="1200" baseline="0">
                    <a:solidFill>
                      <a:srgbClr val="767185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'Charts Data'!$R$10</c:f>
              <c:strCache>
                <c:ptCount val="1"/>
                <c:pt idx="0">
                  <c:v>CS Support Services Cost as a % of Revenue</c:v>
                </c:pt>
              </c:strCache>
            </c:strRef>
          </c:cat>
          <c:val>
            <c:numRef>
              <c:f>'Charts Data'!$S$10</c:f>
              <c:numCache>
                <c:formatCode>0.00%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7AA9-45E6-80D4-387F93F1A19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32"/>
        <c:overlap val="-34"/>
        <c:axId val="732444160"/>
        <c:axId val="732628096"/>
      </c:barChart>
      <c:catAx>
        <c:axId val="73244416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one"/>
        <c:crossAx val="732628096"/>
        <c:crosses val="autoZero"/>
        <c:auto val="1"/>
        <c:lblAlgn val="ctr"/>
        <c:lblOffset val="100"/>
        <c:noMultiLvlLbl val="0"/>
      </c:catAx>
      <c:valAx>
        <c:axId val="732628096"/>
        <c:scaling>
          <c:orientation val="minMax"/>
        </c:scaling>
        <c:delete val="1"/>
        <c:axPos val="l"/>
        <c:numFmt formatCode="0%" sourceLinked="0"/>
        <c:majorTickMark val="none"/>
        <c:minorTickMark val="none"/>
        <c:tickLblPos val="nextTo"/>
        <c:crossAx val="732444160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6.8215691788526434E-2"/>
          <c:w val="1"/>
          <c:h val="0.78508467691538553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'Charts Data'!$T$2</c:f>
              <c:strCache>
                <c:ptCount val="1"/>
                <c:pt idx="0">
                  <c:v>Median</c:v>
                </c:pt>
              </c:strCache>
            </c:strRef>
          </c:tx>
          <c:spPr>
            <a:solidFill>
              <a:srgbClr val="F9C20A"/>
            </a:solidFill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597E-42B3-9CB7-012CE0116659}"/>
              </c:ext>
            </c:extLst>
          </c:dPt>
          <c:dLbls>
            <c:dLbl>
              <c:idx val="0"/>
              <c:layout>
                <c:manualLayout>
                  <c:x val="0"/>
                  <c:y val="2.976190476190476E-2"/>
                </c:manualLayout>
              </c:layout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700">
                        <a:solidFill>
                          <a:srgbClr val="767185"/>
                        </a:solidFill>
                      </a:defRPr>
                    </a:pPr>
                    <a:r>
                      <a:rPr lang="en-US" sz="700"/>
                      <a:t>111.1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97E-42B3-9CB7-012CE01166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767185"/>
                    </a:solidFill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'Charts Data'!$R$3</c:f>
              <c:strCache>
                <c:ptCount val="1"/>
                <c:pt idx="0">
                  <c:v>Finance cost as a % of Revenue</c:v>
                </c:pt>
              </c:strCache>
            </c:strRef>
          </c:cat>
          <c:val>
            <c:numRef>
              <c:f>'Charts Data'!$T$13</c:f>
              <c:numCache>
                <c:formatCode>0.0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57A1-4E51-B546-6DB60B9EF7F5}"/>
            </c:ext>
          </c:extLst>
        </c:ser>
        <c:ser>
          <c:idx val="5"/>
          <c:order val="1"/>
          <c:tx>
            <c:strRef>
              <c:f>'Charts Data'!$U$2</c:f>
              <c:strCache>
                <c:ptCount val="1"/>
                <c:pt idx="0">
                  <c:v>Top Quartile</c:v>
                </c:pt>
              </c:strCache>
            </c:strRef>
          </c:tx>
          <c:spPr>
            <a:solidFill>
              <a:srgbClr val="29702A"/>
            </a:solidFill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2.976190476190476E-2"/>
                </c:manualLayout>
              </c:layout>
              <c:tx>
                <c:rich>
                  <a:bodyPr/>
                  <a:lstStyle/>
                  <a:p>
                    <a:r>
                      <a:rPr lang="en-US" sz="700"/>
                      <a:t>96.1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255F-4545-9CB7-C146B8103A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767185"/>
                    </a:solidFill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'Charts Data'!$R$3</c:f>
              <c:strCache>
                <c:ptCount val="1"/>
                <c:pt idx="0">
                  <c:v>Finance cost as a % of Revenue</c:v>
                </c:pt>
              </c:strCache>
            </c:strRef>
          </c:cat>
          <c:val>
            <c:numRef>
              <c:f>'Charts Data'!$U$13</c:f>
              <c:numCache>
                <c:formatCode>0.0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4-57A1-4E51-B546-6DB60B9EF7F5}"/>
            </c:ext>
          </c:extLst>
        </c:ser>
        <c:ser>
          <c:idx val="3"/>
          <c:order val="2"/>
          <c:tx>
            <c:strRef>
              <c:f>'Charts Data'!$S$2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5E8AB4"/>
            </a:solidFill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597E-42B3-9CB7-012CE0116659}"/>
              </c:ext>
            </c:extLst>
          </c:dPt>
          <c:dLbls>
            <c:dLbl>
              <c:idx val="0"/>
              <c:layout>
                <c:manualLayout>
                  <c:x val="0"/>
                  <c:y val="2.976190476190467E-2"/>
                </c:manualLayout>
              </c:layout>
              <c:tx>
                <c:rich>
                  <a:bodyPr/>
                  <a:lstStyle/>
                  <a:p>
                    <a:r>
                      <a:rPr lang="en-US" sz="700"/>
                      <a:t>0.2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597E-42B3-9CB7-012CE01166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767185"/>
                    </a:solidFill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'Charts Data'!$R$3</c:f>
              <c:strCache>
                <c:ptCount val="1"/>
                <c:pt idx="0">
                  <c:v>Finance cost as a % of Revenue</c:v>
                </c:pt>
              </c:strCache>
            </c:strRef>
          </c:cat>
          <c:val>
            <c:numRef>
              <c:f>'Charts Data'!$S$13</c:f>
              <c:numCache>
                <c:formatCode>0.0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6-57A1-4E51-B546-6DB60B9EF7F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32"/>
        <c:overlap val="-34"/>
        <c:axId val="732445184"/>
        <c:axId val="732630400"/>
      </c:barChart>
      <c:catAx>
        <c:axId val="73244518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one"/>
        <c:crossAx val="732630400"/>
        <c:crosses val="autoZero"/>
        <c:auto val="1"/>
        <c:lblAlgn val="ctr"/>
        <c:lblOffset val="100"/>
        <c:noMultiLvlLbl val="0"/>
      </c:catAx>
      <c:valAx>
        <c:axId val="732630400"/>
        <c:scaling>
          <c:orientation val="minMax"/>
        </c:scaling>
        <c:delete val="1"/>
        <c:axPos val="l"/>
        <c:numFmt formatCode="0%" sourceLinked="0"/>
        <c:majorTickMark val="none"/>
        <c:minorTickMark val="none"/>
        <c:tickLblPos val="nextTo"/>
        <c:crossAx val="732445184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6.8215691788526434E-2"/>
          <c:w val="0.99489680267239311"/>
          <c:h val="0.7002054430696163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'Charts Data'!$T$2</c:f>
              <c:strCache>
                <c:ptCount val="1"/>
                <c:pt idx="0">
                  <c:v>Median</c:v>
                </c:pt>
              </c:strCache>
            </c:strRef>
          </c:tx>
          <c:spPr>
            <a:solidFill>
              <a:srgbClr val="F9C20A"/>
            </a:solidFill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927-47B1-9F25-E0A1B9E02CF0}"/>
              </c:ext>
            </c:extLst>
          </c:dPt>
          <c:dLbls>
            <c:dLbl>
              <c:idx val="0"/>
              <c:layout>
                <c:manualLayout>
                  <c:x val="0"/>
                  <c:y val="3.2808398950131205E-2"/>
                </c:manualLayout>
              </c:layout>
              <c:tx>
                <c:rich>
                  <a:bodyPr/>
                  <a:lstStyle/>
                  <a:p>
                    <a:r>
                      <a:rPr lang="en-US" sz="700"/>
                      <a:t>79.2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4927-47B1-9F25-E0A1B9E02C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767185"/>
                    </a:solidFill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'Charts Data'!$R$4</c:f>
              <c:strCache>
                <c:ptCount val="1"/>
                <c:pt idx="0">
                  <c:v>HR cost as a % of Revenue</c:v>
                </c:pt>
              </c:strCache>
            </c:strRef>
          </c:cat>
          <c:val>
            <c:numRef>
              <c:f>'Charts Data'!$T$14</c:f>
              <c:numCache>
                <c:formatCode>0.0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204E-4076-92C0-212522B5E73B}"/>
            </c:ext>
          </c:extLst>
        </c:ser>
        <c:ser>
          <c:idx val="5"/>
          <c:order val="1"/>
          <c:tx>
            <c:strRef>
              <c:f>'Charts Data'!$U$2</c:f>
              <c:strCache>
                <c:ptCount val="1"/>
                <c:pt idx="0">
                  <c:v>Top Quartile</c:v>
                </c:pt>
              </c:strCache>
            </c:strRef>
          </c:tx>
          <c:spPr>
            <a:solidFill>
              <a:srgbClr val="29702A"/>
            </a:solidFill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204E-4076-92C0-212522B5E73B}"/>
              </c:ext>
            </c:extLst>
          </c:dPt>
          <c:dLbls>
            <c:dLbl>
              <c:idx val="0"/>
              <c:layout>
                <c:manualLayout>
                  <c:x val="0"/>
                  <c:y val="3.2808398950131261E-2"/>
                </c:manualLayout>
              </c:layout>
              <c:tx>
                <c:rich>
                  <a:bodyPr/>
                  <a:lstStyle/>
                  <a:p>
                    <a:r>
                      <a:rPr lang="en-US" sz="700"/>
                      <a:t>68.5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204E-4076-92C0-212522B5E7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767185"/>
                    </a:solidFill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'Charts Data'!$R$4</c:f>
              <c:strCache>
                <c:ptCount val="1"/>
                <c:pt idx="0">
                  <c:v>HR cost as a % of Revenue</c:v>
                </c:pt>
              </c:strCache>
            </c:strRef>
          </c:cat>
          <c:val>
            <c:numRef>
              <c:f>'Charts Data'!$U$14</c:f>
              <c:numCache>
                <c:formatCode>0.0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204E-4076-92C0-212522B5E73B}"/>
            </c:ext>
          </c:extLst>
        </c:ser>
        <c:ser>
          <c:idx val="3"/>
          <c:order val="2"/>
          <c:tx>
            <c:strRef>
              <c:f>'Charts Data'!$S$2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5E8AB4"/>
            </a:solidFill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927-47B1-9F25-E0A1B9E02CF0}"/>
              </c:ext>
            </c:extLst>
          </c:dPt>
          <c:dLbls>
            <c:dLbl>
              <c:idx val="0"/>
              <c:layout>
                <c:manualLayout>
                  <c:x val="0"/>
                  <c:y val="3.2808398950131233E-2"/>
                </c:manualLayout>
              </c:layout>
              <c:tx>
                <c:rich>
                  <a:bodyPr/>
                  <a:lstStyle/>
                  <a:p>
                    <a:r>
                      <a:rPr lang="en-US" sz="700"/>
                      <a:t>0.2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4927-47B1-9F25-E0A1B9E02C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767185"/>
                    </a:solidFill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'Charts Data'!$R$4</c:f>
              <c:strCache>
                <c:ptCount val="1"/>
                <c:pt idx="0">
                  <c:v>HR cost as a % of Revenue</c:v>
                </c:pt>
              </c:strCache>
            </c:strRef>
          </c:cat>
          <c:val>
            <c:numRef>
              <c:f>'Charts Data'!$S$14</c:f>
              <c:numCache>
                <c:formatCode>0.0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5-204E-4076-92C0-212522B5E73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32"/>
        <c:overlap val="-34"/>
        <c:axId val="732446208"/>
        <c:axId val="732632128"/>
      </c:barChart>
      <c:catAx>
        <c:axId val="73244620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one"/>
        <c:crossAx val="732632128"/>
        <c:crosses val="autoZero"/>
        <c:auto val="1"/>
        <c:lblAlgn val="ctr"/>
        <c:lblOffset val="100"/>
        <c:noMultiLvlLbl val="0"/>
      </c:catAx>
      <c:valAx>
        <c:axId val="732632128"/>
        <c:scaling>
          <c:orientation val="minMax"/>
        </c:scaling>
        <c:delete val="1"/>
        <c:axPos val="l"/>
        <c:numFmt formatCode="0%" sourceLinked="0"/>
        <c:majorTickMark val="none"/>
        <c:minorTickMark val="none"/>
        <c:tickLblPos val="nextTo"/>
        <c:crossAx val="732446208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5.8295056867891513E-2"/>
          <c:w val="1"/>
          <c:h val="0.71012607799025118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'Charts Data'!$T$2</c:f>
              <c:strCache>
                <c:ptCount val="1"/>
                <c:pt idx="0">
                  <c:v>Median</c:v>
                </c:pt>
              </c:strCache>
            </c:strRef>
          </c:tx>
          <c:spPr>
            <a:solidFill>
              <a:srgbClr val="F9C20A"/>
            </a:solidFill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EED7-48E7-8D7B-433DF2E95166}"/>
              </c:ext>
            </c:extLst>
          </c:dPt>
          <c:dLbls>
            <c:dLbl>
              <c:idx val="0"/>
              <c:layout>
                <c:manualLayout>
                  <c:x val="0"/>
                  <c:y val="2.976190476190475E-2"/>
                </c:manualLayout>
              </c:layout>
              <c:tx>
                <c:rich>
                  <a:bodyPr/>
                  <a:lstStyle/>
                  <a:p>
                    <a:r>
                      <a:rPr lang="en-US" sz="700"/>
                      <a:t>118.2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EED7-48E7-8D7B-433DF2E951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767185"/>
                    </a:solidFill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'Charts Data'!$R$5</c:f>
              <c:strCache>
                <c:ptCount val="1"/>
                <c:pt idx="0">
                  <c:v>IT cost as a % of Revenue</c:v>
                </c:pt>
              </c:strCache>
            </c:strRef>
          </c:cat>
          <c:val>
            <c:numRef>
              <c:f>'Charts Data'!$T$15</c:f>
              <c:numCache>
                <c:formatCode>0.0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F035-4171-92CD-E559EFBDB290}"/>
            </c:ext>
          </c:extLst>
        </c:ser>
        <c:ser>
          <c:idx val="5"/>
          <c:order val="1"/>
          <c:tx>
            <c:strRef>
              <c:f>'Charts Data'!$U$2</c:f>
              <c:strCache>
                <c:ptCount val="1"/>
                <c:pt idx="0">
                  <c:v>Top Quartile</c:v>
                </c:pt>
              </c:strCache>
            </c:strRef>
          </c:tx>
          <c:spPr>
            <a:solidFill>
              <a:srgbClr val="29702A"/>
            </a:solidFill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F035-4171-92CD-E559EFBDB290}"/>
              </c:ext>
            </c:extLst>
          </c:dPt>
          <c:dLbls>
            <c:dLbl>
              <c:idx val="0"/>
              <c:layout>
                <c:manualLayout>
                  <c:x val="0"/>
                  <c:y val="2.976190476190476E-2"/>
                </c:manualLayout>
              </c:layout>
              <c:tx>
                <c:rich>
                  <a:bodyPr/>
                  <a:lstStyle/>
                  <a:p>
                    <a:r>
                      <a:rPr lang="en-US" sz="700"/>
                      <a:t>102.3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F035-4171-92CD-E559EFBDB2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767185"/>
                    </a:solidFill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'Charts Data'!$R$5</c:f>
              <c:strCache>
                <c:ptCount val="1"/>
                <c:pt idx="0">
                  <c:v>IT cost as a % of Revenue</c:v>
                </c:pt>
              </c:strCache>
            </c:strRef>
          </c:cat>
          <c:val>
            <c:numRef>
              <c:f>'Charts Data'!$U$15</c:f>
              <c:numCache>
                <c:formatCode>0.0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F035-4171-92CD-E559EFBDB290}"/>
            </c:ext>
          </c:extLst>
        </c:ser>
        <c:ser>
          <c:idx val="3"/>
          <c:order val="2"/>
          <c:tx>
            <c:strRef>
              <c:f>'Charts Data'!$S$2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5E8AB4"/>
            </a:solidFill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EED7-48E7-8D7B-433DF2E95166}"/>
              </c:ext>
            </c:extLst>
          </c:dPt>
          <c:dLbls>
            <c:dLbl>
              <c:idx val="0"/>
              <c:layout>
                <c:manualLayout>
                  <c:x val="0"/>
                  <c:y val="2.976190476190467E-2"/>
                </c:manualLayout>
              </c:layout>
              <c:tx>
                <c:rich>
                  <a:bodyPr/>
                  <a:lstStyle/>
                  <a:p>
                    <a:r>
                      <a:rPr lang="en-US" sz="700"/>
                      <a:t>0.2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EED7-48E7-8D7B-433DF2E951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767185"/>
                    </a:solidFill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'Charts Data'!$R$5</c:f>
              <c:strCache>
                <c:ptCount val="1"/>
                <c:pt idx="0">
                  <c:v>IT cost as a % of Revenue</c:v>
                </c:pt>
              </c:strCache>
            </c:strRef>
          </c:cat>
          <c:val>
            <c:numRef>
              <c:f>'Charts Data'!$S$15</c:f>
              <c:numCache>
                <c:formatCode>0.0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5-F035-4171-92CD-E559EFBDB29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32"/>
        <c:overlap val="-34"/>
        <c:axId val="732959232"/>
        <c:axId val="732634432"/>
      </c:barChart>
      <c:catAx>
        <c:axId val="7329592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one"/>
        <c:crossAx val="732634432"/>
        <c:crosses val="autoZero"/>
        <c:auto val="1"/>
        <c:lblAlgn val="ctr"/>
        <c:lblOffset val="100"/>
        <c:noMultiLvlLbl val="0"/>
      </c:catAx>
      <c:valAx>
        <c:axId val="732634432"/>
        <c:scaling>
          <c:orientation val="minMax"/>
        </c:scaling>
        <c:delete val="1"/>
        <c:axPos val="l"/>
        <c:numFmt formatCode="0%" sourceLinked="0"/>
        <c:majorTickMark val="none"/>
        <c:minorTickMark val="none"/>
        <c:tickLblPos val="nextTo"/>
        <c:crossAx val="732959232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6.8215691788526434E-2"/>
          <c:w val="1"/>
          <c:h val="0.7002054430696163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'Charts Data'!$T$2</c:f>
              <c:strCache>
                <c:ptCount val="1"/>
                <c:pt idx="0">
                  <c:v>Median</c:v>
                </c:pt>
              </c:strCache>
            </c:strRef>
          </c:tx>
          <c:spPr>
            <a:solidFill>
              <a:srgbClr val="F9C20A"/>
            </a:solidFill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C445-4FD2-8802-712B69686BB4}"/>
              </c:ext>
            </c:extLst>
          </c:dPt>
          <c:dLbls>
            <c:dLbl>
              <c:idx val="0"/>
              <c:layout>
                <c:manualLayout>
                  <c:x val="0"/>
                  <c:y val="2.976190476190476E-2"/>
                </c:manualLayout>
              </c:layout>
              <c:tx>
                <c:rich>
                  <a:bodyPr/>
                  <a:lstStyle/>
                  <a:p>
                    <a:r>
                      <a:rPr lang="en-US" sz="700"/>
                      <a:t>29.5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C445-4FD2-8802-712B69686BB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767185"/>
                    </a:solidFill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'Charts Data'!$R$17</c:f>
              <c:strCache>
                <c:ptCount val="1"/>
                <c:pt idx="0">
                  <c:v>Procurement FTEs per BN of Revenue</c:v>
                </c:pt>
              </c:strCache>
            </c:strRef>
          </c:cat>
          <c:val>
            <c:numRef>
              <c:f>'Charts Data'!$T$17</c:f>
              <c:numCache>
                <c:formatCode>0.0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E097-49CF-8EE6-EC1F02476068}"/>
            </c:ext>
          </c:extLst>
        </c:ser>
        <c:ser>
          <c:idx val="5"/>
          <c:order val="1"/>
          <c:tx>
            <c:strRef>
              <c:f>'Charts Data'!$U$2</c:f>
              <c:strCache>
                <c:ptCount val="1"/>
                <c:pt idx="0">
                  <c:v>Top Quartile</c:v>
                </c:pt>
              </c:strCache>
            </c:strRef>
          </c:tx>
          <c:spPr>
            <a:solidFill>
              <a:srgbClr val="538AB4"/>
            </a:solidFill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9702A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05-C445-4FD2-8802-712B69686BB4}"/>
              </c:ext>
            </c:extLst>
          </c:dPt>
          <c:dLbls>
            <c:dLbl>
              <c:idx val="0"/>
              <c:layout>
                <c:manualLayout>
                  <c:x val="0"/>
                  <c:y val="2.976190476190476E-2"/>
                </c:manualLayout>
              </c:layout>
              <c:tx>
                <c:rich>
                  <a:bodyPr/>
                  <a:lstStyle/>
                  <a:p>
                    <a:r>
                      <a:rPr lang="en-US" sz="700"/>
                      <a:t>25.6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C445-4FD2-8802-712B69686BB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767185"/>
                    </a:solidFill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'Charts Data'!$R$17</c:f>
              <c:strCache>
                <c:ptCount val="1"/>
                <c:pt idx="0">
                  <c:v>Procurement FTEs per BN of Revenue</c:v>
                </c:pt>
              </c:strCache>
            </c:strRef>
          </c:cat>
          <c:val>
            <c:numRef>
              <c:f>'Charts Data'!$U$17</c:f>
              <c:numCache>
                <c:formatCode>0.0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E097-49CF-8EE6-EC1F02476068}"/>
            </c:ext>
          </c:extLst>
        </c:ser>
        <c:ser>
          <c:idx val="3"/>
          <c:order val="2"/>
          <c:tx>
            <c:strRef>
              <c:f>'Charts Data'!$S$2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5E8AB4"/>
            </a:solidFill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E097-49CF-8EE6-EC1F02476068}"/>
              </c:ext>
            </c:extLst>
          </c:dPt>
          <c:dLbls>
            <c:dLbl>
              <c:idx val="0"/>
              <c:layout>
                <c:manualLayout>
                  <c:x val="0"/>
                  <c:y val="2.976190476190467E-2"/>
                </c:manualLayout>
              </c:layout>
              <c:tx>
                <c:rich>
                  <a:bodyPr/>
                  <a:lstStyle/>
                  <a:p>
                    <a:r>
                      <a:rPr lang="en-US" sz="700"/>
                      <a:t>0.2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E097-49CF-8EE6-EC1F0247606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767185"/>
                    </a:solidFill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'Charts Data'!$R$17</c:f>
              <c:strCache>
                <c:ptCount val="1"/>
                <c:pt idx="0">
                  <c:v>Procurement FTEs per BN of Revenue</c:v>
                </c:pt>
              </c:strCache>
            </c:strRef>
          </c:cat>
          <c:val>
            <c:numRef>
              <c:f>'Charts Data'!$S$17</c:f>
              <c:numCache>
                <c:formatCode>0.0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5-E097-49CF-8EE6-EC1F0247606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32"/>
        <c:overlap val="-34"/>
        <c:axId val="732960768"/>
        <c:axId val="733415104"/>
      </c:barChart>
      <c:catAx>
        <c:axId val="73296076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one"/>
        <c:spPr>
          <a:solidFill>
            <a:srgbClr val="7030A0"/>
          </a:solidFill>
        </c:spPr>
        <c:crossAx val="733415104"/>
        <c:crosses val="autoZero"/>
        <c:auto val="1"/>
        <c:lblAlgn val="ctr"/>
        <c:lblOffset val="100"/>
        <c:noMultiLvlLbl val="0"/>
      </c:catAx>
      <c:valAx>
        <c:axId val="733415104"/>
        <c:scaling>
          <c:orientation val="minMax"/>
        </c:scaling>
        <c:delete val="1"/>
        <c:axPos val="l"/>
        <c:numFmt formatCode="0%" sourceLinked="0"/>
        <c:majorTickMark val="none"/>
        <c:minorTickMark val="none"/>
        <c:tickLblPos val="nextTo"/>
        <c:crossAx val="732960768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189791616956971E-2"/>
          <c:y val="6.8215691788526434E-2"/>
          <c:w val="0.98481020838304301"/>
          <c:h val="0.78508467691538553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'Charts Data'!$T$2</c:f>
              <c:strCache>
                <c:ptCount val="1"/>
                <c:pt idx="0">
                  <c:v>Median</c:v>
                </c:pt>
              </c:strCache>
            </c:strRef>
          </c:tx>
          <c:spPr>
            <a:solidFill>
              <a:srgbClr val="F9C20A"/>
            </a:solidFill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B39B-451B-B7F6-E9EDFE7F2ABB}"/>
              </c:ext>
            </c:extLst>
          </c:dPt>
          <c:dLbls>
            <c:dLbl>
              <c:idx val="0"/>
              <c:layout>
                <c:manualLayout>
                  <c:x val="0"/>
                  <c:y val="1.9105424321959753E-2"/>
                </c:manualLayout>
              </c:layout>
              <c:tx>
                <c:rich>
                  <a:bodyPr/>
                  <a:lstStyle/>
                  <a:p>
                    <a:r>
                      <a:rPr lang="en-US" sz="700"/>
                      <a:t>137.5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B39B-451B-B7F6-E9EDFE7F2AB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767185"/>
                    </a:solidFill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'Charts Data'!$R$18</c:f>
              <c:strCache>
                <c:ptCount val="1"/>
                <c:pt idx="0">
                  <c:v>Sales FTEs per Bn of Revenue</c:v>
                </c:pt>
              </c:strCache>
            </c:strRef>
          </c:cat>
          <c:val>
            <c:numRef>
              <c:f>'Charts Data'!$T$18</c:f>
              <c:numCache>
                <c:formatCode>0.0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CC9F-428C-82A0-D9FA62646BD1}"/>
            </c:ext>
          </c:extLst>
        </c:ser>
        <c:ser>
          <c:idx val="5"/>
          <c:order val="1"/>
          <c:tx>
            <c:strRef>
              <c:f>'Charts Data'!$U$2</c:f>
              <c:strCache>
                <c:ptCount val="1"/>
                <c:pt idx="0">
                  <c:v>Top Quartile</c:v>
                </c:pt>
              </c:strCache>
            </c:strRef>
          </c:tx>
          <c:spPr>
            <a:solidFill>
              <a:srgbClr val="538AB4"/>
            </a:solidFill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9702A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03-B39B-451B-B7F6-E9EDFE7F2ABB}"/>
              </c:ext>
            </c:extLst>
          </c:dPt>
          <c:dLbls>
            <c:dLbl>
              <c:idx val="0"/>
              <c:layout>
                <c:manualLayout>
                  <c:x val="0"/>
                  <c:y val="2.976190476190476E-2"/>
                </c:manualLayout>
              </c:layout>
              <c:tx>
                <c:rich>
                  <a:bodyPr/>
                  <a:lstStyle/>
                  <a:p>
                    <a:r>
                      <a:rPr lang="en-US" sz="700"/>
                      <a:t>118.9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B39B-451B-B7F6-E9EDFE7F2AB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767185"/>
                    </a:solidFill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'Charts Data'!$R$18</c:f>
              <c:strCache>
                <c:ptCount val="1"/>
                <c:pt idx="0">
                  <c:v>Sales FTEs per Bn of Revenue</c:v>
                </c:pt>
              </c:strCache>
            </c:strRef>
          </c:cat>
          <c:val>
            <c:numRef>
              <c:f>'Charts Data'!$U$18</c:f>
              <c:numCache>
                <c:formatCode>0.0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CC9F-428C-82A0-D9FA62646BD1}"/>
            </c:ext>
          </c:extLst>
        </c:ser>
        <c:ser>
          <c:idx val="3"/>
          <c:order val="2"/>
          <c:tx>
            <c:strRef>
              <c:f>'Charts Data'!$S$2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5E8AB4"/>
            </a:solidFill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B39B-451B-B7F6-E9EDFE7F2ABB}"/>
              </c:ext>
            </c:extLst>
          </c:dPt>
          <c:dLbls>
            <c:dLbl>
              <c:idx val="0"/>
              <c:layout>
                <c:manualLayout>
                  <c:x val="0"/>
                  <c:y val="2.9761904761904854E-2"/>
                </c:manualLayout>
              </c:layout>
              <c:tx>
                <c:rich>
                  <a:bodyPr/>
                  <a:lstStyle/>
                  <a:p>
                    <a:r>
                      <a:rPr lang="en-US" sz="700"/>
                      <a:t>1.7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B39B-451B-B7F6-E9EDFE7F2AB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767185"/>
                    </a:solidFill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'Charts Data'!$R$18</c:f>
              <c:strCache>
                <c:ptCount val="1"/>
                <c:pt idx="0">
                  <c:v>Sales FTEs per Bn of Revenue</c:v>
                </c:pt>
              </c:strCache>
            </c:strRef>
          </c:cat>
          <c:val>
            <c:numRef>
              <c:f>'Charts Data'!$S$18</c:f>
              <c:numCache>
                <c:formatCode>0.0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5-CC9F-428C-82A0-D9FA62646BD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32"/>
        <c:overlap val="-34"/>
        <c:axId val="733585408"/>
        <c:axId val="733417408"/>
      </c:barChart>
      <c:catAx>
        <c:axId val="73358540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one"/>
        <c:crossAx val="733417408"/>
        <c:crosses val="autoZero"/>
        <c:auto val="1"/>
        <c:lblAlgn val="ctr"/>
        <c:lblOffset val="100"/>
        <c:noMultiLvlLbl val="0"/>
      </c:catAx>
      <c:valAx>
        <c:axId val="733417408"/>
        <c:scaling>
          <c:orientation val="minMax"/>
        </c:scaling>
        <c:delete val="1"/>
        <c:axPos val="l"/>
        <c:numFmt formatCode="0%" sourceLinked="0"/>
        <c:majorTickMark val="none"/>
        <c:minorTickMark val="none"/>
        <c:tickLblPos val="nextTo"/>
        <c:crossAx val="733585408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6.8215691788526434E-2"/>
          <c:w val="1"/>
          <c:h val="0.7002054430696163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'Charts Data'!$T$2</c:f>
              <c:strCache>
                <c:ptCount val="1"/>
                <c:pt idx="0">
                  <c:v>Median</c:v>
                </c:pt>
              </c:strCache>
            </c:strRef>
          </c:tx>
          <c:spPr>
            <a:solidFill>
              <a:srgbClr val="F9C20A"/>
            </a:solidFill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B284-4C0D-9A04-AE393D7F742B}"/>
              </c:ext>
            </c:extLst>
          </c:dPt>
          <c:dLbls>
            <c:dLbl>
              <c:idx val="0"/>
              <c:layout>
                <c:manualLayout>
                  <c:x val="0"/>
                  <c:y val="2.976190476190476E-2"/>
                </c:manualLayout>
              </c:layout>
              <c:tx>
                <c:rich>
                  <a:bodyPr/>
                  <a:lstStyle/>
                  <a:p>
                    <a:r>
                      <a:rPr lang="en-US" sz="700"/>
                      <a:t>204.5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B284-4C0D-9A04-AE393D7F74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767185"/>
                    </a:solidFill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'Charts Data'!$R$16</c:f>
              <c:strCache>
                <c:ptCount val="1"/>
                <c:pt idx="0">
                  <c:v>Mktg FTEs per BN of Revenue</c:v>
                </c:pt>
              </c:strCache>
            </c:strRef>
          </c:cat>
          <c:val>
            <c:numRef>
              <c:f>'Charts Data'!$T$16</c:f>
              <c:numCache>
                <c:formatCode>0.0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3F27-44AC-AC7B-33B7B4C3CC8A}"/>
            </c:ext>
          </c:extLst>
        </c:ser>
        <c:ser>
          <c:idx val="5"/>
          <c:order val="1"/>
          <c:tx>
            <c:strRef>
              <c:f>'Charts Data'!$U$2</c:f>
              <c:strCache>
                <c:ptCount val="1"/>
                <c:pt idx="0">
                  <c:v>Top Quartile</c:v>
                </c:pt>
              </c:strCache>
            </c:strRef>
          </c:tx>
          <c:spPr>
            <a:solidFill>
              <a:srgbClr val="29702A"/>
            </a:solidFill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2.976190476190476E-2"/>
                </c:manualLayout>
              </c:layout>
              <c:tx>
                <c:rich>
                  <a:bodyPr/>
                  <a:lstStyle/>
                  <a:p>
                    <a:r>
                      <a:rPr lang="en-US" sz="700"/>
                      <a:t>176.9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9517-4452-B6EB-F92B6D0E731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767185"/>
                    </a:solidFill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'Charts Data'!$R$16</c:f>
              <c:strCache>
                <c:ptCount val="1"/>
                <c:pt idx="0">
                  <c:v>Mktg FTEs per BN of Revenue</c:v>
                </c:pt>
              </c:strCache>
            </c:strRef>
          </c:cat>
          <c:val>
            <c:numRef>
              <c:f>'Charts Data'!$U$16</c:f>
              <c:numCache>
                <c:formatCode>0.0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3F27-44AC-AC7B-33B7B4C3CC8A}"/>
            </c:ext>
          </c:extLst>
        </c:ser>
        <c:ser>
          <c:idx val="3"/>
          <c:order val="2"/>
          <c:tx>
            <c:strRef>
              <c:f>'Charts Data'!$S$2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5E8AB4"/>
            </a:solidFill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5C5-4E89-989A-1F1C80F682E5}"/>
              </c:ext>
            </c:extLst>
          </c:dPt>
          <c:dLbls>
            <c:dLbl>
              <c:idx val="0"/>
              <c:layout>
                <c:manualLayout>
                  <c:x val="0"/>
                  <c:y val="2.976190476190467E-2"/>
                </c:manualLayout>
              </c:layout>
              <c:tx>
                <c:rich>
                  <a:bodyPr/>
                  <a:lstStyle/>
                  <a:p>
                    <a:r>
                      <a:rPr lang="en-US" sz="700"/>
                      <a:t>0.2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45C5-4E89-989A-1F1C80F682E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767185"/>
                    </a:solidFill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'Charts Data'!$R$16</c:f>
              <c:strCache>
                <c:ptCount val="1"/>
                <c:pt idx="0">
                  <c:v>Mktg FTEs per BN of Revenue</c:v>
                </c:pt>
              </c:strCache>
            </c:strRef>
          </c:cat>
          <c:val>
            <c:numRef>
              <c:f>'Charts Data'!$S$16</c:f>
              <c:numCache>
                <c:formatCode>0.0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5-3F27-44AC-AC7B-33B7B4C3CC8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32"/>
        <c:overlap val="-34"/>
        <c:axId val="733586944"/>
        <c:axId val="733420288"/>
      </c:barChart>
      <c:catAx>
        <c:axId val="73358694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one"/>
        <c:crossAx val="733420288"/>
        <c:crosses val="autoZero"/>
        <c:auto val="1"/>
        <c:lblAlgn val="ctr"/>
        <c:lblOffset val="100"/>
        <c:noMultiLvlLbl val="0"/>
      </c:catAx>
      <c:valAx>
        <c:axId val="733420288"/>
        <c:scaling>
          <c:orientation val="minMax"/>
        </c:scaling>
        <c:delete val="1"/>
        <c:axPos val="l"/>
        <c:numFmt formatCode="0%" sourceLinked="0"/>
        <c:majorTickMark val="none"/>
        <c:minorTickMark val="none"/>
        <c:tickLblPos val="nextTo"/>
        <c:crossAx val="733586944"/>
        <c:crosses val="autoZero"/>
        <c:crossBetween val="between"/>
      </c:valAx>
      <c:spPr>
        <a:effectLst/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6.8215691788526434E-2"/>
          <c:w val="1"/>
          <c:h val="0.7002054430696163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'Charts Data'!$T$2</c:f>
              <c:strCache>
                <c:ptCount val="1"/>
                <c:pt idx="0">
                  <c:v>Median</c:v>
                </c:pt>
              </c:strCache>
            </c:strRef>
          </c:tx>
          <c:spPr>
            <a:solidFill>
              <a:srgbClr val="F9C20A"/>
            </a:solidFill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E782-49A4-B539-5F4BDB8A8F2B}"/>
              </c:ext>
            </c:extLst>
          </c:dPt>
          <c:dLbls>
            <c:dLbl>
              <c:idx val="0"/>
              <c:layout>
                <c:manualLayout>
                  <c:x val="0"/>
                  <c:y val="3.4136726099811845E-2"/>
                </c:manualLayout>
              </c:layout>
              <c:tx>
                <c:rich>
                  <a:bodyPr/>
                  <a:lstStyle/>
                  <a:p>
                    <a:r>
                      <a:rPr lang="en-US" sz="700"/>
                      <a:t>63.9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E782-49A4-B539-5F4BDB8A8F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767185"/>
                    </a:solidFill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'Charts Data'!$R$10</c:f>
              <c:strCache>
                <c:ptCount val="1"/>
                <c:pt idx="0">
                  <c:v>CS Support Services Cost as a % of Revenue</c:v>
                </c:pt>
              </c:strCache>
            </c:strRef>
          </c:cat>
          <c:val>
            <c:numRef>
              <c:f>'Charts Data'!$T$20</c:f>
              <c:numCache>
                <c:formatCode>0.0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AE34-471A-AF19-B2AAC5510BF5}"/>
            </c:ext>
          </c:extLst>
        </c:ser>
        <c:ser>
          <c:idx val="5"/>
          <c:order val="1"/>
          <c:tx>
            <c:strRef>
              <c:f>'Charts Data'!$U$2</c:f>
              <c:strCache>
                <c:ptCount val="1"/>
                <c:pt idx="0">
                  <c:v>Top Quartile</c:v>
                </c:pt>
              </c:strCache>
            </c:strRef>
          </c:tx>
          <c:spPr>
            <a:solidFill>
              <a:srgbClr val="29702A"/>
            </a:solidFill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3.4136726099811845E-2"/>
                </c:manualLayout>
              </c:layout>
              <c:tx>
                <c:rich>
                  <a:bodyPr/>
                  <a:lstStyle/>
                  <a:p>
                    <a:r>
                      <a:rPr lang="en-US" sz="700"/>
                      <a:t>55.3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9238-49E3-ACB6-E0FE56115A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767185"/>
                    </a:solidFill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'Charts Data'!$R$10</c:f>
              <c:strCache>
                <c:ptCount val="1"/>
                <c:pt idx="0">
                  <c:v>CS Support Services Cost as a % of Revenue</c:v>
                </c:pt>
              </c:strCache>
            </c:strRef>
          </c:cat>
          <c:val>
            <c:numRef>
              <c:f>'Charts Data'!$U$20</c:f>
              <c:numCache>
                <c:formatCode>0.0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AE34-471A-AF19-B2AAC5510BF5}"/>
            </c:ext>
          </c:extLst>
        </c:ser>
        <c:ser>
          <c:idx val="3"/>
          <c:order val="2"/>
          <c:tx>
            <c:strRef>
              <c:f>'Charts Data'!$S$2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5E8AB4"/>
            </a:solidFill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E782-49A4-B539-5F4BDB8A8F2B}"/>
              </c:ext>
            </c:extLst>
          </c:dPt>
          <c:dLbls>
            <c:dLbl>
              <c:idx val="0"/>
              <c:layout>
                <c:manualLayout>
                  <c:x val="0"/>
                  <c:y val="3.4136726099811845E-2"/>
                </c:manualLayout>
              </c:layout>
              <c:tx>
                <c:rich>
                  <a:bodyPr/>
                  <a:lstStyle/>
                  <a:p>
                    <a:r>
                      <a:rPr lang="en-US" sz="700"/>
                      <a:t>0.2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E782-49A4-B539-5F4BDB8A8F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767185"/>
                    </a:solidFill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'Charts Data'!$R$10</c:f>
              <c:strCache>
                <c:ptCount val="1"/>
                <c:pt idx="0">
                  <c:v>CS Support Services Cost as a % of Revenue</c:v>
                </c:pt>
              </c:strCache>
            </c:strRef>
          </c:cat>
          <c:val>
            <c:numRef>
              <c:f>'Charts Data'!$S$20</c:f>
              <c:numCache>
                <c:formatCode>0.0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5-AE34-471A-AF19-B2AAC5510BF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32"/>
        <c:overlap val="-34"/>
        <c:axId val="733587968"/>
        <c:axId val="733241920"/>
      </c:barChart>
      <c:catAx>
        <c:axId val="73358796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one"/>
        <c:crossAx val="733241920"/>
        <c:crosses val="autoZero"/>
        <c:auto val="1"/>
        <c:lblAlgn val="ctr"/>
        <c:lblOffset val="100"/>
        <c:noMultiLvlLbl val="0"/>
      </c:catAx>
      <c:valAx>
        <c:axId val="733241920"/>
        <c:scaling>
          <c:orientation val="minMax"/>
        </c:scaling>
        <c:delete val="1"/>
        <c:axPos val="l"/>
        <c:numFmt formatCode="0%" sourceLinked="0"/>
        <c:majorTickMark val="none"/>
        <c:minorTickMark val="none"/>
        <c:tickLblPos val="nextTo"/>
        <c:crossAx val="733587968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5.8295056867891513E-2"/>
          <c:w val="1"/>
          <c:h val="0.71012607799025118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'Charts Data'!$T$2</c:f>
              <c:strCache>
                <c:ptCount val="1"/>
                <c:pt idx="0">
                  <c:v>Median</c:v>
                </c:pt>
              </c:strCache>
            </c:strRef>
          </c:tx>
          <c:spPr>
            <a:solidFill>
              <a:srgbClr val="F9C20A"/>
            </a:solidFill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2958-493B-A6B1-2E5339D1B09F}"/>
              </c:ext>
            </c:extLst>
          </c:dPt>
          <c:dLbls>
            <c:dLbl>
              <c:idx val="0"/>
              <c:layout>
                <c:manualLayout>
                  <c:x val="0"/>
                  <c:y val="2.9761904761904785E-2"/>
                </c:manualLayout>
              </c:layout>
              <c:tx>
                <c:rich>
                  <a:bodyPr/>
                  <a:lstStyle/>
                  <a:p>
                    <a:r>
                      <a:rPr lang="en-US" sz="700"/>
                      <a:t>32.6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2958-493B-A6B1-2E5339D1B0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767185"/>
                    </a:solidFill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'Charts Data'!$R$8</c:f>
              <c:strCache>
                <c:ptCount val="1"/>
                <c:pt idx="0">
                  <c:v>Sales Cost as a % of Revenue</c:v>
                </c:pt>
              </c:strCache>
            </c:strRef>
          </c:cat>
          <c:val>
            <c:numRef>
              <c:f>'Charts Data'!$T$19</c:f>
              <c:numCache>
                <c:formatCode>0.0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0EFF-4657-8BE6-C61E9E1089A0}"/>
            </c:ext>
          </c:extLst>
        </c:ser>
        <c:ser>
          <c:idx val="5"/>
          <c:order val="1"/>
          <c:tx>
            <c:strRef>
              <c:f>'Charts Data'!$U$2</c:f>
              <c:strCache>
                <c:ptCount val="1"/>
                <c:pt idx="0">
                  <c:v>Top Quartile</c:v>
                </c:pt>
              </c:strCache>
            </c:strRef>
          </c:tx>
          <c:spPr>
            <a:solidFill>
              <a:srgbClr val="29702A"/>
            </a:solidFill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2.9761904761904785E-2"/>
                </c:manualLayout>
              </c:layout>
              <c:tx>
                <c:rich>
                  <a:bodyPr/>
                  <a:lstStyle/>
                  <a:p>
                    <a:r>
                      <a:rPr lang="en-US" sz="700"/>
                      <a:t>28.2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08E5-41B0-84A7-9501769257E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767185"/>
                    </a:solidFill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'Charts Data'!$R$8</c:f>
              <c:strCache>
                <c:ptCount val="1"/>
                <c:pt idx="0">
                  <c:v>Sales Cost as a % of Revenue</c:v>
                </c:pt>
              </c:strCache>
            </c:strRef>
          </c:cat>
          <c:val>
            <c:numRef>
              <c:f>'Charts Data'!$U$19</c:f>
              <c:numCache>
                <c:formatCode>0.0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0EFF-4657-8BE6-C61E9E1089A0}"/>
            </c:ext>
          </c:extLst>
        </c:ser>
        <c:ser>
          <c:idx val="3"/>
          <c:order val="2"/>
          <c:tx>
            <c:strRef>
              <c:f>'Charts Data'!$S$2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5E8AB4"/>
            </a:solidFill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2958-493B-A6B1-2E5339D1B09F}"/>
              </c:ext>
            </c:extLst>
          </c:dPt>
          <c:dLbls>
            <c:dLbl>
              <c:idx val="0"/>
              <c:layout>
                <c:manualLayout>
                  <c:x val="0"/>
                  <c:y val="2.9761904761904944E-2"/>
                </c:manualLayout>
              </c:layout>
              <c:tx>
                <c:rich>
                  <a:bodyPr/>
                  <a:lstStyle/>
                  <a:p>
                    <a:r>
                      <a:rPr lang="en-US" sz="700"/>
                      <a:t>0.2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2958-493B-A6B1-2E5339D1B0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767185"/>
                    </a:solidFill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'Charts Data'!$R$8</c:f>
              <c:strCache>
                <c:ptCount val="1"/>
                <c:pt idx="0">
                  <c:v>Sales Cost as a % of Revenue</c:v>
                </c:pt>
              </c:strCache>
            </c:strRef>
          </c:cat>
          <c:val>
            <c:numRef>
              <c:f>'Charts Data'!$S$19</c:f>
              <c:numCache>
                <c:formatCode>0.0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5-0EFF-4657-8BE6-C61E9E1089A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32"/>
        <c:overlap val="-34"/>
        <c:axId val="733588992"/>
        <c:axId val="733244224"/>
      </c:barChart>
      <c:catAx>
        <c:axId val="73358899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one"/>
        <c:crossAx val="733244224"/>
        <c:crosses val="autoZero"/>
        <c:auto val="1"/>
        <c:lblAlgn val="ctr"/>
        <c:lblOffset val="100"/>
        <c:noMultiLvlLbl val="0"/>
      </c:catAx>
      <c:valAx>
        <c:axId val="733244224"/>
        <c:scaling>
          <c:orientation val="minMax"/>
        </c:scaling>
        <c:delete val="1"/>
        <c:axPos val="l"/>
        <c:numFmt formatCode="0%" sourceLinked="0"/>
        <c:majorTickMark val="none"/>
        <c:minorTickMark val="none"/>
        <c:tickLblPos val="nextTo"/>
        <c:crossAx val="733588992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1.6272296320102846E-2"/>
          <c:w val="0.68236388487382016"/>
          <c:h val="0.88840524398735865"/>
        </c:manualLayout>
      </c:layout>
      <c:barChart>
        <c:barDir val="bar"/>
        <c:grouping val="clustered"/>
        <c:varyColors val="0"/>
        <c:ser>
          <c:idx val="0"/>
          <c:order val="0"/>
          <c:tx>
            <c:v>0.75</c:v>
          </c:tx>
          <c:spPr>
            <a:solidFill>
              <a:srgbClr val="7030A0"/>
            </a:solidFill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2B49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22-A755-4139-836A-3D15982BD97F}"/>
              </c:ext>
            </c:extLst>
          </c:dPt>
          <c:dPt>
            <c:idx val="1"/>
            <c:invertIfNegative val="0"/>
            <c:bubble3D val="0"/>
            <c:spPr>
              <a:solidFill>
                <a:srgbClr val="002B49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23-A755-4139-836A-3D15982BD97F}"/>
              </c:ext>
            </c:extLst>
          </c:dPt>
          <c:dPt>
            <c:idx val="2"/>
            <c:invertIfNegative val="0"/>
            <c:bubble3D val="0"/>
            <c:spPr>
              <a:solidFill>
                <a:srgbClr val="002B49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04-C6C9-471F-AB0D-5C7935C689FA}"/>
              </c:ext>
            </c:extLst>
          </c:dPt>
          <c:dPt>
            <c:idx val="3"/>
            <c:invertIfNegative val="0"/>
            <c:bubble3D val="0"/>
            <c:spPr>
              <a:solidFill>
                <a:srgbClr val="002B49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25-A755-4139-836A-3D15982BD97F}"/>
              </c:ext>
            </c:extLst>
          </c:dPt>
          <c:dPt>
            <c:idx val="4"/>
            <c:invertIfNegative val="0"/>
            <c:bubble3D val="0"/>
            <c:spPr>
              <a:solidFill>
                <a:srgbClr val="5E8AB4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26-A755-4139-836A-3D15982BD97F}"/>
              </c:ext>
            </c:extLst>
          </c:dPt>
          <c:dPt>
            <c:idx val="5"/>
            <c:invertIfNegative val="0"/>
            <c:bubble3D val="0"/>
            <c:spPr>
              <a:solidFill>
                <a:srgbClr val="F9C20A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27-A755-4139-836A-3D15982BD97F}"/>
              </c:ext>
            </c:extLst>
          </c:dPt>
          <c:dPt>
            <c:idx val="6"/>
            <c:invertIfNegative val="0"/>
            <c:bubble3D val="0"/>
            <c:spPr>
              <a:solidFill>
                <a:srgbClr val="F9C20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8-A755-4139-836A-3D15982BD97F}"/>
              </c:ext>
            </c:extLst>
          </c:dPt>
          <c:dPt>
            <c:idx val="7"/>
            <c:invertIfNegative val="0"/>
            <c:bubble3D val="0"/>
            <c:spPr>
              <a:solidFill>
                <a:srgbClr val="002B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9-A755-4139-836A-3D15982BD97F}"/>
              </c:ext>
            </c:extLst>
          </c:dPt>
          <c:dPt>
            <c:idx val="8"/>
            <c:invertIfNegative val="0"/>
            <c:bubble3D val="0"/>
            <c:spPr>
              <a:solidFill>
                <a:srgbClr val="002B49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28-D373-4F8A-B669-D8BBC6F5A31F}"/>
              </c:ext>
            </c:extLst>
          </c:dPt>
          <c:dPt>
            <c:idx val="9"/>
            <c:invertIfNegative val="0"/>
            <c:bubble3D val="0"/>
            <c:spPr>
              <a:solidFill>
                <a:srgbClr val="002B49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13-C3AA-4074-8B01-86B699B7DAEB}"/>
              </c:ext>
            </c:extLst>
          </c:dPt>
          <c:dPt>
            <c:idx val="10"/>
            <c:invertIfNegative val="0"/>
            <c:bubble3D val="0"/>
            <c:spPr>
              <a:solidFill>
                <a:srgbClr val="002B49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15-C3AA-4074-8B01-86B699B7DAEB}"/>
              </c:ext>
            </c:extLst>
          </c:dPt>
          <c:dPt>
            <c:idx val="11"/>
            <c:invertIfNegative val="0"/>
            <c:bubble3D val="0"/>
            <c:spPr>
              <a:solidFill>
                <a:srgbClr val="002B49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2B-D373-4F8A-B669-D8BBC6F5A31F}"/>
              </c:ext>
            </c:extLst>
          </c:dPt>
          <c:dPt>
            <c:idx val="12"/>
            <c:invertIfNegative val="0"/>
            <c:bubble3D val="0"/>
            <c:spPr>
              <a:solidFill>
                <a:srgbClr val="002B49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01-A755-4139-836A-3D15982BD97F}"/>
              </c:ext>
            </c:extLst>
          </c:dPt>
          <c:dPt>
            <c:idx val="13"/>
            <c:invertIfNegative val="0"/>
            <c:bubble3D val="0"/>
            <c:spPr>
              <a:solidFill>
                <a:srgbClr val="002B49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02-A755-4139-836A-3D15982BD97F}"/>
              </c:ext>
            </c:extLst>
          </c:dPt>
          <c:dPt>
            <c:idx val="14"/>
            <c:invertIfNegative val="0"/>
            <c:bubble3D val="0"/>
            <c:spPr>
              <a:solidFill>
                <a:srgbClr val="002B49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03-A755-4139-836A-3D15982BD97F}"/>
              </c:ext>
            </c:extLst>
          </c:dPt>
          <c:dPt>
            <c:idx val="15"/>
            <c:invertIfNegative val="0"/>
            <c:bubble3D val="0"/>
            <c:spPr>
              <a:solidFill>
                <a:srgbClr val="002B49"/>
              </a:solidFill>
              <a:effectLst/>
            </c:spPr>
            <c:extLst>
              <c:ext xmlns:c16="http://schemas.microsoft.com/office/drawing/2014/chart" uri="{C3380CC4-5D6E-409C-BE32-E72D297353CC}">
                <c16:uniqueId val="{00000004-A755-4139-836A-3D15982BD97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A755-4139-836A-3D15982BD97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A755-4139-836A-3D15982BD97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A755-4139-836A-3D15982BD97F}"/>
              </c:ext>
            </c:extLst>
          </c:dPt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A755-4139-836A-3D15982BD97F}"/>
              </c:ext>
            </c:extLst>
          </c:dPt>
          <c:dPt>
            <c:idx val="2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A755-4139-836A-3D15982BD97F}"/>
              </c:ext>
            </c:extLst>
          </c:dPt>
          <c:dPt>
            <c:idx val="2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A755-4139-836A-3D15982BD97F}"/>
              </c:ext>
            </c:extLst>
          </c:dPt>
          <c:dPt>
            <c:idx val="2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A755-4139-836A-3D15982BD97F}"/>
              </c:ext>
            </c:extLst>
          </c:dPt>
          <c:dPt>
            <c:idx val="2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A755-4139-836A-3D15982BD97F}"/>
              </c:ext>
            </c:extLst>
          </c:dPt>
          <c:dPt>
            <c:idx val="2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A755-4139-836A-3D15982BD97F}"/>
              </c:ext>
            </c:extLst>
          </c:dPt>
          <c:dPt>
            <c:idx val="2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1-A755-4139-836A-3D15982BD97F}"/>
              </c:ext>
            </c:extLst>
          </c:dPt>
          <c:dPt>
            <c:idx val="2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A755-4139-836A-3D15982BD97F}"/>
              </c:ext>
            </c:extLst>
          </c:dPt>
          <c:dPt>
            <c:idx val="2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4-A755-4139-836A-3D15982BD97F}"/>
              </c:ext>
            </c:extLst>
          </c:dPt>
          <c:dPt>
            <c:idx val="2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A755-4139-836A-3D15982BD97F}"/>
              </c:ext>
            </c:extLst>
          </c:dPt>
          <c:dPt>
            <c:idx val="3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6-A755-4139-836A-3D15982BD97F}"/>
              </c:ext>
            </c:extLst>
          </c:dPt>
          <c:dPt>
            <c:idx val="3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7-A755-4139-836A-3D15982BD97F}"/>
              </c:ext>
            </c:extLst>
          </c:dPt>
          <c:dPt>
            <c:idx val="3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9-A755-4139-836A-3D15982BD97F}"/>
              </c:ext>
            </c:extLst>
          </c:dPt>
          <c:dPt>
            <c:idx val="3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A-A755-4139-836A-3D15982BD97F}"/>
              </c:ext>
            </c:extLst>
          </c:dPt>
          <c:dPt>
            <c:idx val="3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B-A755-4139-836A-3D15982BD97F}"/>
              </c:ext>
            </c:extLst>
          </c:dPt>
          <c:dPt>
            <c:idx val="4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C-A755-4139-836A-3D15982BD97F}"/>
              </c:ext>
            </c:extLst>
          </c:dPt>
          <c:dPt>
            <c:idx val="4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E-A755-4139-836A-3D15982BD97F}"/>
              </c:ext>
            </c:extLst>
          </c:dPt>
          <c:dPt>
            <c:idx val="4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0-A755-4139-836A-3D15982BD97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646464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'Charts Data'!$A$3:$A$14</c:f>
              <c:numCache>
                <c:formatCode>General</c:formatCode>
                <c:ptCount val="12"/>
              </c:numCache>
            </c:numRef>
          </c:cat>
          <c:val>
            <c:numRef>
              <c:f>'Charts Data'!$B$3:$B$14</c:f>
              <c:numCache>
                <c:formatCode>0.00%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21-A755-4139-836A-3D15982BD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1"/>
        <c:axId val="730021376"/>
        <c:axId val="730153536"/>
      </c:barChart>
      <c:catAx>
        <c:axId val="73002137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ln>
            <a:solidFill>
              <a:schemeClr val="bg1">
                <a:lumMod val="50000"/>
              </a:schemeClr>
            </a:solidFill>
          </a:ln>
        </c:spPr>
        <c:txPr>
          <a:bodyPr rot="0" vert="horz" anchor="b" anchorCtr="0"/>
          <a:lstStyle/>
          <a:p>
            <a:pPr>
              <a:defRPr>
                <a:solidFill>
                  <a:srgbClr val="646464"/>
                </a:solidFill>
              </a:defRPr>
            </a:pPr>
            <a:endParaRPr lang="en-US"/>
          </a:p>
        </c:txPr>
        <c:crossAx val="730153536"/>
        <c:crosses val="autoZero"/>
        <c:auto val="1"/>
        <c:lblAlgn val="ctr"/>
        <c:lblOffset val="100"/>
        <c:noMultiLvlLbl val="0"/>
      </c:catAx>
      <c:valAx>
        <c:axId val="730153536"/>
        <c:scaling>
          <c:orientation val="minMax"/>
        </c:scaling>
        <c:delete val="1"/>
        <c:axPos val="b"/>
        <c:numFmt formatCode="0.00%" sourceLinked="1"/>
        <c:majorTickMark val="out"/>
        <c:minorTickMark val="none"/>
        <c:tickLblPos val="nextTo"/>
        <c:crossAx val="730021376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578685479822394"/>
          <c:y val="2.3922902494331062E-2"/>
          <c:w val="0.75034321346774313"/>
          <c:h val="0.9588276911814595"/>
        </c:manualLayout>
      </c:layout>
      <c:barChart>
        <c:barDir val="col"/>
        <c:grouping val="stacked"/>
        <c:varyColors val="0"/>
        <c:ser>
          <c:idx val="0"/>
          <c:order val="2"/>
          <c:tx>
            <c:v>Bar1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75A-4B13-BDB1-5A60C0101F62}"/>
              </c:ext>
            </c:extLst>
          </c:dPt>
          <c:cat>
            <c:numLit>
              <c:formatCode>General</c:formatCode>
              <c:ptCount val="1"/>
              <c:pt idx="0">
                <c:v>1</c:v>
              </c:pt>
            </c:numLit>
          </c:cat>
          <c:val>
            <c:numRef>
              <c:f>'Charts Data'!$E$4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75A-4B13-BDB1-5A60C0101F62}"/>
            </c:ext>
          </c:extLst>
        </c:ser>
        <c:ser>
          <c:idx val="1"/>
          <c:order val="3"/>
          <c:tx>
            <c:v>Bar2</c:v>
          </c:tx>
          <c:spPr>
            <a:solidFill>
              <a:srgbClr val="29702A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A75A-4B13-BDB1-5A60C0101F62}"/>
              </c:ext>
            </c:extLst>
          </c:dPt>
          <c:cat>
            <c:numLit>
              <c:formatCode>General</c:formatCode>
              <c:ptCount val="1"/>
              <c:pt idx="0">
                <c:v>1</c:v>
              </c:pt>
            </c:numLit>
          </c:cat>
          <c:val>
            <c:numRef>
              <c:f>'Charts Data'!$F$4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75A-4B13-BDB1-5A60C0101F62}"/>
            </c:ext>
          </c:extLst>
        </c:ser>
        <c:ser>
          <c:idx val="2"/>
          <c:order val="4"/>
          <c:tx>
            <c:v>Bar3</c:v>
          </c:tx>
          <c:spPr>
            <a:solidFill>
              <a:srgbClr val="F9C20A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1</c:v>
              </c:pt>
            </c:numLit>
          </c:cat>
          <c:val>
            <c:numRef>
              <c:f>'Charts Data'!$G$4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75A-4B13-BDB1-5A60C0101F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49"/>
        <c:overlap val="100"/>
        <c:axId val="730276864"/>
        <c:axId val="730155264"/>
      </c:barChart>
      <c:scatterChart>
        <c:scatterStyle val="lineMarker"/>
        <c:varyColors val="0"/>
        <c:ser>
          <c:idx val="5"/>
          <c:order val="0"/>
          <c:tx>
            <c:strRef>
              <c:f>'Charts Data'!$D$2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9"/>
            <c:spPr>
              <a:solidFill>
                <a:srgbClr val="7030A0"/>
              </a:solidFill>
              <a:ln w="9525">
                <a:noFill/>
              </a:ln>
              <a:effectLst/>
            </c:spPr>
          </c:marker>
          <c:dPt>
            <c:idx val="0"/>
            <c:marker>
              <c:spPr>
                <a:solidFill>
                  <a:srgbClr val="5E8AB4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A75A-4B13-BDB1-5A60C0101F62}"/>
              </c:ext>
            </c:extLst>
          </c:dPt>
          <c:dLbls>
            <c:dLbl>
              <c:idx val="0"/>
              <c:layout>
                <c:manualLayout>
                  <c:x val="-0.44986676028553757"/>
                  <c:y val="-1.646064612293833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0" tIns="0" rIns="0" bIns="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646464"/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5652941471488039"/>
                      <c:h val="9.2296425909724242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A75A-4B13-BDB1-5A60C0101F6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646464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rgbClr val="5E8AB4"/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'Charts Data'!$D$3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'Charts Data'!$D$4</c:f>
              <c:numCache>
                <c:formatCode>0.00%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75A-4B13-BDB1-5A60C0101F62}"/>
            </c:ext>
          </c:extLst>
        </c:ser>
        <c:ser>
          <c:idx val="3"/>
          <c:order val="1"/>
          <c:tx>
            <c:v>Line1</c:v>
          </c:tx>
          <c:spPr>
            <a:ln w="15875" cap="rnd">
              <a:solidFill>
                <a:srgbClr val="0083CA"/>
              </a:solidFill>
              <a:round/>
            </a:ln>
            <a:effectLst/>
          </c:spPr>
          <c:marker>
            <c:symbol val="none"/>
          </c:marker>
          <c:xVal>
            <c:numRef>
              <c:f>'Charts Data'!$H$3:$I$3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'Charts Data'!$H$4:$I$4</c:f>
              <c:numCache>
                <c:formatCode>0.00%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75A-4B13-BDB1-5A60C0101F62}"/>
            </c:ext>
          </c:extLst>
        </c:ser>
        <c:ser>
          <c:idx val="4"/>
          <c:order val="5"/>
          <c:tx>
            <c:v>Line2</c:v>
          </c:tx>
          <c:spPr>
            <a:ln w="15875" cap="rnd">
              <a:solidFill>
                <a:srgbClr val="0083CA"/>
              </a:solidFill>
              <a:round/>
            </a:ln>
            <a:effectLst/>
          </c:spPr>
          <c:marker>
            <c:symbol val="none"/>
          </c:marker>
          <c:xVal>
            <c:numRef>
              <c:f>'Charts Data'!$J$3:$K$3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'Charts Data'!$J$4:$K$4</c:f>
              <c:numCache>
                <c:formatCode>0.00%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75A-4B13-BDB1-5A60C0101F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0276864"/>
        <c:axId val="730155264"/>
      </c:scatterChart>
      <c:catAx>
        <c:axId val="7302768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0155264"/>
        <c:crosses val="autoZero"/>
        <c:auto val="1"/>
        <c:lblAlgn val="ctr"/>
        <c:lblOffset val="100"/>
        <c:noMultiLvlLbl val="0"/>
      </c:catAx>
      <c:valAx>
        <c:axId val="730155264"/>
        <c:scaling>
          <c:orientation val="minMax"/>
          <c:max val="0.15324000000000002"/>
          <c:min val="5.3699999999999998E-2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>
            <a:solidFill>
              <a:schemeClr val="bg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646464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276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411024</xdr:colOff>
      <xdr:row>127</xdr:row>
      <xdr:rowOff>50941</xdr:rowOff>
    </xdr:from>
    <xdr:to>
      <xdr:col>14</xdr:col>
      <xdr:colOff>503464</xdr:colOff>
      <xdr:row>151</xdr:row>
      <xdr:rowOff>68036</xdr:rowOff>
    </xdr:to>
    <xdr:graphicFrame macro="">
      <xdr:nvGraphicFramePr>
        <xdr:cNvPr id="169" name="chtDecile">
          <a:extLst>
            <a:ext uri="{FF2B5EF4-FFF2-40B4-BE49-F238E27FC236}">
              <a16:creationId xmlns:a16="http://schemas.microsoft.com/office/drawing/2014/main" id="{00000000-0008-0000-0000-0000A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318155</xdr:colOff>
      <xdr:row>126</xdr:row>
      <xdr:rowOff>163286</xdr:rowOff>
    </xdr:from>
    <xdr:to>
      <xdr:col>9</xdr:col>
      <xdr:colOff>410595</xdr:colOff>
      <xdr:row>150</xdr:row>
      <xdr:rowOff>180381</xdr:rowOff>
    </xdr:to>
    <xdr:graphicFrame macro="">
      <xdr:nvGraphicFramePr>
        <xdr:cNvPr id="44" name="chtQuartile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126</xdr:row>
      <xdr:rowOff>163290</xdr:rowOff>
    </xdr:from>
    <xdr:to>
      <xdr:col>4</xdr:col>
      <xdr:colOff>92179</xdr:colOff>
      <xdr:row>150</xdr:row>
      <xdr:rowOff>180385</xdr:rowOff>
    </xdr:to>
    <xdr:graphicFrame macro="">
      <xdr:nvGraphicFramePr>
        <xdr:cNvPr id="43" name="chtMedian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78442</xdr:colOff>
      <xdr:row>153</xdr:row>
      <xdr:rowOff>44824</xdr:rowOff>
    </xdr:from>
    <xdr:to>
      <xdr:col>15</xdr:col>
      <xdr:colOff>22794</xdr:colOff>
      <xdr:row>181</xdr:row>
      <xdr:rowOff>13607</xdr:rowOff>
    </xdr:to>
    <xdr:graphicFrame macro="">
      <xdr:nvGraphicFramePr>
        <xdr:cNvPr id="45" name="Chart_C6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23175</xdr:colOff>
      <xdr:row>0</xdr:row>
      <xdr:rowOff>146136</xdr:rowOff>
    </xdr:from>
    <xdr:to>
      <xdr:col>23</xdr:col>
      <xdr:colOff>23175</xdr:colOff>
      <xdr:row>3</xdr:row>
      <xdr:rowOff>101312</xdr:rowOff>
    </xdr:to>
    <xdr:sp macro="[0]!FormatCharts" textlink="">
      <xdr:nvSpPr>
        <xdr:cNvPr id="172" name="Rounded Rectangle 171">
          <a:extLst>
            <a:ext uri="{FF2B5EF4-FFF2-40B4-BE49-F238E27FC236}">
              <a16:creationId xmlns:a16="http://schemas.microsoft.com/office/drawing/2014/main" id="{00000000-0008-0000-0000-0000AC000000}"/>
            </a:ext>
          </a:extLst>
        </xdr:cNvPr>
        <xdr:cNvSpPr/>
      </xdr:nvSpPr>
      <xdr:spPr>
        <a:xfrm>
          <a:off x="12215175" y="146136"/>
          <a:ext cx="1828800" cy="526676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Format Charts</a:t>
          </a:r>
        </a:p>
      </xdr:txBody>
    </xdr:sp>
    <xdr:clientData/>
  </xdr:twoCellAnchor>
  <xdr:twoCellAnchor>
    <xdr:from>
      <xdr:col>20</xdr:col>
      <xdr:colOff>83090</xdr:colOff>
      <xdr:row>4</xdr:row>
      <xdr:rowOff>144709</xdr:rowOff>
    </xdr:from>
    <xdr:to>
      <xdr:col>23</xdr:col>
      <xdr:colOff>83090</xdr:colOff>
      <xdr:row>7</xdr:row>
      <xdr:rowOff>99885</xdr:rowOff>
    </xdr:to>
    <xdr:sp macro="[0]!CreatePowerPoint" textlink="">
      <xdr:nvSpPr>
        <xdr:cNvPr id="289" name="Rounded Rectangle 288">
          <a:extLst>
            <a:ext uri="{FF2B5EF4-FFF2-40B4-BE49-F238E27FC236}">
              <a16:creationId xmlns:a16="http://schemas.microsoft.com/office/drawing/2014/main" id="{00000000-0008-0000-0000-000021010000}"/>
            </a:ext>
          </a:extLst>
        </xdr:cNvPr>
        <xdr:cNvSpPr/>
      </xdr:nvSpPr>
      <xdr:spPr>
        <a:xfrm>
          <a:off x="12275090" y="906709"/>
          <a:ext cx="1828800" cy="526676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Create PPT</a:t>
          </a:r>
        </a:p>
      </xdr:txBody>
    </xdr:sp>
    <xdr:clientData/>
  </xdr:twoCellAnchor>
  <xdr:twoCellAnchor>
    <xdr:from>
      <xdr:col>11</xdr:col>
      <xdr:colOff>315296</xdr:colOff>
      <xdr:row>1</xdr:row>
      <xdr:rowOff>9525</xdr:rowOff>
    </xdr:from>
    <xdr:to>
      <xdr:col>14</xdr:col>
      <xdr:colOff>396814</xdr:colOff>
      <xdr:row>2</xdr:row>
      <xdr:rowOff>92428</xdr:rowOff>
    </xdr:to>
    <xdr:grpSp>
      <xdr:nvGrpSpPr>
        <xdr:cNvPr id="60" name="Group_Demographics_Legend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GrpSpPr/>
      </xdr:nvGrpSpPr>
      <xdr:grpSpPr>
        <a:xfrm>
          <a:off x="7020896" y="200025"/>
          <a:ext cx="1910318" cy="273403"/>
          <a:chOff x="7020896" y="200025"/>
          <a:chExt cx="1910318" cy="273403"/>
        </a:xfrm>
      </xdr:grpSpPr>
      <xdr:sp macro="" textlink="">
        <xdr:nvSpPr>
          <xdr:cNvPr id="63" name="5-Point St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SpPr/>
        </xdr:nvSpPr>
        <xdr:spPr>
          <a:xfrm>
            <a:off x="7020896" y="200025"/>
            <a:ext cx="310983" cy="273403"/>
          </a:xfrm>
          <a:prstGeom prst="star5">
            <a:avLst/>
          </a:prstGeom>
          <a:solidFill>
            <a:srgbClr val="F9C20A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>
              <a:solidFill>
                <a:srgbClr val="FFFFFF"/>
              </a:solidFill>
            </a:endParaRPr>
          </a:p>
        </xdr:txBody>
      </xdr:sp>
      <xdr:sp macro="" textlink="CName">
        <xdr:nvSpPr>
          <xdr:cNvPr id="64" name="txtTarget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SpPr txBox="1"/>
        </xdr:nvSpPr>
        <xdr:spPr>
          <a:xfrm>
            <a:off x="7503216" y="240798"/>
            <a:ext cx="1427998" cy="205756"/>
          </a:xfrm>
          <a:prstGeom prst="rect">
            <a:avLst/>
          </a:prstGeom>
          <a:noFill/>
        </xdr:spPr>
        <xdr:txBody>
          <a:bodyPr wrap="square" lIns="45720" rIns="45720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l" defTabSz="914400" rtl="0" eaLnBrk="1" latinLnBrk="0" hangingPunct="1"/>
            <a:fld id="{0A4BF4BC-C168-438F-9730-D2C7A88BC711}" type="TxLink">
              <a:rPr lang="en-US" sz="1000" b="1" i="0" u="none" strike="noStrike" kern="1200">
                <a:solidFill>
                  <a:srgbClr val="646464"/>
                </a:solidFill>
                <a:latin typeface="Arial"/>
                <a:ea typeface="+mn-ea"/>
                <a:cs typeface="Arial"/>
              </a:rPr>
              <a:pPr marL="0" indent="0" algn="l" defTabSz="914400" rtl="0" eaLnBrk="1" latinLnBrk="0" hangingPunct="1"/>
              <a:t> </a:t>
            </a:fld>
            <a:endParaRPr lang="en-US" sz="1000" b="1" i="0" u="none" strike="noStrike" kern="1200">
              <a:solidFill>
                <a:srgbClr val="646464"/>
              </a:solidFill>
              <a:latin typeface="Arial"/>
              <a:ea typeface="+mn-ea"/>
              <a:cs typeface="Arial"/>
            </a:endParaRPr>
          </a:p>
        </xdr:txBody>
      </xdr:sp>
    </xdr:grpSp>
    <xdr:clientData/>
  </xdr:twoCellAnchor>
  <xdr:twoCellAnchor>
    <xdr:from>
      <xdr:col>2</xdr:col>
      <xdr:colOff>246531</xdr:colOff>
      <xdr:row>65</xdr:row>
      <xdr:rowOff>28575</xdr:rowOff>
    </xdr:from>
    <xdr:to>
      <xdr:col>11</xdr:col>
      <xdr:colOff>191985</xdr:colOff>
      <xdr:row>91</xdr:row>
      <xdr:rowOff>134471</xdr:rowOff>
    </xdr:to>
    <xdr:grpSp>
      <xdr:nvGrpSpPr>
        <xdr:cNvPr id="290" name="Group_Score">
          <a:extLst>
            <a:ext uri="{FF2B5EF4-FFF2-40B4-BE49-F238E27FC236}">
              <a16:creationId xmlns:a16="http://schemas.microsoft.com/office/drawing/2014/main" id="{00000000-0008-0000-0000-000022010000}"/>
            </a:ext>
          </a:extLst>
        </xdr:cNvPr>
        <xdr:cNvGrpSpPr/>
      </xdr:nvGrpSpPr>
      <xdr:grpSpPr>
        <a:xfrm>
          <a:off x="1465731" y="12411075"/>
          <a:ext cx="5431854" cy="5058896"/>
          <a:chOff x="1471174" y="12411075"/>
          <a:chExt cx="5456347" cy="5058896"/>
        </a:xfrm>
      </xdr:grpSpPr>
      <xdr:graphicFrame macro="">
        <xdr:nvGraphicFramePr>
          <xdr:cNvPr id="4" name="Chart_C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GraphicFramePr>
            <a:graphicFrameLocks/>
          </xdr:cNvGraphicFramePr>
        </xdr:nvGraphicFramePr>
        <xdr:xfrm>
          <a:off x="1584580" y="12411075"/>
          <a:ext cx="5342941" cy="50588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171" name="Arrow: Left-Right 26">
            <a:extLst>
              <a:ext uri="{FF2B5EF4-FFF2-40B4-BE49-F238E27FC236}">
                <a16:creationId xmlns:a16="http://schemas.microsoft.com/office/drawing/2014/main" id="{00000000-0008-0000-0000-0000AB000000}"/>
              </a:ext>
            </a:extLst>
          </xdr:cNvPr>
          <xdr:cNvSpPr/>
        </xdr:nvSpPr>
        <xdr:spPr>
          <a:xfrm rot="16200000">
            <a:off x="-581573" y="14680176"/>
            <a:ext cx="4619044" cy="513549"/>
          </a:xfrm>
          <a:prstGeom prst="leftRightArrow">
            <a:avLst/>
          </a:prstGeom>
          <a:noFill/>
          <a:ln w="3175"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1043056" rtl="0" eaLnBrk="1" latinLnBrk="0" hangingPunct="1">
              <a:defRPr sz="2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21528" algn="l" defTabSz="1043056" rtl="0" eaLnBrk="1" latinLnBrk="0" hangingPunct="1">
              <a:defRPr sz="2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043056" algn="l" defTabSz="1043056" rtl="0" eaLnBrk="1" latinLnBrk="0" hangingPunct="1">
              <a:defRPr sz="2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564584" algn="l" defTabSz="1043056" rtl="0" eaLnBrk="1" latinLnBrk="0" hangingPunct="1">
              <a:defRPr sz="2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086112" algn="l" defTabSz="1043056" rtl="0" eaLnBrk="1" latinLnBrk="0" hangingPunct="1">
              <a:defRPr sz="2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607640" algn="l" defTabSz="1043056" rtl="0" eaLnBrk="1" latinLnBrk="0" hangingPunct="1">
              <a:defRPr sz="2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129168" algn="l" defTabSz="1043056" rtl="0" eaLnBrk="1" latinLnBrk="0" hangingPunct="1">
              <a:defRPr sz="2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650696" algn="l" defTabSz="1043056" rtl="0" eaLnBrk="1" latinLnBrk="0" hangingPunct="1">
              <a:defRPr sz="2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172224" algn="l" defTabSz="1043056" rtl="0" eaLnBrk="1" latinLnBrk="0" hangingPunct="1">
              <a:defRPr sz="2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n-US" sz="1200">
              <a:ln w="3175">
                <a:solidFill>
                  <a:schemeClr val="tx1"/>
                </a:solidFill>
              </a:ln>
            </a:endParaRPr>
          </a:p>
        </xdr:txBody>
      </xdr:sp>
      <xdr:sp macro="" textlink="">
        <xdr:nvSpPr>
          <xdr:cNvPr id="178" name="Arrow: Left-Right 25">
            <a:extLst>
              <a:ext uri="{FF2B5EF4-FFF2-40B4-BE49-F238E27FC236}">
                <a16:creationId xmlns:a16="http://schemas.microsoft.com/office/drawing/2014/main" id="{00000000-0008-0000-0000-0000B2000000}"/>
              </a:ext>
            </a:extLst>
          </xdr:cNvPr>
          <xdr:cNvSpPr/>
        </xdr:nvSpPr>
        <xdr:spPr>
          <a:xfrm>
            <a:off x="1848170" y="16954500"/>
            <a:ext cx="4920984" cy="472384"/>
          </a:xfrm>
          <a:prstGeom prst="leftRightArrow">
            <a:avLst/>
          </a:prstGeom>
          <a:noFill/>
          <a:ln w="3175"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1043056" rtl="0" eaLnBrk="1" latinLnBrk="0" hangingPunct="1">
              <a:defRPr sz="2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21528" algn="l" defTabSz="1043056" rtl="0" eaLnBrk="1" latinLnBrk="0" hangingPunct="1">
              <a:defRPr sz="2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043056" algn="l" defTabSz="1043056" rtl="0" eaLnBrk="1" latinLnBrk="0" hangingPunct="1">
              <a:defRPr sz="2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564584" algn="l" defTabSz="1043056" rtl="0" eaLnBrk="1" latinLnBrk="0" hangingPunct="1">
              <a:defRPr sz="2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086112" algn="l" defTabSz="1043056" rtl="0" eaLnBrk="1" latinLnBrk="0" hangingPunct="1">
              <a:defRPr sz="2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607640" algn="l" defTabSz="1043056" rtl="0" eaLnBrk="1" latinLnBrk="0" hangingPunct="1">
              <a:defRPr sz="2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129168" algn="l" defTabSz="1043056" rtl="0" eaLnBrk="1" latinLnBrk="0" hangingPunct="1">
              <a:defRPr sz="2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650696" algn="l" defTabSz="1043056" rtl="0" eaLnBrk="1" latinLnBrk="0" hangingPunct="1">
              <a:defRPr sz="2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172224" algn="l" defTabSz="1043056" rtl="0" eaLnBrk="1" latinLnBrk="0" hangingPunct="1">
              <a:defRPr sz="2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n-US" sz="1200">
              <a:ln w="3175">
                <a:solidFill>
                  <a:schemeClr val="bg1">
                    <a:lumMod val="65000"/>
                  </a:schemeClr>
                </a:solidFill>
              </a:ln>
            </a:endParaRPr>
          </a:p>
        </xdr:txBody>
      </xdr:sp>
      <xdr:sp macro="" textlink="">
        <xdr:nvSpPr>
          <xdr:cNvPr id="179" name="TextBox 275">
            <a:extLst>
              <a:ext uri="{FF2B5EF4-FFF2-40B4-BE49-F238E27FC236}">
                <a16:creationId xmlns:a16="http://schemas.microsoft.com/office/drawing/2014/main" id="{00000000-0008-0000-0000-0000B3000000}"/>
              </a:ext>
            </a:extLst>
          </xdr:cNvPr>
          <xdr:cNvSpPr txBox="1"/>
        </xdr:nvSpPr>
        <xdr:spPr>
          <a:xfrm>
            <a:off x="6302509" y="17044147"/>
            <a:ext cx="623527" cy="2353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wrap="square" rtlCol="0" anchor="t">
            <a:noAutofit/>
          </a:bodyPr>
          <a:lstStyle>
            <a:defPPr>
              <a:defRPr lang="en-US"/>
            </a:defPPr>
            <a:lvl1pPr marL="0" algn="l" defTabSz="1043056" rtl="0" eaLnBrk="1" latinLnBrk="0" hangingPunct="1">
              <a:defRPr sz="21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521528" algn="l" defTabSz="1043056" rtl="0" eaLnBrk="1" latinLnBrk="0" hangingPunct="1">
              <a:defRPr sz="21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1043056" algn="l" defTabSz="1043056" rtl="0" eaLnBrk="1" latinLnBrk="0" hangingPunct="1">
              <a:defRPr sz="21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564584" algn="l" defTabSz="1043056" rtl="0" eaLnBrk="1" latinLnBrk="0" hangingPunct="1">
              <a:defRPr sz="21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2086112" algn="l" defTabSz="1043056" rtl="0" eaLnBrk="1" latinLnBrk="0" hangingPunct="1">
              <a:defRPr sz="21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607640" algn="l" defTabSz="1043056" rtl="0" eaLnBrk="1" latinLnBrk="0" hangingPunct="1">
              <a:defRPr sz="21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3129168" algn="l" defTabSz="1043056" rtl="0" eaLnBrk="1" latinLnBrk="0" hangingPunct="1">
              <a:defRPr sz="21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650696" algn="l" defTabSz="1043056" rtl="0" eaLnBrk="1" latinLnBrk="0" hangingPunct="1">
              <a:defRPr sz="21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4172224" algn="l" defTabSz="1043056" rtl="0" eaLnBrk="1" latinLnBrk="0" hangingPunct="1">
              <a:defRPr sz="21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200" b="1">
                <a:solidFill>
                  <a:srgbClr val="29702A"/>
                </a:solidFill>
              </a:rPr>
              <a:t>High</a:t>
            </a:r>
          </a:p>
        </xdr:txBody>
      </xdr:sp>
      <xdr:sp macro="" textlink="">
        <xdr:nvSpPr>
          <xdr:cNvPr id="182" name="TextBox 275">
            <a:extLst>
              <a:ext uri="{FF2B5EF4-FFF2-40B4-BE49-F238E27FC236}">
                <a16:creationId xmlns:a16="http://schemas.microsoft.com/office/drawing/2014/main" id="{00000000-0008-0000-0000-0000B6000000}"/>
              </a:ext>
            </a:extLst>
          </xdr:cNvPr>
          <xdr:cNvSpPr txBox="1"/>
        </xdr:nvSpPr>
        <xdr:spPr>
          <a:xfrm>
            <a:off x="1500309" y="12663767"/>
            <a:ext cx="623526" cy="2353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wrap="square" rtlCol="0" anchor="t">
            <a:noAutofit/>
          </a:bodyPr>
          <a:lstStyle>
            <a:defPPr>
              <a:defRPr lang="en-US"/>
            </a:defPPr>
            <a:lvl1pPr marL="0" algn="l" defTabSz="1043056" rtl="0" eaLnBrk="1" latinLnBrk="0" hangingPunct="1">
              <a:defRPr sz="21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521528" algn="l" defTabSz="1043056" rtl="0" eaLnBrk="1" latinLnBrk="0" hangingPunct="1">
              <a:defRPr sz="21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1043056" algn="l" defTabSz="1043056" rtl="0" eaLnBrk="1" latinLnBrk="0" hangingPunct="1">
              <a:defRPr sz="21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564584" algn="l" defTabSz="1043056" rtl="0" eaLnBrk="1" latinLnBrk="0" hangingPunct="1">
              <a:defRPr sz="21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2086112" algn="l" defTabSz="1043056" rtl="0" eaLnBrk="1" latinLnBrk="0" hangingPunct="1">
              <a:defRPr sz="21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607640" algn="l" defTabSz="1043056" rtl="0" eaLnBrk="1" latinLnBrk="0" hangingPunct="1">
              <a:defRPr sz="21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3129168" algn="l" defTabSz="1043056" rtl="0" eaLnBrk="1" latinLnBrk="0" hangingPunct="1">
              <a:defRPr sz="21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650696" algn="l" defTabSz="1043056" rtl="0" eaLnBrk="1" latinLnBrk="0" hangingPunct="1">
              <a:defRPr sz="21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4172224" algn="l" defTabSz="1043056" rtl="0" eaLnBrk="1" latinLnBrk="0" hangingPunct="1">
              <a:defRPr sz="21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200" b="1">
                <a:solidFill>
                  <a:srgbClr val="29702A"/>
                </a:solidFill>
              </a:rPr>
              <a:t>High</a:t>
            </a:r>
          </a:p>
        </xdr:txBody>
      </xdr:sp>
      <xdr:sp macro="" textlink="">
        <xdr:nvSpPr>
          <xdr:cNvPr id="183" name="TextBox 274">
            <a:extLst>
              <a:ext uri="{FF2B5EF4-FFF2-40B4-BE49-F238E27FC236}">
                <a16:creationId xmlns:a16="http://schemas.microsoft.com/office/drawing/2014/main" id="{00000000-0008-0000-0000-0000B7000000}"/>
              </a:ext>
            </a:extLst>
          </xdr:cNvPr>
          <xdr:cNvSpPr txBox="1"/>
        </xdr:nvSpPr>
        <xdr:spPr>
          <a:xfrm>
            <a:off x="1594437" y="16999325"/>
            <a:ext cx="556291" cy="22411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wrap="square" rtlCol="0" anchor="t">
            <a:noAutofit/>
          </a:bodyPr>
          <a:lstStyle>
            <a:defPPr>
              <a:defRPr lang="en-US"/>
            </a:defPPr>
            <a:lvl1pPr marL="0" algn="l" defTabSz="1043056" rtl="0" eaLnBrk="1" latinLnBrk="0" hangingPunct="1">
              <a:defRPr sz="21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521528" algn="l" defTabSz="1043056" rtl="0" eaLnBrk="1" latinLnBrk="0" hangingPunct="1">
              <a:defRPr sz="21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1043056" algn="l" defTabSz="1043056" rtl="0" eaLnBrk="1" latinLnBrk="0" hangingPunct="1">
              <a:defRPr sz="21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564584" algn="l" defTabSz="1043056" rtl="0" eaLnBrk="1" latinLnBrk="0" hangingPunct="1">
              <a:defRPr sz="21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2086112" algn="l" defTabSz="1043056" rtl="0" eaLnBrk="1" latinLnBrk="0" hangingPunct="1">
              <a:defRPr sz="21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607640" algn="l" defTabSz="1043056" rtl="0" eaLnBrk="1" latinLnBrk="0" hangingPunct="1">
              <a:defRPr sz="21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3129168" algn="l" defTabSz="1043056" rtl="0" eaLnBrk="1" latinLnBrk="0" hangingPunct="1">
              <a:defRPr sz="21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650696" algn="l" defTabSz="1043056" rtl="0" eaLnBrk="1" latinLnBrk="0" hangingPunct="1">
              <a:defRPr sz="21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4172224" algn="l" defTabSz="1043056" rtl="0" eaLnBrk="1" latinLnBrk="0" hangingPunct="1">
              <a:defRPr sz="21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200" b="1">
                <a:solidFill>
                  <a:srgbClr val="A6192E"/>
                </a:solidFill>
              </a:rPr>
              <a:t>Low</a:t>
            </a:r>
          </a:p>
        </xdr:txBody>
      </xdr:sp>
    </xdr:grpSp>
    <xdr:clientData/>
  </xdr:twoCellAnchor>
  <xdr:twoCellAnchor>
    <xdr:from>
      <xdr:col>0</xdr:col>
      <xdr:colOff>73013</xdr:colOff>
      <xdr:row>95</xdr:row>
      <xdr:rowOff>188258</xdr:rowOff>
    </xdr:from>
    <xdr:to>
      <xdr:col>15</xdr:col>
      <xdr:colOff>270309</xdr:colOff>
      <xdr:row>122</xdr:row>
      <xdr:rowOff>70031</xdr:rowOff>
    </xdr:to>
    <xdr:grpSp>
      <xdr:nvGrpSpPr>
        <xdr:cNvPr id="13" name="Group_SGA_Functions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73013" y="18285758"/>
          <a:ext cx="9341296" cy="5025273"/>
          <a:chOff x="73013" y="18285758"/>
          <a:chExt cx="9341296" cy="5025273"/>
        </a:xfrm>
      </xdr:grpSpPr>
      <xdr:grpSp>
        <xdr:nvGrpSpPr>
          <xdr:cNvPr id="56" name="Group_SGA_Functions">
            <a:extLst>
              <a:ext uri="{FF2B5EF4-FFF2-40B4-BE49-F238E27FC236}">
                <a16:creationId xmlns:a16="http://schemas.microsoft.com/office/drawing/2014/main" id="{00000000-0008-0000-0000-000038000000}"/>
              </a:ext>
            </a:extLst>
          </xdr:cNvPr>
          <xdr:cNvGrpSpPr/>
        </xdr:nvGrpSpPr>
        <xdr:grpSpPr>
          <a:xfrm>
            <a:off x="73013" y="18323858"/>
            <a:ext cx="9341296" cy="4987173"/>
            <a:chOff x="73013" y="18323858"/>
            <a:chExt cx="9286887" cy="4987173"/>
          </a:xfrm>
        </xdr:grpSpPr>
        <xdr:graphicFrame macro="">
          <xdr:nvGraphicFramePr>
            <xdr:cNvPr id="16" name="SGAFunctionCost1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GraphicFramePr>
              <a:graphicFrameLocks/>
            </xdr:cNvGraphicFramePr>
          </xdr:nvGraphicFramePr>
          <xdr:xfrm>
            <a:off x="1232780" y="18671241"/>
            <a:ext cx="1648656" cy="128016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  <xdr:graphicFrame macro="">
          <xdr:nvGraphicFramePr>
            <xdr:cNvPr id="17" name="SGAFunctionCost2">
              <a:extLst>
                <a:ext uri="{FF2B5EF4-FFF2-40B4-BE49-F238E27FC236}">
                  <a16:creationId xmlns:a16="http://schemas.microsoft.com/office/drawing/2014/main" id="{00000000-0008-0000-0000-000011000000}"/>
                </a:ext>
              </a:extLst>
            </xdr:cNvPr>
            <xdr:cNvGraphicFramePr>
              <a:graphicFrameLocks/>
            </xdr:cNvGraphicFramePr>
          </xdr:nvGraphicFramePr>
          <xdr:xfrm>
            <a:off x="1232780" y="19802825"/>
            <a:ext cx="1648656" cy="1163381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7"/>
            </a:graphicData>
          </a:graphic>
        </xdr:graphicFrame>
        <xdr:graphicFrame macro="">
          <xdr:nvGraphicFramePr>
            <xdr:cNvPr id="18" name="SGAFunctionCost3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GraphicFramePr>
              <a:graphicFrameLocks/>
            </xdr:cNvGraphicFramePr>
          </xdr:nvGraphicFramePr>
          <xdr:xfrm>
            <a:off x="1232780" y="20891440"/>
            <a:ext cx="1648656" cy="128016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8"/>
            </a:graphicData>
          </a:graphic>
        </xdr:graphicFrame>
        <xdr:graphicFrame macro="">
          <xdr:nvGraphicFramePr>
            <xdr:cNvPr id="19" name="SGAFunctionCost4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GraphicFramePr>
              <a:graphicFrameLocks/>
            </xdr:cNvGraphicFramePr>
          </xdr:nvGraphicFramePr>
          <xdr:xfrm>
            <a:off x="1232780" y="22013956"/>
            <a:ext cx="1648656" cy="128016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9"/>
            </a:graphicData>
          </a:graphic>
        </xdr:graphicFrame>
        <xdr:graphicFrame macro="">
          <xdr:nvGraphicFramePr>
            <xdr:cNvPr id="20" name="SGAFunctionCost5">
              <a:extLst>
                <a:ext uri="{FF2B5EF4-FFF2-40B4-BE49-F238E27FC236}">
                  <a16:creationId xmlns:a16="http://schemas.microsoft.com/office/drawing/2014/main" id="{00000000-0008-0000-0000-000014000000}"/>
                </a:ext>
              </a:extLst>
            </xdr:cNvPr>
            <xdr:cNvGraphicFramePr>
              <a:graphicFrameLocks/>
            </xdr:cNvGraphicFramePr>
          </xdr:nvGraphicFramePr>
          <xdr:xfrm>
            <a:off x="5895919" y="18671241"/>
            <a:ext cx="1648656" cy="128016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0"/>
            </a:graphicData>
          </a:graphic>
        </xdr:graphicFrame>
        <xdr:graphicFrame macro="">
          <xdr:nvGraphicFramePr>
            <xdr:cNvPr id="21" name="SGAFunctionCost6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GraphicFramePr>
              <a:graphicFrameLocks/>
            </xdr:cNvGraphicFramePr>
          </xdr:nvGraphicFramePr>
          <xdr:xfrm>
            <a:off x="5895919" y="19802825"/>
            <a:ext cx="1648656" cy="128016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1"/>
            </a:graphicData>
          </a:graphic>
        </xdr:graphicFrame>
        <xdr:grpSp>
          <xdr:nvGrpSpPr>
            <xdr:cNvPr id="23" name="Group 22">
              <a:extLst>
                <a:ext uri="{FF2B5EF4-FFF2-40B4-BE49-F238E27FC236}">
                  <a16:creationId xmlns:a16="http://schemas.microsoft.com/office/drawing/2014/main" id="{00000000-0008-0000-0000-000017000000}"/>
                </a:ext>
              </a:extLst>
            </xdr:cNvPr>
            <xdr:cNvGrpSpPr/>
          </xdr:nvGrpSpPr>
          <xdr:grpSpPr>
            <a:xfrm>
              <a:off x="73013" y="19007893"/>
              <a:ext cx="1152723" cy="3895694"/>
              <a:chOff x="196868" y="944943"/>
              <a:chExt cx="1154980" cy="3967978"/>
            </a:xfrm>
          </xdr:grpSpPr>
          <xdr:sp macro="" textlink="">
            <xdr:nvSpPr>
              <xdr:cNvPr id="30" name="Rounded Rectangle 29">
                <a:extLst>
                  <a:ext uri="{FF2B5EF4-FFF2-40B4-BE49-F238E27FC236}">
                    <a16:creationId xmlns:a16="http://schemas.microsoft.com/office/drawing/2014/main" id="{00000000-0008-0000-0000-00001E000000}"/>
                  </a:ext>
                </a:extLst>
              </xdr:cNvPr>
              <xdr:cNvSpPr/>
            </xdr:nvSpPr>
            <xdr:spPr>
              <a:xfrm>
                <a:off x="196868" y="944943"/>
                <a:ext cx="1147142" cy="558820"/>
              </a:xfrm>
              <a:prstGeom prst="roundRect">
                <a:avLst/>
              </a:prstGeom>
              <a:solidFill>
                <a:srgbClr val="C3C3C3"/>
              </a:solidFill>
              <a:ln w="6350"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lIns="0" rIns="0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r>
                  <a:rPr lang="en-US" sz="1100" b="1">
                    <a:solidFill>
                      <a:sysClr val="windowText" lastClr="000000"/>
                    </a:solidFill>
                  </a:rPr>
                  <a:t>Finance</a:t>
                </a:r>
              </a:p>
            </xdr:txBody>
          </xdr:sp>
          <xdr:sp macro="" textlink="">
            <xdr:nvSpPr>
              <xdr:cNvPr id="31" name="Rounded Rectangle 30">
                <a:extLst>
                  <a:ext uri="{FF2B5EF4-FFF2-40B4-BE49-F238E27FC236}">
                    <a16:creationId xmlns:a16="http://schemas.microsoft.com/office/drawing/2014/main" id="{00000000-0008-0000-0000-00001F000000}"/>
                  </a:ext>
                </a:extLst>
              </xdr:cNvPr>
              <xdr:cNvSpPr/>
            </xdr:nvSpPr>
            <xdr:spPr>
              <a:xfrm>
                <a:off x="204416" y="2096545"/>
                <a:ext cx="1147142" cy="558820"/>
              </a:xfrm>
              <a:prstGeom prst="roundRect">
                <a:avLst/>
              </a:prstGeom>
              <a:solidFill>
                <a:srgbClr val="C3C3C3"/>
              </a:solidFill>
              <a:ln w="6350"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lIns="0" rIns="0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r>
                  <a:rPr lang="en-US" sz="1100" b="1">
                    <a:solidFill>
                      <a:sysClr val="windowText" lastClr="000000"/>
                    </a:solidFill>
                  </a:rPr>
                  <a:t>HR</a:t>
                </a:r>
              </a:p>
            </xdr:txBody>
          </xdr:sp>
          <xdr:sp macro="" textlink="">
            <xdr:nvSpPr>
              <xdr:cNvPr id="32" name="Rounded Rectangle 31">
                <a:extLst>
                  <a:ext uri="{FF2B5EF4-FFF2-40B4-BE49-F238E27FC236}">
                    <a16:creationId xmlns:a16="http://schemas.microsoft.com/office/drawing/2014/main" id="{00000000-0008-0000-0000-000020000000}"/>
                  </a:ext>
                </a:extLst>
              </xdr:cNvPr>
              <xdr:cNvSpPr/>
            </xdr:nvSpPr>
            <xdr:spPr>
              <a:xfrm>
                <a:off x="204706" y="4354101"/>
                <a:ext cx="1147142" cy="558820"/>
              </a:xfrm>
              <a:prstGeom prst="roundRect">
                <a:avLst/>
              </a:prstGeom>
              <a:solidFill>
                <a:srgbClr val="C3C3C3"/>
              </a:solidFill>
              <a:ln w="6350"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lIns="0" rIns="0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r>
                  <a:rPr lang="en-US" sz="1100" b="1">
                    <a:solidFill>
                      <a:sysClr val="windowText" lastClr="000000"/>
                    </a:solidFill>
                  </a:rPr>
                  <a:t>Procurement</a:t>
                </a:r>
                <a:endParaRPr lang="en-US" sz="800" b="1" i="1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3" name="Rounded Rectangle 32">
                <a:extLst>
                  <a:ext uri="{FF2B5EF4-FFF2-40B4-BE49-F238E27FC236}">
                    <a16:creationId xmlns:a16="http://schemas.microsoft.com/office/drawing/2014/main" id="{00000000-0008-0000-0000-000021000000}"/>
                  </a:ext>
                </a:extLst>
              </xdr:cNvPr>
              <xdr:cNvSpPr/>
            </xdr:nvSpPr>
            <xdr:spPr>
              <a:xfrm>
                <a:off x="196868" y="3215029"/>
                <a:ext cx="1147142" cy="558820"/>
              </a:xfrm>
              <a:prstGeom prst="roundRect">
                <a:avLst/>
              </a:prstGeom>
              <a:solidFill>
                <a:srgbClr val="C3C3C3"/>
              </a:solidFill>
              <a:ln w="6350"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lIns="0" rIns="0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r>
                  <a:rPr lang="en-US" sz="1100" b="1">
                    <a:solidFill>
                      <a:sysClr val="windowText" lastClr="000000"/>
                    </a:solidFill>
                  </a:rPr>
                  <a:t>IT</a:t>
                </a:r>
              </a:p>
            </xdr:txBody>
          </xdr:sp>
        </xdr:grpSp>
        <xdr:grpSp>
          <xdr:nvGrpSpPr>
            <xdr:cNvPr id="24" name="Group 23">
              <a:extLst>
                <a:ext uri="{FF2B5EF4-FFF2-40B4-BE49-F238E27FC236}">
                  <a16:creationId xmlns:a16="http://schemas.microsoft.com/office/drawing/2014/main" id="{00000000-0008-0000-0000-000018000000}"/>
                </a:ext>
              </a:extLst>
            </xdr:cNvPr>
            <xdr:cNvGrpSpPr/>
          </xdr:nvGrpSpPr>
          <xdr:grpSpPr>
            <a:xfrm>
              <a:off x="4746950" y="19005122"/>
              <a:ext cx="1154401" cy="3898510"/>
              <a:chOff x="2606216" y="941743"/>
              <a:chExt cx="1130573" cy="4000577"/>
            </a:xfrm>
          </xdr:grpSpPr>
          <xdr:sp macro="" textlink="">
            <xdr:nvSpPr>
              <xdr:cNvPr id="26" name="Rounded Rectangle 25">
                <a:extLst>
                  <a:ext uri="{FF2B5EF4-FFF2-40B4-BE49-F238E27FC236}">
                    <a16:creationId xmlns:a16="http://schemas.microsoft.com/office/drawing/2014/main" id="{00000000-0008-0000-0000-00001A000000}"/>
                  </a:ext>
                </a:extLst>
              </xdr:cNvPr>
              <xdr:cNvSpPr/>
            </xdr:nvSpPr>
            <xdr:spPr>
              <a:xfrm>
                <a:off x="2606217" y="941743"/>
                <a:ext cx="1121260" cy="563004"/>
              </a:xfrm>
              <a:prstGeom prst="roundRect">
                <a:avLst/>
              </a:prstGeom>
              <a:solidFill>
                <a:srgbClr val="C3C3C3"/>
              </a:solidFill>
              <a:ln w="6350"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lIns="0" rIns="0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r>
                  <a:rPr lang="en-US" sz="1100" b="1">
                    <a:solidFill>
                      <a:sysClr val="windowText" lastClr="000000"/>
                    </a:solidFill>
                  </a:rPr>
                  <a:t>Sales</a:t>
                </a:r>
              </a:p>
            </xdr:txBody>
          </xdr:sp>
          <xdr:sp macro="" textlink="">
            <xdr:nvSpPr>
              <xdr:cNvPr id="27" name="Rounded Rectangle 26">
                <a:extLst>
                  <a:ext uri="{FF2B5EF4-FFF2-40B4-BE49-F238E27FC236}">
                    <a16:creationId xmlns:a16="http://schemas.microsoft.com/office/drawing/2014/main" id="{00000000-0008-0000-0000-00001B000000}"/>
                  </a:ext>
                </a:extLst>
              </xdr:cNvPr>
              <xdr:cNvSpPr/>
            </xdr:nvSpPr>
            <xdr:spPr>
              <a:xfrm>
                <a:off x="2606217" y="2101935"/>
                <a:ext cx="1121260" cy="563004"/>
              </a:xfrm>
              <a:prstGeom prst="roundRect">
                <a:avLst/>
              </a:prstGeom>
              <a:solidFill>
                <a:srgbClr val="C3C3C3"/>
              </a:solidFill>
              <a:ln w="6350"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lIns="0" rIns="0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r>
                  <a:rPr lang="en-US" sz="1100" b="1">
                    <a:solidFill>
                      <a:sysClr val="windowText" lastClr="000000"/>
                    </a:solidFill>
                  </a:rPr>
                  <a:t>Marketing</a:t>
                </a:r>
              </a:p>
            </xdr:txBody>
          </xdr:sp>
          <xdr:sp macro="" textlink="">
            <xdr:nvSpPr>
              <xdr:cNvPr id="28" name="Rounded Rectangle 27">
                <a:extLst>
                  <a:ext uri="{FF2B5EF4-FFF2-40B4-BE49-F238E27FC236}">
                    <a16:creationId xmlns:a16="http://schemas.microsoft.com/office/drawing/2014/main" id="{00000000-0008-0000-0000-00001C000000}"/>
                  </a:ext>
                </a:extLst>
              </xdr:cNvPr>
              <xdr:cNvSpPr/>
            </xdr:nvSpPr>
            <xdr:spPr>
              <a:xfrm>
                <a:off x="2606216" y="4379316"/>
                <a:ext cx="1121259" cy="563004"/>
              </a:xfrm>
              <a:prstGeom prst="roundRect">
                <a:avLst/>
              </a:prstGeom>
              <a:solidFill>
                <a:srgbClr val="C3C3C3"/>
              </a:solidFill>
              <a:ln w="6350"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lIns="0" rIns="0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r>
                  <a:rPr lang="en-US" sz="1100" b="1">
                    <a:solidFill>
                      <a:sysClr val="windowText" lastClr="000000"/>
                    </a:solidFill>
                  </a:rPr>
                  <a:t>Corporate  Support</a:t>
                </a:r>
                <a:endParaRPr lang="en-US" sz="800" b="1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29" name="Rounded Rectangle 28">
                <a:extLst>
                  <a:ext uri="{FF2B5EF4-FFF2-40B4-BE49-F238E27FC236}">
                    <a16:creationId xmlns:a16="http://schemas.microsoft.com/office/drawing/2014/main" id="{00000000-0008-0000-0000-00001D000000}"/>
                  </a:ext>
                </a:extLst>
              </xdr:cNvPr>
              <xdr:cNvSpPr/>
            </xdr:nvSpPr>
            <xdr:spPr>
              <a:xfrm>
                <a:off x="2615529" y="3230575"/>
                <a:ext cx="1121260" cy="563004"/>
              </a:xfrm>
              <a:prstGeom prst="roundRect">
                <a:avLst/>
              </a:prstGeom>
              <a:solidFill>
                <a:srgbClr val="C3C3C3"/>
              </a:solidFill>
              <a:ln w="6350"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lIns="0" rIns="0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r>
                  <a:rPr lang="en-US" sz="1100" b="1">
                    <a:solidFill>
                      <a:sysClr val="windowText" lastClr="000000"/>
                    </a:solidFill>
                  </a:rPr>
                  <a:t>Customer </a:t>
                </a:r>
              </a:p>
              <a:p>
                <a:pPr algn="ctr"/>
                <a:r>
                  <a:rPr lang="en-US" sz="1100" b="1">
                    <a:solidFill>
                      <a:sysClr val="windowText" lastClr="000000"/>
                    </a:solidFill>
                  </a:rPr>
                  <a:t>Services</a:t>
                </a:r>
              </a:p>
            </xdr:txBody>
          </xdr:sp>
        </xdr:grpSp>
        <xdr:graphicFrame macro="">
          <xdr:nvGraphicFramePr>
            <xdr:cNvPr id="25" name="SGAFunctionCost7">
              <a:extLst>
                <a:ext uri="{FF2B5EF4-FFF2-40B4-BE49-F238E27FC236}">
                  <a16:creationId xmlns:a16="http://schemas.microsoft.com/office/drawing/2014/main" id="{00000000-0008-0000-0000-000019000000}"/>
                </a:ext>
              </a:extLst>
            </xdr:cNvPr>
            <xdr:cNvGraphicFramePr>
              <a:graphicFrameLocks/>
            </xdr:cNvGraphicFramePr>
          </xdr:nvGraphicFramePr>
          <xdr:xfrm>
            <a:off x="5959336" y="20905047"/>
            <a:ext cx="1648656" cy="128016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2"/>
            </a:graphicData>
          </a:graphic>
        </xdr:graphicFrame>
        <xdr:graphicFrame macro="">
          <xdr:nvGraphicFramePr>
            <xdr:cNvPr id="22" name="SGAFunctionCost8">
              <a:extLst>
                <a:ext uri="{FF2B5EF4-FFF2-40B4-BE49-F238E27FC236}">
                  <a16:creationId xmlns:a16="http://schemas.microsoft.com/office/drawing/2014/main" id="{00000000-0008-0000-0000-000016000000}"/>
                </a:ext>
              </a:extLst>
            </xdr:cNvPr>
            <xdr:cNvGraphicFramePr>
              <a:graphicFrameLocks/>
            </xdr:cNvGraphicFramePr>
          </xdr:nvGraphicFramePr>
          <xdr:xfrm>
            <a:off x="5895919" y="22152429"/>
            <a:ext cx="1648656" cy="1139551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3"/>
            </a:graphicData>
          </a:graphic>
        </xdr:graphicFrame>
        <xdr:graphicFrame macro="">
          <xdr:nvGraphicFramePr>
            <xdr:cNvPr id="35" name="SGAFTE1">
              <a:extLst>
                <a:ext uri="{FF2B5EF4-FFF2-40B4-BE49-F238E27FC236}">
                  <a16:creationId xmlns:a16="http://schemas.microsoft.com/office/drawing/2014/main" id="{00000000-0008-0000-0000-000023000000}"/>
                </a:ext>
              </a:extLst>
            </xdr:cNvPr>
            <xdr:cNvGraphicFramePr>
              <a:graphicFrameLocks/>
            </xdr:cNvGraphicFramePr>
          </xdr:nvGraphicFramePr>
          <xdr:xfrm>
            <a:off x="2965231" y="18671241"/>
            <a:ext cx="1648656" cy="128016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4"/>
            </a:graphicData>
          </a:graphic>
        </xdr:graphicFrame>
        <xdr:graphicFrame macro="">
          <xdr:nvGraphicFramePr>
            <xdr:cNvPr id="36" name="SGAFTE2">
              <a:extLst>
                <a:ext uri="{FF2B5EF4-FFF2-40B4-BE49-F238E27FC236}">
                  <a16:creationId xmlns:a16="http://schemas.microsoft.com/office/drawing/2014/main" id="{00000000-0008-0000-0000-000024000000}"/>
                </a:ext>
              </a:extLst>
            </xdr:cNvPr>
            <xdr:cNvGraphicFramePr>
              <a:graphicFrameLocks/>
            </xdr:cNvGraphicFramePr>
          </xdr:nvGraphicFramePr>
          <xdr:xfrm>
            <a:off x="2965231" y="19802826"/>
            <a:ext cx="1648656" cy="1161288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5"/>
            </a:graphicData>
          </a:graphic>
        </xdr:graphicFrame>
        <xdr:graphicFrame macro="">
          <xdr:nvGraphicFramePr>
            <xdr:cNvPr id="37" name="SGAFTE3">
              <a:extLst>
                <a:ext uri="{FF2B5EF4-FFF2-40B4-BE49-F238E27FC236}">
                  <a16:creationId xmlns:a16="http://schemas.microsoft.com/office/drawing/2014/main" id="{00000000-0008-0000-0000-000025000000}"/>
                </a:ext>
              </a:extLst>
            </xdr:cNvPr>
            <xdr:cNvGraphicFramePr>
              <a:graphicFrameLocks/>
            </xdr:cNvGraphicFramePr>
          </xdr:nvGraphicFramePr>
          <xdr:xfrm>
            <a:off x="2965231" y="20891440"/>
            <a:ext cx="1648656" cy="128016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6"/>
            </a:graphicData>
          </a:graphic>
        </xdr:graphicFrame>
        <xdr:graphicFrame macro="">
          <xdr:nvGraphicFramePr>
            <xdr:cNvPr id="38" name="SGAFTE4">
              <a:extLst>
                <a:ext uri="{FF2B5EF4-FFF2-40B4-BE49-F238E27FC236}">
                  <a16:creationId xmlns:a16="http://schemas.microsoft.com/office/drawing/2014/main" id="{00000000-0008-0000-0000-000026000000}"/>
                </a:ext>
              </a:extLst>
            </xdr:cNvPr>
            <xdr:cNvGraphicFramePr>
              <a:graphicFrameLocks/>
            </xdr:cNvGraphicFramePr>
          </xdr:nvGraphicFramePr>
          <xdr:xfrm>
            <a:off x="2965231" y="22011820"/>
            <a:ext cx="1648656" cy="128016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7"/>
            </a:graphicData>
          </a:graphic>
        </xdr:graphicFrame>
        <xdr:sp macro="" textlink="">
          <xdr:nvSpPr>
            <xdr:cNvPr id="34" name="TextBox 33">
              <a:extLst>
                <a:ext uri="{FF2B5EF4-FFF2-40B4-BE49-F238E27FC236}">
                  <a16:creationId xmlns:a16="http://schemas.microsoft.com/office/drawing/2014/main" id="{00000000-0008-0000-0000-000022000000}"/>
                </a:ext>
              </a:extLst>
            </xdr:cNvPr>
            <xdr:cNvSpPr txBox="1"/>
          </xdr:nvSpPr>
          <xdr:spPr>
            <a:xfrm>
              <a:off x="768659" y="18323858"/>
              <a:ext cx="2183726" cy="255494"/>
            </a:xfrm>
            <a:prstGeom prst="rect">
              <a:avLst/>
            </a:prstGeom>
            <a:noFill/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 rtl="0" eaLnBrk="1" latinLnBrk="0" hangingPunct="1"/>
              <a:r>
                <a:rPr lang="en-US" sz="1000" b="1">
                  <a:solidFill>
                    <a:srgbClr val="646464"/>
                  </a:solidFill>
                  <a:effectLst/>
                  <a:latin typeface="+mn-lt"/>
                  <a:ea typeface="+mn-ea"/>
                  <a:cs typeface="+mn-cs"/>
                </a:rPr>
                <a:t>Functional Cost % Revenue</a:t>
              </a:r>
              <a:endParaRPr lang="en-IN" sz="1000">
                <a:solidFill>
                  <a:srgbClr val="646464"/>
                </a:solidFill>
                <a:effectLst/>
              </a:endParaRPr>
            </a:p>
          </xdr:txBody>
        </xdr:sp>
        <xdr:sp macro="" textlink="">
          <xdr:nvSpPr>
            <xdr:cNvPr id="40" name="TextBox 39">
              <a:extLst>
                <a:ext uri="{FF2B5EF4-FFF2-40B4-BE49-F238E27FC236}">
                  <a16:creationId xmlns:a16="http://schemas.microsoft.com/office/drawing/2014/main" id="{00000000-0008-0000-0000-000028000000}"/>
                </a:ext>
              </a:extLst>
            </xdr:cNvPr>
            <xdr:cNvSpPr txBox="1"/>
          </xdr:nvSpPr>
          <xdr:spPr>
            <a:xfrm>
              <a:off x="2963162" y="18323858"/>
              <a:ext cx="1831840" cy="264560"/>
            </a:xfrm>
            <a:prstGeom prst="rect">
              <a:avLst/>
            </a:prstGeom>
            <a:noFill/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r>
                <a:rPr lang="en-US" sz="1000" b="1">
                  <a:solidFill>
                    <a:srgbClr val="646464"/>
                  </a:solidFill>
                </a:rPr>
                <a:t>FTEs per Billion Revenue</a:t>
              </a:r>
            </a:p>
          </xdr:txBody>
        </xdr:sp>
        <xdr:sp macro="" textlink="">
          <xdr:nvSpPr>
            <xdr:cNvPr id="42" name="TextBox 41">
              <a:extLst>
                <a:ext uri="{FF2B5EF4-FFF2-40B4-BE49-F238E27FC236}">
                  <a16:creationId xmlns:a16="http://schemas.microsoft.com/office/drawing/2014/main" id="{00000000-0008-0000-0000-00002A000000}"/>
                </a:ext>
              </a:extLst>
            </xdr:cNvPr>
            <xdr:cNvSpPr txBox="1"/>
          </xdr:nvSpPr>
          <xdr:spPr>
            <a:xfrm>
              <a:off x="7523092" y="18323858"/>
              <a:ext cx="1836808" cy="257735"/>
            </a:xfrm>
            <a:prstGeom prst="rect">
              <a:avLst/>
            </a:prstGeom>
            <a:noFill/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r>
                <a:rPr lang="en-US" sz="1000" b="1">
                  <a:solidFill>
                    <a:srgbClr val="646464"/>
                  </a:solidFill>
                </a:rPr>
                <a:t>FTEs per Billion Revenue</a:t>
              </a:r>
            </a:p>
          </xdr:txBody>
        </xdr:sp>
        <xdr:graphicFrame macro="">
          <xdr:nvGraphicFramePr>
            <xdr:cNvPr id="47" name="SGAFTE5">
              <a:extLst>
                <a:ext uri="{FF2B5EF4-FFF2-40B4-BE49-F238E27FC236}">
                  <a16:creationId xmlns:a16="http://schemas.microsoft.com/office/drawing/2014/main" id="{00000000-0008-0000-0000-00002F000000}"/>
                </a:ext>
              </a:extLst>
            </xdr:cNvPr>
            <xdr:cNvGraphicFramePr>
              <a:graphicFrameLocks/>
            </xdr:cNvGraphicFramePr>
          </xdr:nvGraphicFramePr>
          <xdr:xfrm>
            <a:off x="7634598" y="18671241"/>
            <a:ext cx="1648655" cy="128016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8"/>
            </a:graphicData>
          </a:graphic>
        </xdr:graphicFrame>
        <xdr:graphicFrame macro="">
          <xdr:nvGraphicFramePr>
            <xdr:cNvPr id="48" name="SGAFTE6">
              <a:extLst>
                <a:ext uri="{FF2B5EF4-FFF2-40B4-BE49-F238E27FC236}">
                  <a16:creationId xmlns:a16="http://schemas.microsoft.com/office/drawing/2014/main" id="{00000000-0008-0000-0000-000030000000}"/>
                </a:ext>
              </a:extLst>
            </xdr:cNvPr>
            <xdr:cNvGraphicFramePr>
              <a:graphicFrameLocks/>
            </xdr:cNvGraphicFramePr>
          </xdr:nvGraphicFramePr>
          <xdr:xfrm>
            <a:off x="7634598" y="19802825"/>
            <a:ext cx="1648655" cy="128016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graphicFrame macro="">
          <xdr:nvGraphicFramePr>
            <xdr:cNvPr id="49" name="SGAFTE8">
              <a:extLst>
                <a:ext uri="{FF2B5EF4-FFF2-40B4-BE49-F238E27FC236}">
                  <a16:creationId xmlns:a16="http://schemas.microsoft.com/office/drawing/2014/main" id="{00000000-0008-0000-0000-000031000000}"/>
                </a:ext>
              </a:extLst>
            </xdr:cNvPr>
            <xdr:cNvGraphicFramePr>
              <a:graphicFrameLocks/>
            </xdr:cNvGraphicFramePr>
          </xdr:nvGraphicFramePr>
          <xdr:xfrm>
            <a:off x="7634598" y="22194931"/>
            <a:ext cx="1648655" cy="11161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50" name="SGAFTE7">
              <a:extLst>
                <a:ext uri="{FF2B5EF4-FFF2-40B4-BE49-F238E27FC236}">
                  <a16:creationId xmlns:a16="http://schemas.microsoft.com/office/drawing/2014/main" id="{00000000-0008-0000-0000-000032000000}"/>
                </a:ext>
              </a:extLst>
            </xdr:cNvPr>
            <xdr:cNvGraphicFramePr>
              <a:graphicFrameLocks/>
            </xdr:cNvGraphicFramePr>
          </xdr:nvGraphicFramePr>
          <xdr:xfrm>
            <a:off x="7644134" y="20891440"/>
            <a:ext cx="1648655" cy="128016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cxnSp macro="">
          <xdr:nvCxnSpPr>
            <xdr:cNvPr id="175" name="Straight Connector 174">
              <a:extLst>
                <a:ext uri="{FF2B5EF4-FFF2-40B4-BE49-F238E27FC236}">
                  <a16:creationId xmlns:a16="http://schemas.microsoft.com/office/drawing/2014/main" id="{00000000-0008-0000-0000-0000AF000000}"/>
                </a:ext>
              </a:extLst>
            </xdr:cNvPr>
            <xdr:cNvCxnSpPr>
              <a:cxnSpLocks/>
            </xdr:cNvCxnSpPr>
          </xdr:nvCxnSpPr>
          <xdr:spPr>
            <a:xfrm flipV="1">
              <a:off x="1191244" y="19787987"/>
              <a:ext cx="8146068" cy="21871"/>
            </a:xfrm>
            <a:prstGeom prst="line">
              <a:avLst/>
            </a:prstGeom>
            <a:ln>
              <a:solidFill>
                <a:srgbClr val="6D6D6D"/>
              </a:solidFill>
              <a:prstDash val="sys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76" name="Straight Connector 175">
              <a:extLst>
                <a:ext uri="{FF2B5EF4-FFF2-40B4-BE49-F238E27FC236}">
                  <a16:creationId xmlns:a16="http://schemas.microsoft.com/office/drawing/2014/main" id="{00000000-0008-0000-0000-0000B0000000}"/>
                </a:ext>
              </a:extLst>
            </xdr:cNvPr>
            <xdr:cNvCxnSpPr>
              <a:cxnSpLocks/>
            </xdr:cNvCxnSpPr>
          </xdr:nvCxnSpPr>
          <xdr:spPr>
            <a:xfrm flipV="1">
              <a:off x="1193966" y="20786431"/>
              <a:ext cx="8146068" cy="21871"/>
            </a:xfrm>
            <a:prstGeom prst="line">
              <a:avLst/>
            </a:prstGeom>
            <a:ln>
              <a:solidFill>
                <a:srgbClr val="6D6D6D"/>
              </a:solidFill>
              <a:prstDash val="sys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77" name="Straight Connector 176">
              <a:extLst>
                <a:ext uri="{FF2B5EF4-FFF2-40B4-BE49-F238E27FC236}">
                  <a16:creationId xmlns:a16="http://schemas.microsoft.com/office/drawing/2014/main" id="{00000000-0008-0000-0000-0000B1000000}"/>
                </a:ext>
              </a:extLst>
            </xdr:cNvPr>
            <xdr:cNvCxnSpPr>
              <a:cxnSpLocks/>
            </xdr:cNvCxnSpPr>
          </xdr:nvCxnSpPr>
          <xdr:spPr>
            <a:xfrm flipV="1">
              <a:off x="1183080" y="21970093"/>
              <a:ext cx="8146069" cy="21871"/>
            </a:xfrm>
            <a:prstGeom prst="line">
              <a:avLst/>
            </a:prstGeom>
            <a:ln>
              <a:solidFill>
                <a:srgbClr val="6D6D6D"/>
              </a:solidFill>
              <a:prstDash val="sys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80" name="Straight Connector 179">
              <a:extLst>
                <a:ext uri="{FF2B5EF4-FFF2-40B4-BE49-F238E27FC236}">
                  <a16:creationId xmlns:a16="http://schemas.microsoft.com/office/drawing/2014/main" id="{00000000-0008-0000-0000-0000B4000000}"/>
                </a:ext>
              </a:extLst>
            </xdr:cNvPr>
            <xdr:cNvCxnSpPr>
              <a:cxnSpLocks/>
            </xdr:cNvCxnSpPr>
          </xdr:nvCxnSpPr>
          <xdr:spPr>
            <a:xfrm flipV="1">
              <a:off x="1144980" y="23126700"/>
              <a:ext cx="8146068" cy="21871"/>
            </a:xfrm>
            <a:prstGeom prst="line">
              <a:avLst/>
            </a:prstGeom>
            <a:ln>
              <a:solidFill>
                <a:srgbClr val="6D6D6D"/>
              </a:solidFill>
              <a:prstDash val="sys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84" name="TextBox 183">
            <a:extLst>
              <a:ext uri="{FF2B5EF4-FFF2-40B4-BE49-F238E27FC236}">
                <a16:creationId xmlns:a16="http://schemas.microsoft.com/office/drawing/2014/main" id="{00000000-0008-0000-0000-0000B8000000}"/>
              </a:ext>
            </a:extLst>
          </xdr:cNvPr>
          <xdr:cNvSpPr txBox="1"/>
        </xdr:nvSpPr>
        <xdr:spPr>
          <a:xfrm>
            <a:off x="5359388" y="18285758"/>
            <a:ext cx="2196520" cy="255494"/>
          </a:xfrm>
          <a:prstGeom prst="rect">
            <a:avLst/>
          </a:prstGeom>
          <a:noFill/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 rtl="0" eaLnBrk="1" latinLnBrk="0" hangingPunct="1"/>
            <a:r>
              <a:rPr lang="en-US" sz="1000" b="1">
                <a:solidFill>
                  <a:srgbClr val="646464"/>
                </a:solidFill>
                <a:effectLst/>
                <a:latin typeface="+mn-lt"/>
                <a:ea typeface="+mn-ea"/>
                <a:cs typeface="+mn-cs"/>
              </a:rPr>
              <a:t>Functional Cost % Revenue</a:t>
            </a:r>
            <a:endParaRPr lang="en-IN" sz="1000">
              <a:solidFill>
                <a:srgbClr val="646464"/>
              </a:solidFill>
              <a:effectLst/>
            </a:endParaRPr>
          </a:p>
        </xdr:txBody>
      </xdr:sp>
    </xdr:grpSp>
    <xdr:clientData/>
  </xdr:twoCellAnchor>
  <xdr:twoCellAnchor>
    <xdr:from>
      <xdr:col>1</xdr:col>
      <xdr:colOff>272285</xdr:colOff>
      <xdr:row>3</xdr:row>
      <xdr:rowOff>103975</xdr:rowOff>
    </xdr:from>
    <xdr:to>
      <xdr:col>15</xdr:col>
      <xdr:colOff>475530</xdr:colOff>
      <xdr:row>28</xdr:row>
      <xdr:rowOff>29210</xdr:rowOff>
    </xdr:to>
    <xdr:grpSp>
      <xdr:nvGrpSpPr>
        <xdr:cNvPr id="59" name="Group_Demographics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pSpPr/>
      </xdr:nvGrpSpPr>
      <xdr:grpSpPr>
        <a:xfrm>
          <a:off x="881885" y="675475"/>
          <a:ext cx="8737645" cy="4687735"/>
          <a:chOff x="886367" y="675475"/>
          <a:chExt cx="8801265" cy="4687735"/>
        </a:xfrm>
      </xdr:grpSpPr>
      <xdr:grpSp>
        <xdr:nvGrpSpPr>
          <xdr:cNvPr id="54" name="Group_Demographics">
            <a:extLst>
              <a:ext uri="{FF2B5EF4-FFF2-40B4-BE49-F238E27FC236}">
                <a16:creationId xmlns:a16="http://schemas.microsoft.com/office/drawing/2014/main" id="{00000000-0008-0000-0000-000036000000}"/>
              </a:ext>
            </a:extLst>
          </xdr:cNvPr>
          <xdr:cNvGrpSpPr/>
        </xdr:nvGrpSpPr>
        <xdr:grpSpPr>
          <a:xfrm>
            <a:off x="886367" y="675475"/>
            <a:ext cx="8801265" cy="4687735"/>
            <a:chOff x="886367" y="675475"/>
            <a:chExt cx="8801265" cy="4687735"/>
          </a:xfrm>
        </xdr:grpSpPr>
        <xdr:grpSp>
          <xdr:nvGrpSpPr>
            <xdr:cNvPr id="53" name="Group_Demographics">
              <a:extLst>
                <a:ext uri="{FF2B5EF4-FFF2-40B4-BE49-F238E27FC236}">
                  <a16:creationId xmlns:a16="http://schemas.microsoft.com/office/drawing/2014/main" id="{00000000-0008-0000-0000-000035000000}"/>
                </a:ext>
              </a:extLst>
            </xdr:cNvPr>
            <xdr:cNvGrpSpPr/>
          </xdr:nvGrpSpPr>
          <xdr:grpSpPr>
            <a:xfrm>
              <a:off x="886367" y="675475"/>
              <a:ext cx="8801265" cy="4687735"/>
              <a:chOff x="886367" y="675475"/>
              <a:chExt cx="8801265" cy="4687735"/>
            </a:xfrm>
          </xdr:grpSpPr>
          <xdr:grpSp>
            <xdr:nvGrpSpPr>
              <xdr:cNvPr id="52" name="Group_Demographics">
                <a:extLst>
                  <a:ext uri="{FF2B5EF4-FFF2-40B4-BE49-F238E27FC236}">
                    <a16:creationId xmlns:a16="http://schemas.microsoft.com/office/drawing/2014/main" id="{00000000-0008-0000-0000-000034000000}"/>
                  </a:ext>
                </a:extLst>
              </xdr:cNvPr>
              <xdr:cNvGrpSpPr/>
            </xdr:nvGrpSpPr>
            <xdr:grpSpPr>
              <a:xfrm>
                <a:off x="886367" y="675475"/>
                <a:ext cx="8801265" cy="4687735"/>
                <a:chOff x="886367" y="675475"/>
                <a:chExt cx="8801265" cy="4687735"/>
              </a:xfrm>
            </xdr:grpSpPr>
            <xdr:grpSp>
              <xdr:nvGrpSpPr>
                <xdr:cNvPr id="51" name="Group_Demographics">
                  <a:extLst>
                    <a:ext uri="{FF2B5EF4-FFF2-40B4-BE49-F238E27FC236}">
                      <a16:creationId xmlns:a16="http://schemas.microsoft.com/office/drawing/2014/main" id="{00000000-0008-0000-0000-000033000000}"/>
                    </a:ext>
                  </a:extLst>
                </xdr:cNvPr>
                <xdr:cNvGrpSpPr/>
              </xdr:nvGrpSpPr>
              <xdr:grpSpPr>
                <a:xfrm>
                  <a:off x="886367" y="675475"/>
                  <a:ext cx="8801265" cy="4687735"/>
                  <a:chOff x="886367" y="675475"/>
                  <a:chExt cx="8801265" cy="4687735"/>
                </a:xfrm>
              </xdr:grpSpPr>
              <xdr:grpSp>
                <xdr:nvGrpSpPr>
                  <xdr:cNvPr id="194" name="Group_Demographics">
                    <a:extLst>
                      <a:ext uri="{FF2B5EF4-FFF2-40B4-BE49-F238E27FC236}">
                        <a16:creationId xmlns:a16="http://schemas.microsoft.com/office/drawing/2014/main" id="{00000000-0008-0000-0000-0000C2000000}"/>
                      </a:ext>
                    </a:extLst>
                  </xdr:cNvPr>
                  <xdr:cNvGrpSpPr/>
                </xdr:nvGrpSpPr>
                <xdr:grpSpPr>
                  <a:xfrm>
                    <a:off x="886367" y="675475"/>
                    <a:ext cx="8801265" cy="4687735"/>
                    <a:chOff x="586598" y="879423"/>
                    <a:chExt cx="8044306" cy="4687735"/>
                  </a:xfrm>
                </xdr:grpSpPr>
                <xdr:grpSp>
                  <xdr:nvGrpSpPr>
                    <xdr:cNvPr id="196" name="Group_P1">
                      <a:extLst>
                        <a:ext uri="{FF2B5EF4-FFF2-40B4-BE49-F238E27FC236}">
                          <a16:creationId xmlns:a16="http://schemas.microsoft.com/office/drawing/2014/main" id="{00000000-0008-0000-0000-0000C4000000}"/>
                        </a:ext>
                      </a:extLst>
                    </xdr:cNvPr>
                    <xdr:cNvGrpSpPr/>
                  </xdr:nvGrpSpPr>
                  <xdr:grpSpPr>
                    <a:xfrm>
                      <a:off x="586598" y="879423"/>
                      <a:ext cx="8044306" cy="759121"/>
                      <a:chOff x="81807" y="2555404"/>
                      <a:chExt cx="10212847" cy="950792"/>
                    </a:xfrm>
                  </xdr:grpSpPr>
                  <xdr:grpSp>
                    <xdr:nvGrpSpPr>
                      <xdr:cNvPr id="264" name="Group 263">
                        <a:extLst>
                          <a:ext uri="{FF2B5EF4-FFF2-40B4-BE49-F238E27FC236}">
                            <a16:creationId xmlns:a16="http://schemas.microsoft.com/office/drawing/2014/main" id="{00000000-0008-0000-0000-00000801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81807" y="2555404"/>
                        <a:ext cx="10212847" cy="950792"/>
                        <a:chOff x="8075956" y="1053976"/>
                        <a:chExt cx="8990842" cy="800060"/>
                      </a:xfrm>
                    </xdr:grpSpPr>
                    <xdr:sp macro="" textlink="">
                      <xdr:nvSpPr>
                        <xdr:cNvPr id="266" name="Min">
                          <a:extLst>
                            <a:ext uri="{FF2B5EF4-FFF2-40B4-BE49-F238E27FC236}">
                              <a16:creationId xmlns:a16="http://schemas.microsoft.com/office/drawing/2014/main" id="{00000000-0008-0000-0000-00000A01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291201" y="1060496"/>
                          <a:ext cx="775743" cy="155429"/>
                        </a:xfrm>
                        <a:prstGeom prst="rect">
                          <a:avLst/>
                        </a:prstGeom>
                        <a:noFill/>
                      </xdr:spPr>
                      <xdr:txBody>
                        <a:bodyPr wrap="square" lIns="0" tIns="0" rIns="0" bIns="0" rtlCol="0" anchor="b" anchorCtr="0">
                          <a:spAutoFit/>
                        </a:bodyPr>
                        <a:lstStyle>
                          <a:defPPr>
                            <a:defRPr lang="en-US"/>
                          </a:defPPr>
                          <a:lvl1pPr marL="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1pPr>
                          <a:lvl2pPr marL="4572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2pPr>
                          <a:lvl3pPr marL="9144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3pPr>
                          <a:lvl4pPr marL="13716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4pPr>
                          <a:lvl5pPr marL="18288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5pPr>
                          <a:lvl6pPr marL="22860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6pPr>
                          <a:lvl7pPr marL="27432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7pPr>
                          <a:lvl8pPr marL="32004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8pPr>
                          <a:lvl9pPr marL="36576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9pPr>
                        </a:lstStyle>
                        <a:p>
                          <a:pPr algn="ctr"/>
                          <a:r>
                            <a:rPr lang="en-US" sz="1000" b="0">
                              <a:solidFill>
                                <a:schemeClr val="tx1">
                                  <a:lumMod val="75000"/>
                                  <a:lumOff val="25000"/>
                                </a:schemeClr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t>Min</a:t>
                          </a:r>
                        </a:p>
                      </xdr:txBody>
                    </xdr:sp>
                    <xdr:sp macro="" textlink="">
                      <xdr:nvSpPr>
                        <xdr:cNvPr id="267" name="Max">
                          <a:extLst>
                            <a:ext uri="{FF2B5EF4-FFF2-40B4-BE49-F238E27FC236}">
                              <a16:creationId xmlns:a16="http://schemas.microsoft.com/office/drawing/2014/main" id="{00000000-0008-0000-0000-00000B01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6291055" y="1055211"/>
                          <a:ext cx="775743" cy="154194"/>
                        </a:xfrm>
                        <a:prstGeom prst="rect">
                          <a:avLst/>
                        </a:prstGeom>
                        <a:noFill/>
                      </xdr:spPr>
                      <xdr:txBody>
                        <a:bodyPr wrap="square" lIns="0" tIns="0" rIns="0" bIns="0" rtlCol="0" anchor="b">
                          <a:noAutofit/>
                        </a:bodyPr>
                        <a:lstStyle>
                          <a:defPPr>
                            <a:defRPr lang="en-US"/>
                          </a:defPPr>
                          <a:lvl1pPr marL="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1pPr>
                          <a:lvl2pPr marL="4572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2pPr>
                          <a:lvl3pPr marL="9144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3pPr>
                          <a:lvl4pPr marL="13716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4pPr>
                          <a:lvl5pPr marL="18288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5pPr>
                          <a:lvl6pPr marL="22860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6pPr>
                          <a:lvl7pPr marL="27432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7pPr>
                          <a:lvl8pPr marL="32004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8pPr>
                          <a:lvl9pPr marL="36576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9pPr>
                        </a:lstStyle>
                        <a:p>
                          <a:pPr algn="ctr"/>
                          <a:r>
                            <a:rPr lang="en-US" sz="1000" b="0">
                              <a:solidFill>
                                <a:srgbClr val="646464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t>Max</a:t>
                          </a:r>
                        </a:p>
                      </xdr:txBody>
                    </xdr:sp>
                    <xdr:sp macro="" textlink="">
                      <xdr:nvSpPr>
                        <xdr:cNvPr id="268" name="Percentile25">
                          <a:extLst>
                            <a:ext uri="{FF2B5EF4-FFF2-40B4-BE49-F238E27FC236}">
                              <a16:creationId xmlns:a16="http://schemas.microsoft.com/office/drawing/2014/main" id="{00000000-0008-0000-0000-00000C01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0677766" y="1060497"/>
                          <a:ext cx="1523433" cy="151645"/>
                        </a:xfrm>
                        <a:prstGeom prst="rect">
                          <a:avLst/>
                        </a:prstGeom>
                        <a:noFill/>
                      </xdr:spPr>
                      <xdr:txBody>
                        <a:bodyPr wrap="square" lIns="0" tIns="0" rIns="0" bIns="0" rtlCol="0" anchor="b">
                          <a:spAutoFit/>
                        </a:bodyPr>
                        <a:lstStyle>
                          <a:defPPr>
                            <a:defRPr lang="en-US"/>
                          </a:defPPr>
                          <a:lvl1pPr marL="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1pPr>
                          <a:lvl2pPr marL="4572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2pPr>
                          <a:lvl3pPr marL="9144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3pPr>
                          <a:lvl4pPr marL="13716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4pPr>
                          <a:lvl5pPr marL="18288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5pPr>
                          <a:lvl6pPr marL="22860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6pPr>
                          <a:lvl7pPr marL="27432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7pPr>
                          <a:lvl8pPr marL="32004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8pPr>
                          <a:lvl9pPr marL="36576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9pPr>
                        </a:lstStyle>
                        <a:p>
                          <a:pPr algn="ctr"/>
                          <a:r>
                            <a:rPr lang="en-US" sz="1000" b="0">
                              <a:solidFill>
                                <a:srgbClr val="646464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t>25</a:t>
                          </a:r>
                          <a:r>
                            <a:rPr lang="en-US" sz="1000" b="0" strike="noStrike" baseline="30000">
                              <a:solidFill>
                                <a:srgbClr val="646464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t>th</a:t>
                          </a:r>
                          <a:r>
                            <a:rPr lang="en-US" sz="1000" b="0">
                              <a:solidFill>
                                <a:srgbClr val="646464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t> </a:t>
                          </a:r>
                          <a:r>
                            <a:rPr lang="en-US" sz="1000" b="0" kern="1200">
                              <a:solidFill>
                                <a:schemeClr val="tx1">
                                  <a:lumMod val="75000"/>
                                  <a:lumOff val="25000"/>
                                </a:schemeClr>
                              </a:solidFill>
                              <a:latin typeface="Arial" panose="020B0604020202020204" pitchFamily="34" charset="0"/>
                              <a:ea typeface="+mn-ea"/>
                              <a:cs typeface="Arial" panose="020B0604020202020204" pitchFamily="34" charset="0"/>
                            </a:rPr>
                            <a:t>Percentile</a:t>
                          </a:r>
                        </a:p>
                      </xdr:txBody>
                    </xdr:sp>
                    <xdr:sp macro="" textlink="">
                      <xdr:nvSpPr>
                        <xdr:cNvPr id="269" name="Median">
                          <a:extLst>
                            <a:ext uri="{FF2B5EF4-FFF2-40B4-BE49-F238E27FC236}">
                              <a16:creationId xmlns:a16="http://schemas.microsoft.com/office/drawing/2014/main" id="{00000000-0008-0000-0000-00000D01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99349" y="1060496"/>
                          <a:ext cx="775743" cy="154194"/>
                        </a:xfrm>
                        <a:prstGeom prst="rect">
                          <a:avLst/>
                        </a:prstGeom>
                        <a:noFill/>
                      </xdr:spPr>
                      <xdr:txBody>
                        <a:bodyPr wrap="square" lIns="0" tIns="0" rIns="0" bIns="0" rtlCol="0" anchor="b" anchorCtr="0">
                          <a:spAutoFit/>
                        </a:bodyPr>
                        <a:lstStyle>
                          <a:defPPr>
                            <a:defRPr lang="en-US"/>
                          </a:defPPr>
                          <a:lvl1pPr marL="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1pPr>
                          <a:lvl2pPr marL="4572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2pPr>
                          <a:lvl3pPr marL="9144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3pPr>
                          <a:lvl4pPr marL="13716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4pPr>
                          <a:lvl5pPr marL="18288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5pPr>
                          <a:lvl6pPr marL="22860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6pPr>
                          <a:lvl7pPr marL="27432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7pPr>
                          <a:lvl8pPr marL="32004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8pPr>
                          <a:lvl9pPr marL="36576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9pPr>
                        </a:lstStyle>
                        <a:p>
                          <a:pPr algn="ctr"/>
                          <a:r>
                            <a:rPr lang="en-US" sz="1000" b="0">
                              <a:solidFill>
                                <a:srgbClr val="646464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t>Median</a:t>
                          </a:r>
                        </a:p>
                      </xdr:txBody>
                    </xdr:sp>
                    <xdr:sp macro="" textlink="">
                      <xdr:nvSpPr>
                        <xdr:cNvPr id="270" name="Percentile75">
                          <a:extLst>
                            <a:ext uri="{FF2B5EF4-FFF2-40B4-BE49-F238E27FC236}">
                              <a16:creationId xmlns:a16="http://schemas.microsoft.com/office/drawing/2014/main" id="{00000000-0008-0000-0000-00000E01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193858" y="1053976"/>
                          <a:ext cx="1523433" cy="155429"/>
                        </a:xfrm>
                        <a:prstGeom prst="rect">
                          <a:avLst/>
                        </a:prstGeom>
                        <a:noFill/>
                      </xdr:spPr>
                      <xdr:txBody>
                        <a:bodyPr wrap="square" lIns="0" tIns="0" rIns="0" bIns="0" rtlCol="0" anchor="b" anchorCtr="1">
                          <a:spAutoFit/>
                        </a:bodyPr>
                        <a:lstStyle>
                          <a:defPPr>
                            <a:defRPr lang="en-US"/>
                          </a:defPPr>
                          <a:lvl1pPr marL="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1pPr>
                          <a:lvl2pPr marL="4572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2pPr>
                          <a:lvl3pPr marL="9144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3pPr>
                          <a:lvl4pPr marL="13716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4pPr>
                          <a:lvl5pPr marL="18288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5pPr>
                          <a:lvl6pPr marL="22860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6pPr>
                          <a:lvl7pPr marL="27432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7pPr>
                          <a:lvl8pPr marL="32004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8pPr>
                          <a:lvl9pPr marL="36576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9pPr>
                        </a:lstStyle>
                        <a:p>
                          <a:pPr algn="ctr"/>
                          <a:r>
                            <a:rPr lang="en-US" sz="1000" b="0">
                              <a:solidFill>
                                <a:srgbClr val="646464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t>75</a:t>
                          </a:r>
                          <a:r>
                            <a:rPr lang="en-US" sz="1000" b="0" baseline="30000">
                              <a:solidFill>
                                <a:srgbClr val="646464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t>th</a:t>
                          </a:r>
                          <a:r>
                            <a:rPr lang="en-US" sz="1000" b="0">
                              <a:solidFill>
                                <a:srgbClr val="646464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t> Percentile</a:t>
                          </a:r>
                        </a:p>
                      </xdr:txBody>
                    </xdr:sp>
                    <xdr:sp macro="" textlink="'Charts Data'!$AT$4">
                      <xdr:nvSpPr>
                        <xdr:cNvPr id="271" name="TextBox 10">
                          <a:extLst>
                            <a:ext uri="{FF2B5EF4-FFF2-40B4-BE49-F238E27FC236}">
                              <a16:creationId xmlns:a16="http://schemas.microsoft.com/office/drawing/2014/main" id="{00000000-0008-0000-0000-00000F01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075956" y="1256432"/>
                          <a:ext cx="1641673" cy="252742"/>
                        </a:xfrm>
                        <a:prstGeom prst="rect">
                          <a:avLst/>
                        </a:prstGeom>
                        <a:noFill/>
                      </xdr:spPr>
                      <xdr:txBody>
                        <a:bodyPr wrap="square" rtlCol="0" anchor="ctr">
                          <a:spAutoFit/>
                        </a:bodyPr>
                        <a:lstStyle>
                          <a:defPPr>
                            <a:defRPr lang="en-US"/>
                          </a:defPPr>
                          <a:lvl1pPr marL="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1pPr>
                          <a:lvl2pPr marL="4572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2pPr>
                          <a:lvl3pPr marL="9144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3pPr>
                          <a:lvl4pPr marL="13716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4pPr>
                          <a:lvl5pPr marL="18288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5pPr>
                          <a:lvl6pPr marL="22860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6pPr>
                          <a:lvl7pPr marL="27432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7pPr>
                          <a:lvl8pPr marL="32004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8pPr>
                          <a:lvl9pPr marL="36576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9pPr>
                        </a:lstStyle>
                        <a:p>
                          <a:pPr marL="0" indent="0" algn="l" defTabSz="914400" rtl="0" eaLnBrk="1" latinLnBrk="0" hangingPunct="1"/>
                          <a:fld id="{8E585EE4-548B-4127-8D46-229588BD1330}" type="TxLink">
                            <a:rPr lang="en-US" sz="1000" b="1" i="0" u="none" strike="noStrike" kern="1200">
                              <a:solidFill>
                                <a:srgbClr val="646464"/>
                              </a:solidFill>
                              <a:latin typeface="Arial"/>
                              <a:ea typeface="+mn-ea"/>
                              <a:cs typeface="Arial"/>
                            </a:rPr>
                            <a:pPr marL="0" indent="0" algn="l" defTabSz="914400" rtl="0" eaLnBrk="1" latinLnBrk="0" hangingPunct="1"/>
                            <a:t>Net Revenue (in USD)</a:t>
                          </a:fld>
                          <a:endParaRPr lang="en-US" sz="1000" b="1" i="0" u="none" strike="noStrike" kern="1200">
                            <a:solidFill>
                              <a:srgbClr val="646464"/>
                            </a:solidFill>
                            <a:latin typeface="Arial"/>
                            <a:ea typeface="+mn-ea"/>
                            <a:cs typeface="Arial"/>
                          </a:endParaRPr>
                        </a:p>
                      </xdr:txBody>
                    </xdr:sp>
                    <xdr:sp macro="" textlink="'Charts Data'!$AU$4">
                      <xdr:nvSpPr>
                        <xdr:cNvPr id="272" name="P1_Min">
                          <a:extLst>
                            <a:ext uri="{FF2B5EF4-FFF2-40B4-BE49-F238E27FC236}">
                              <a16:creationId xmlns:a16="http://schemas.microsoft.com/office/drawing/2014/main" id="{00000000-0008-0000-0000-00001001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451573" y="1580733"/>
                          <a:ext cx="1219324" cy="252742"/>
                        </a:xfrm>
                        <a:prstGeom prst="rect">
                          <a:avLst/>
                        </a:prstGeom>
                        <a:noFill/>
                      </xdr:spPr>
                      <xdr:txBody>
                        <a:bodyPr wrap="square" rtlCol="0">
                          <a:noAutofit/>
                        </a:bodyPr>
                        <a:lstStyle>
                          <a:defPPr>
                            <a:defRPr lang="en-US"/>
                          </a:defPPr>
                          <a:lvl1pPr marL="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1pPr>
                          <a:lvl2pPr marL="4572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2pPr>
                          <a:lvl3pPr marL="9144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3pPr>
                          <a:lvl4pPr marL="13716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4pPr>
                          <a:lvl5pPr marL="18288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5pPr>
                          <a:lvl6pPr marL="22860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6pPr>
                          <a:lvl7pPr marL="27432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7pPr>
                          <a:lvl8pPr marL="32004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8pPr>
                          <a:lvl9pPr marL="36576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9pPr>
                        </a:lstStyle>
                        <a:p>
                          <a:pPr marL="0" indent="0" algn="l" defTabSz="914400" rtl="0" eaLnBrk="1" latinLnBrk="0" hangingPunct="1"/>
                          <a:fld id="{02959C64-8F81-41C0-9C43-F1792686C930}" type="TxLink">
                            <a:rPr lang="en-US" sz="1000" b="1" i="0" u="none" strike="noStrike" kern="1200">
                              <a:solidFill>
                                <a:srgbClr val="646464"/>
                              </a:solidFill>
                              <a:latin typeface="Arial"/>
                              <a:ea typeface="+mn-ea"/>
                              <a:cs typeface="Arial"/>
                            </a:rPr>
                            <a:pPr marL="0" indent="0" algn="l" defTabSz="914400" rtl="0" eaLnBrk="1" latinLnBrk="0" hangingPunct="1"/>
                            <a:t> </a:t>
                          </a:fld>
                          <a:endParaRPr lang="en-US" sz="1000" b="1" i="0" u="none" strike="noStrike" kern="1200">
                            <a:solidFill>
                              <a:srgbClr val="646464"/>
                            </a:solidFill>
                            <a:latin typeface="Arial"/>
                            <a:ea typeface="+mn-ea"/>
                            <a:cs typeface="Arial"/>
                          </a:endParaRPr>
                        </a:p>
                      </xdr:txBody>
                    </xdr:sp>
                    <xdr:sp macro="" textlink="'Charts Data'!$AV$4">
                      <xdr:nvSpPr>
                        <xdr:cNvPr id="273" name="TextBox 23">
                          <a:extLst>
                            <a:ext uri="{FF2B5EF4-FFF2-40B4-BE49-F238E27FC236}">
                              <a16:creationId xmlns:a16="http://schemas.microsoft.com/office/drawing/2014/main" id="{00000000-0008-0000-0000-00001101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0918764" y="1600199"/>
                          <a:ext cx="1219324" cy="252742"/>
                        </a:xfrm>
                        <a:prstGeom prst="rect">
                          <a:avLst/>
                        </a:prstGeom>
                        <a:noFill/>
                      </xdr:spPr>
                      <xdr:txBody>
                        <a:bodyPr wrap="square" rtlCol="0">
                          <a:noAutofit/>
                        </a:bodyPr>
                        <a:lstStyle>
                          <a:defPPr>
                            <a:defRPr lang="en-US"/>
                          </a:defPPr>
                          <a:lvl1pPr marL="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1pPr>
                          <a:lvl2pPr marL="4572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2pPr>
                          <a:lvl3pPr marL="9144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3pPr>
                          <a:lvl4pPr marL="13716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4pPr>
                          <a:lvl5pPr marL="18288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5pPr>
                          <a:lvl6pPr marL="22860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6pPr>
                          <a:lvl7pPr marL="27432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7pPr>
                          <a:lvl8pPr marL="32004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8pPr>
                          <a:lvl9pPr marL="36576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9pPr>
                        </a:lstStyle>
                        <a:p>
                          <a:pPr marL="0" indent="0" algn="ctr" defTabSz="914400" rtl="0" eaLnBrk="1" latinLnBrk="0" hangingPunct="1"/>
                          <a:fld id="{87BAC146-5939-450B-B19B-D18970639232}" type="TxLink">
                            <a:rPr lang="en-US" sz="1000" b="1" i="0" u="none" strike="noStrike" kern="1200">
                              <a:solidFill>
                                <a:srgbClr val="646464"/>
                              </a:solidFill>
                              <a:latin typeface="Arial"/>
                              <a:ea typeface="+mn-ea"/>
                              <a:cs typeface="Arial"/>
                            </a:rPr>
                            <a:pPr marL="0" indent="0" algn="ctr" defTabSz="914400" rtl="0" eaLnBrk="1" latinLnBrk="0" hangingPunct="1"/>
                            <a:t> </a:t>
                          </a:fld>
                          <a:endParaRPr lang="en-US" sz="1000" b="1" i="0" u="none" strike="noStrike" kern="1200">
                            <a:solidFill>
                              <a:srgbClr val="646464"/>
                            </a:solidFill>
                            <a:latin typeface="Arial"/>
                            <a:ea typeface="+mn-ea"/>
                            <a:cs typeface="Arial"/>
                          </a:endParaRPr>
                        </a:p>
                      </xdr:txBody>
                    </xdr:sp>
                    <xdr:sp macro="" textlink="'Charts Data'!$AW$4">
                      <xdr:nvSpPr>
                        <xdr:cNvPr id="274" name="TextBox 23">
                          <a:extLst>
                            <a:ext uri="{FF2B5EF4-FFF2-40B4-BE49-F238E27FC236}">
                              <a16:creationId xmlns:a16="http://schemas.microsoft.com/office/drawing/2014/main" id="{00000000-0008-0000-0000-00001201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667485" y="1600199"/>
                          <a:ext cx="1219324" cy="252742"/>
                        </a:xfrm>
                        <a:prstGeom prst="rect">
                          <a:avLst/>
                        </a:prstGeom>
                        <a:noFill/>
                      </xdr:spPr>
                      <xdr:txBody>
                        <a:bodyPr wrap="square" rtlCol="0">
                          <a:noAutofit/>
                        </a:bodyPr>
                        <a:lstStyle>
                          <a:defPPr>
                            <a:defRPr lang="en-US"/>
                          </a:defPPr>
                          <a:lvl1pPr marL="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1pPr>
                          <a:lvl2pPr marL="4572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2pPr>
                          <a:lvl3pPr marL="9144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3pPr>
                          <a:lvl4pPr marL="13716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4pPr>
                          <a:lvl5pPr marL="18288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5pPr>
                          <a:lvl6pPr marL="22860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6pPr>
                          <a:lvl7pPr marL="27432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7pPr>
                          <a:lvl8pPr marL="32004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8pPr>
                          <a:lvl9pPr marL="36576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9pPr>
                        </a:lstStyle>
                        <a:p>
                          <a:pPr marL="0" indent="0" algn="ctr" defTabSz="914400" rtl="0" eaLnBrk="1" latinLnBrk="0" hangingPunct="1"/>
                          <a:fld id="{DC83D058-FBD7-4B7D-B727-7A29CFD3B2A1}" type="TxLink">
                            <a:rPr lang="en-US" sz="1000" b="1" i="0" u="none" strike="noStrike" kern="1200">
                              <a:solidFill>
                                <a:srgbClr val="646464"/>
                              </a:solidFill>
                              <a:latin typeface="Arial"/>
                              <a:ea typeface="+mn-ea"/>
                              <a:cs typeface="Arial"/>
                            </a:rPr>
                            <a:pPr marL="0" indent="0" algn="ctr" defTabSz="914400" rtl="0" eaLnBrk="1" latinLnBrk="0" hangingPunct="1"/>
                            <a:t> </a:t>
                          </a:fld>
                          <a:endParaRPr lang="en-US" sz="1000" b="1" i="0" u="none" strike="noStrike" kern="1200">
                            <a:solidFill>
                              <a:srgbClr val="646464"/>
                            </a:solidFill>
                            <a:latin typeface="Arial"/>
                            <a:ea typeface="+mn-ea"/>
                            <a:cs typeface="Arial"/>
                          </a:endParaRPr>
                        </a:p>
                      </xdr:txBody>
                    </xdr:sp>
                    <xdr:sp macro="" textlink="'Charts Data'!AX4">
                      <xdr:nvSpPr>
                        <xdr:cNvPr id="275" name="TextBox 23">
                          <a:extLst>
                            <a:ext uri="{FF2B5EF4-FFF2-40B4-BE49-F238E27FC236}">
                              <a16:creationId xmlns:a16="http://schemas.microsoft.com/office/drawing/2014/main" id="{00000000-0008-0000-0000-00001301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444825" y="1600199"/>
                          <a:ext cx="1219324" cy="252742"/>
                        </a:xfrm>
                        <a:prstGeom prst="rect">
                          <a:avLst/>
                        </a:prstGeom>
                        <a:noFill/>
                      </xdr:spPr>
                      <xdr:txBody>
                        <a:bodyPr wrap="square" rtlCol="0">
                          <a:noAutofit/>
                        </a:bodyPr>
                        <a:lstStyle>
                          <a:defPPr>
                            <a:defRPr lang="en-US"/>
                          </a:defPPr>
                          <a:lvl1pPr marL="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1pPr>
                          <a:lvl2pPr marL="4572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2pPr>
                          <a:lvl3pPr marL="9144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3pPr>
                          <a:lvl4pPr marL="13716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4pPr>
                          <a:lvl5pPr marL="18288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5pPr>
                          <a:lvl6pPr marL="22860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6pPr>
                          <a:lvl7pPr marL="27432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7pPr>
                          <a:lvl8pPr marL="32004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8pPr>
                          <a:lvl9pPr marL="36576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9pPr>
                        </a:lstStyle>
                        <a:p>
                          <a:pPr marL="0" indent="0" algn="ctr" defTabSz="914400" rtl="0" eaLnBrk="1" latinLnBrk="0" hangingPunct="1"/>
                          <a:fld id="{091EED6B-4F28-4906-AB39-DE80430492BC}" type="TxLink">
                            <a:rPr lang="en-US" sz="1000" b="1" i="0" u="none" strike="noStrike" kern="1200">
                              <a:solidFill>
                                <a:srgbClr val="646464"/>
                              </a:solidFill>
                              <a:latin typeface="Arial"/>
                              <a:ea typeface="+mn-ea"/>
                              <a:cs typeface="Arial"/>
                            </a:rPr>
                            <a:pPr marL="0" indent="0" algn="ctr" defTabSz="914400" rtl="0" eaLnBrk="1" latinLnBrk="0" hangingPunct="1"/>
                            <a:t> </a:t>
                          </a:fld>
                          <a:endParaRPr lang="en-US" sz="1000" b="1" i="0" u="none" strike="noStrike" kern="1200">
                            <a:solidFill>
                              <a:srgbClr val="646464"/>
                            </a:solidFill>
                            <a:latin typeface="Arial"/>
                            <a:ea typeface="+mn-ea"/>
                            <a:cs typeface="Arial"/>
                          </a:endParaRPr>
                        </a:p>
                      </xdr:txBody>
                    </xdr:sp>
                    <xdr:sp macro="" textlink="'Charts Data'!$AY$4">
                      <xdr:nvSpPr>
                        <xdr:cNvPr id="276" name="P1_Max">
                          <a:extLst>
                            <a:ext uri="{FF2B5EF4-FFF2-40B4-BE49-F238E27FC236}">
                              <a16:creationId xmlns:a16="http://schemas.microsoft.com/office/drawing/2014/main" id="{00000000-0008-0000-0000-00001401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5138123" y="1600203"/>
                          <a:ext cx="1741288" cy="253833"/>
                        </a:xfrm>
                        <a:prstGeom prst="rect">
                          <a:avLst/>
                        </a:prstGeom>
                        <a:noFill/>
                      </xdr:spPr>
                      <xdr:txBody>
                        <a:bodyPr wrap="square" rtlCol="0">
                          <a:noAutofit/>
                        </a:bodyPr>
                        <a:lstStyle>
                          <a:defPPr>
                            <a:defRPr lang="en-US"/>
                          </a:defPPr>
                          <a:lvl1pPr marL="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1pPr>
                          <a:lvl2pPr marL="4572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2pPr>
                          <a:lvl3pPr marL="9144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3pPr>
                          <a:lvl4pPr marL="13716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4pPr>
                          <a:lvl5pPr marL="18288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5pPr>
                          <a:lvl6pPr marL="22860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6pPr>
                          <a:lvl7pPr marL="27432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7pPr>
                          <a:lvl8pPr marL="32004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8pPr>
                          <a:lvl9pPr marL="36576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9pPr>
                        </a:lstStyle>
                        <a:p>
                          <a:pPr marL="0" indent="0" algn="r" defTabSz="914400" rtl="0" eaLnBrk="1" latinLnBrk="0" hangingPunct="1"/>
                          <a:fld id="{EC605498-099E-4ED1-8521-E0FA52B521E9}" type="TxLink">
                            <a:rPr lang="en-US" sz="1000" b="1" i="0" u="none" strike="noStrike" kern="1200">
                              <a:solidFill>
                                <a:srgbClr val="646464"/>
                              </a:solidFill>
                              <a:latin typeface="Arial"/>
                              <a:ea typeface="+mn-ea"/>
                              <a:cs typeface="Arial"/>
                            </a:rPr>
                            <a:pPr marL="0" indent="0" algn="r" defTabSz="914400" rtl="0" eaLnBrk="1" latinLnBrk="0" hangingPunct="1"/>
                            <a:t> </a:t>
                          </a:fld>
                          <a:endParaRPr lang="en-US" sz="1000" b="1" i="0" u="none" strike="noStrike" kern="1200">
                            <a:solidFill>
                              <a:srgbClr val="646464"/>
                            </a:solidFill>
                            <a:latin typeface="Arial"/>
                            <a:ea typeface="+mn-ea"/>
                            <a:cs typeface="Arial"/>
                          </a:endParaRPr>
                        </a:p>
                      </xdr:txBody>
                    </xdr:sp>
                    <xdr:grpSp>
                      <xdr:nvGrpSpPr>
                        <xdr:cNvPr id="277" name="Group 276">
                          <a:extLst>
                            <a:ext uri="{FF2B5EF4-FFF2-40B4-BE49-F238E27FC236}">
                              <a16:creationId xmlns:a16="http://schemas.microsoft.com/office/drawing/2014/main" id="{00000000-0008-0000-0000-000015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9664910" y="1201959"/>
                          <a:ext cx="7027549" cy="365760"/>
                          <a:chOff x="9664910" y="1201959"/>
                          <a:chExt cx="7027549" cy="365760"/>
                        </a:xfrm>
                      </xdr:grpSpPr>
                      <xdr:sp macro="" textlink="'Charts Data'!$BA$4">
                        <xdr:nvSpPr>
                          <xdr:cNvPr id="278" name="P1_Bar">
                            <a:extLst>
                              <a:ext uri="{FF2B5EF4-FFF2-40B4-BE49-F238E27FC236}">
                                <a16:creationId xmlns:a16="http://schemas.microsoft.com/office/drawing/2014/main" id="{00000000-0008-0000-0000-00001601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9664910" y="1223572"/>
                            <a:ext cx="7027549" cy="328260"/>
                          </a:xfrm>
                          <a:prstGeom prst="rect">
                            <a:avLst/>
                          </a:prstGeom>
                          <a:solidFill>
                            <a:srgbClr val="002B49"/>
                          </a:solidFill>
                          <a:ln>
                            <a:solidFill>
                              <a:srgbClr val="002060"/>
                            </a:solidFill>
                          </a:ln>
                          <a:effectLst/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ctr"/>
                          <a:lstStyle/>
                          <a:p>
                            <a:pPr algn="ctr"/>
                            <a:fld id="{B3E2179E-764D-400E-9469-83815A7C502A}" type="TxLink">
                              <a:rPr lang="en-US" sz="1000" b="0" i="0" u="none" strike="noStrike">
                                <a:solidFill>
                                  <a:srgbClr val="002060"/>
                                </a:solidFill>
                                <a:latin typeface="Arial"/>
                                <a:ea typeface="+mn-ea"/>
                                <a:cs typeface="Arial"/>
                              </a:rPr>
                              <a:pPr algn="ctr"/>
                              <a:t> </a:t>
                            </a:fld>
                            <a:endParaRPr lang="en-US" sz="1000" b="0" i="0" u="none" strike="noStrike">
                              <a:solidFill>
                                <a:srgbClr val="002060"/>
                              </a:solidFill>
                              <a:latin typeface="Arial"/>
                              <a:ea typeface="+mn-ea"/>
                              <a:cs typeface="Arial"/>
                            </a:endParaRPr>
                          </a:p>
                        </xdr:txBody>
                      </xdr:sp>
                      <xdr:cxnSp macro="">
                        <xdr:nvCxnSpPr>
                          <xdr:cNvPr id="279" name="Straight Connector 278">
                            <a:extLst>
                              <a:ext uri="{FF2B5EF4-FFF2-40B4-BE49-F238E27FC236}">
                                <a16:creationId xmlns:a16="http://schemas.microsoft.com/office/drawing/2014/main" id="{00000000-0008-0000-0000-000017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13184257" y="1201959"/>
                            <a:ext cx="0" cy="36576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FFFFFF"/>
                            </a:solidFill>
                          </a:ln>
                          <a:effectLst/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280" name="Straight Connector 279">
                            <a:extLst>
                              <a:ext uri="{FF2B5EF4-FFF2-40B4-BE49-F238E27FC236}">
                                <a16:creationId xmlns:a16="http://schemas.microsoft.com/office/drawing/2014/main" id="{00000000-0008-0000-0000-000018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11432604" y="1201959"/>
                            <a:ext cx="0" cy="36576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FFFFFF"/>
                            </a:solidFill>
                          </a:ln>
                          <a:effectLst/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281" name="Straight Connector 280">
                            <a:extLst>
                              <a:ext uri="{FF2B5EF4-FFF2-40B4-BE49-F238E27FC236}">
                                <a16:creationId xmlns:a16="http://schemas.microsoft.com/office/drawing/2014/main" id="{00000000-0008-0000-0000-000019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14946797" y="1201959"/>
                            <a:ext cx="0" cy="36576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FFFFFF"/>
                            </a:solidFill>
                          </a:ln>
                          <a:effectLst/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</xdr:grpSp>
                  <xdr:sp macro="" textlink="'Charts Data'!$AZ$4">
                    <xdr:nvSpPr>
                      <xdr:cNvPr id="265" name="P1_Label">
                        <a:extLst>
                          <a:ext uri="{FF2B5EF4-FFF2-40B4-BE49-F238E27FC236}">
                            <a16:creationId xmlns:a16="http://schemas.microsoft.com/office/drawing/2014/main" id="{00000000-0008-0000-0000-00000901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429366" y="2828776"/>
                        <a:ext cx="1385059" cy="290873"/>
                      </a:xfrm>
                      <a:prstGeom prst="rect">
                        <a:avLst/>
                      </a:prstGeom>
                      <a:noFill/>
                    </xdr:spPr>
                    <xdr:txBody>
                      <a:bodyPr wrap="square" rtlCol="0">
                        <a:noAutofit/>
                      </a:bodyPr>
                      <a:lstStyle>
                        <a:defPPr>
                          <a:defRPr lang="en-US"/>
                        </a:defPPr>
                        <a:lvl1pPr marL="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1pPr>
                        <a:lvl2pPr marL="4572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2pPr>
                        <a:lvl3pPr marL="9144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3pPr>
                        <a:lvl4pPr marL="13716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4pPr>
                        <a:lvl5pPr marL="18288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5pPr>
                        <a:lvl6pPr marL="22860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6pPr>
                        <a:lvl7pPr marL="27432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7pPr>
                        <a:lvl8pPr marL="32004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8pPr>
                        <a:lvl9pPr marL="36576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9pPr>
                      </a:lstStyle>
                      <a:p>
                        <a:pPr marL="0" indent="0" algn="r" defTabSz="914400" rtl="0" eaLnBrk="1" latinLnBrk="0" hangingPunct="1"/>
                        <a:fld id="{41734135-B338-455D-9A19-40894BF049F6}" type="TxLink">
                          <a:rPr lang="en-US" sz="1000" b="1" i="1" u="none" strike="noStrike" kern="1200">
                            <a:solidFill>
                              <a:srgbClr val="F9C20A"/>
                            </a:solidFill>
                            <a:latin typeface="Arial"/>
                            <a:ea typeface="+mn-ea"/>
                            <a:cs typeface="Arial"/>
                          </a:rPr>
                          <a:pPr marL="0" indent="0" algn="r" defTabSz="914400" rtl="0" eaLnBrk="1" latinLnBrk="0" hangingPunct="1"/>
                          <a:t> </a:t>
                        </a:fld>
                        <a:endParaRPr lang="en-US" sz="1000" b="1" i="1" u="none" strike="noStrike" kern="1200">
                          <a:solidFill>
                            <a:srgbClr val="F9C20A"/>
                          </a:solidFill>
                          <a:latin typeface="Arial"/>
                          <a:ea typeface="+mn-ea"/>
                          <a:cs typeface="Arial"/>
                        </a:endParaRPr>
                      </a:p>
                    </xdr:txBody>
                  </xdr:sp>
                </xdr:grpSp>
                <xdr:grpSp>
                  <xdr:nvGrpSpPr>
                    <xdr:cNvPr id="197" name="Group_P2">
                      <a:extLst>
                        <a:ext uri="{FF2B5EF4-FFF2-40B4-BE49-F238E27FC236}">
                          <a16:creationId xmlns:a16="http://schemas.microsoft.com/office/drawing/2014/main" id="{00000000-0008-0000-0000-0000C5000000}"/>
                        </a:ext>
                      </a:extLst>
                    </xdr:cNvPr>
                    <xdr:cNvGrpSpPr/>
                  </xdr:nvGrpSpPr>
                  <xdr:grpSpPr>
                    <a:xfrm>
                      <a:off x="586602" y="1797770"/>
                      <a:ext cx="7876637" cy="617667"/>
                      <a:chOff x="81836" y="3639336"/>
                      <a:chExt cx="9999956" cy="773635"/>
                    </a:xfrm>
                  </xdr:grpSpPr>
                  <xdr:grpSp>
                    <xdr:nvGrpSpPr>
                      <xdr:cNvPr id="251" name="Group 250">
                        <a:extLst>
                          <a:ext uri="{FF2B5EF4-FFF2-40B4-BE49-F238E27FC236}">
                            <a16:creationId xmlns:a16="http://schemas.microsoft.com/office/drawing/2014/main" id="{00000000-0008-0000-0000-0000FB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81836" y="3639336"/>
                        <a:ext cx="9999956" cy="773635"/>
                        <a:chOff x="8075006" y="1170154"/>
                        <a:chExt cx="8804375" cy="650985"/>
                      </a:xfrm>
                    </xdr:grpSpPr>
                    <xdr:sp macro="" textlink="">
                      <xdr:nvSpPr>
                        <xdr:cNvPr id="253" name="TextBox 10">
                          <a:extLst>
                            <a:ext uri="{FF2B5EF4-FFF2-40B4-BE49-F238E27FC236}">
                              <a16:creationId xmlns:a16="http://schemas.microsoft.com/office/drawing/2014/main" id="{00000000-0008-0000-0000-0000FD00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075006" y="1204114"/>
                          <a:ext cx="1388346" cy="408177"/>
                        </a:xfrm>
                        <a:prstGeom prst="rect">
                          <a:avLst/>
                        </a:prstGeom>
                        <a:noFill/>
                      </xdr:spPr>
                      <xdr:txBody>
                        <a:bodyPr wrap="square" rtlCol="0" anchor="ctr">
                          <a:spAutoFit/>
                        </a:bodyPr>
                        <a:lstStyle/>
                        <a:p>
                          <a:pPr marL="0" indent="0" algn="l" defTabSz="914400" rtl="0" eaLnBrk="1" latinLnBrk="0" hangingPunct="1"/>
                          <a:r>
                            <a:rPr lang="en-US" sz="1000" b="1" i="0" u="none" strike="noStrike" kern="1200">
                              <a:solidFill>
                                <a:srgbClr val="646464"/>
                              </a:solidFill>
                              <a:latin typeface="Arial"/>
                              <a:ea typeface="+mn-ea"/>
                              <a:cs typeface="Arial"/>
                            </a:rPr>
                            <a:t>Revenue 3 Year CAGR</a:t>
                          </a:r>
                        </a:p>
                      </xdr:txBody>
                    </xdr:sp>
                    <xdr:sp macro="" textlink="'Charts Data'!$AU$5">
                      <xdr:nvSpPr>
                        <xdr:cNvPr id="254" name="P2_Min">
                          <a:extLst>
                            <a:ext uri="{FF2B5EF4-FFF2-40B4-BE49-F238E27FC236}">
                              <a16:creationId xmlns:a16="http://schemas.microsoft.com/office/drawing/2014/main" id="{00000000-0008-0000-0000-0000FE00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450762" y="1568393"/>
                          <a:ext cx="917713" cy="252745"/>
                        </a:xfrm>
                        <a:prstGeom prst="rect">
                          <a:avLst/>
                        </a:prstGeom>
                        <a:noFill/>
                      </xdr:spPr>
                      <xdr:txBody>
                        <a:bodyPr wrap="square" rtlCol="0">
                          <a:noAutofit/>
                        </a:bodyPr>
                        <a:lstStyle>
                          <a:defPPr>
                            <a:defRPr lang="en-US"/>
                          </a:defPPr>
                          <a:lvl1pPr marL="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1pPr>
                          <a:lvl2pPr marL="4572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2pPr>
                          <a:lvl3pPr marL="9144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3pPr>
                          <a:lvl4pPr marL="13716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4pPr>
                          <a:lvl5pPr marL="18288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5pPr>
                          <a:lvl6pPr marL="22860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6pPr>
                          <a:lvl7pPr marL="27432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7pPr>
                          <a:lvl8pPr marL="32004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8pPr>
                          <a:lvl9pPr marL="36576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9pPr>
                        </a:lstStyle>
                        <a:p>
                          <a:pPr marL="0" indent="0" algn="l" defTabSz="914400" rtl="0" eaLnBrk="1" latinLnBrk="0" hangingPunct="1"/>
                          <a:fld id="{903C05AC-CFA4-425D-A36F-0075076E5A56}" type="TxLink">
                            <a:rPr lang="en-US" sz="1000" b="1" i="0" u="none" strike="noStrike" kern="1200">
                              <a:solidFill>
                                <a:srgbClr val="646464"/>
                              </a:solidFill>
                              <a:latin typeface="Arial"/>
                              <a:ea typeface="+mn-ea"/>
                              <a:cs typeface="Arial"/>
                            </a:rPr>
                            <a:pPr marL="0" indent="0" algn="l" defTabSz="914400" rtl="0" eaLnBrk="1" latinLnBrk="0" hangingPunct="1"/>
                            <a:t> </a:t>
                          </a:fld>
                          <a:endParaRPr lang="en-US" sz="1000" b="1" i="0" u="none" strike="noStrike" kern="1200">
                            <a:solidFill>
                              <a:srgbClr val="646464"/>
                            </a:solidFill>
                            <a:latin typeface="Arial"/>
                            <a:ea typeface="+mn-ea"/>
                            <a:cs typeface="Arial"/>
                          </a:endParaRPr>
                        </a:p>
                      </xdr:txBody>
                    </xdr:sp>
                    <xdr:sp macro="" textlink="'Charts Data'!$AV$5">
                      <xdr:nvSpPr>
                        <xdr:cNvPr id="255" name="TextBox 23">
                          <a:extLst>
                            <a:ext uri="{FF2B5EF4-FFF2-40B4-BE49-F238E27FC236}">
                              <a16:creationId xmlns:a16="http://schemas.microsoft.com/office/drawing/2014/main" id="{00000000-0008-0000-0000-0000FF00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0974042" y="1568393"/>
                          <a:ext cx="917713" cy="252745"/>
                        </a:xfrm>
                        <a:prstGeom prst="rect">
                          <a:avLst/>
                        </a:prstGeom>
                        <a:noFill/>
                      </xdr:spPr>
                      <xdr:txBody>
                        <a:bodyPr wrap="square" rtlCol="0">
                          <a:noAutofit/>
                        </a:bodyPr>
                        <a:lstStyle>
                          <a:defPPr>
                            <a:defRPr lang="en-US"/>
                          </a:defPPr>
                          <a:lvl1pPr marL="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1pPr>
                          <a:lvl2pPr marL="4572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2pPr>
                          <a:lvl3pPr marL="9144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3pPr>
                          <a:lvl4pPr marL="13716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4pPr>
                          <a:lvl5pPr marL="18288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5pPr>
                          <a:lvl6pPr marL="22860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6pPr>
                          <a:lvl7pPr marL="27432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7pPr>
                          <a:lvl8pPr marL="32004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8pPr>
                          <a:lvl9pPr marL="36576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9pPr>
                        </a:lstStyle>
                        <a:p>
                          <a:pPr marL="0" indent="0" algn="ctr" defTabSz="914400" rtl="0" eaLnBrk="1" latinLnBrk="0" hangingPunct="1"/>
                          <a:fld id="{98307327-1F07-4105-9DC7-4E6CF0465FAB}" type="TxLink">
                            <a:rPr lang="en-US" sz="1000" b="1" i="0" u="none" strike="noStrike" kern="1200">
                              <a:solidFill>
                                <a:srgbClr val="646464"/>
                              </a:solidFill>
                              <a:latin typeface="Arial"/>
                              <a:ea typeface="+mn-ea"/>
                              <a:cs typeface="Arial"/>
                            </a:rPr>
                            <a:pPr marL="0" indent="0" algn="ctr" defTabSz="914400" rtl="0" eaLnBrk="1" latinLnBrk="0" hangingPunct="1"/>
                            <a:t> </a:t>
                          </a:fld>
                          <a:endParaRPr lang="en-US" sz="1000" b="1" i="0" u="none" strike="noStrike" kern="1200">
                            <a:solidFill>
                              <a:srgbClr val="646464"/>
                            </a:solidFill>
                            <a:latin typeface="Arial"/>
                            <a:ea typeface="+mn-ea"/>
                            <a:cs typeface="Arial"/>
                          </a:endParaRPr>
                        </a:p>
                      </xdr:txBody>
                    </xdr:sp>
                    <xdr:sp macro="" textlink="'Charts Data'!$AW$5">
                      <xdr:nvSpPr>
                        <xdr:cNvPr id="256" name="TextBox 23">
                          <a:extLst>
                            <a:ext uri="{FF2B5EF4-FFF2-40B4-BE49-F238E27FC236}">
                              <a16:creationId xmlns:a16="http://schemas.microsoft.com/office/drawing/2014/main" id="{00000000-0008-0000-0000-00000001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36583" y="1568393"/>
                          <a:ext cx="917713" cy="252745"/>
                        </a:xfrm>
                        <a:prstGeom prst="rect">
                          <a:avLst/>
                        </a:prstGeom>
                        <a:noFill/>
                      </xdr:spPr>
                      <xdr:txBody>
                        <a:bodyPr wrap="square" rtlCol="0">
                          <a:noAutofit/>
                        </a:bodyPr>
                        <a:lstStyle>
                          <a:defPPr>
                            <a:defRPr lang="en-US"/>
                          </a:defPPr>
                          <a:lvl1pPr marL="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1pPr>
                          <a:lvl2pPr marL="4572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2pPr>
                          <a:lvl3pPr marL="9144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3pPr>
                          <a:lvl4pPr marL="13716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4pPr>
                          <a:lvl5pPr marL="18288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5pPr>
                          <a:lvl6pPr marL="22860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6pPr>
                          <a:lvl7pPr marL="27432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7pPr>
                          <a:lvl8pPr marL="32004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8pPr>
                          <a:lvl9pPr marL="36576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9pPr>
                        </a:lstStyle>
                        <a:p>
                          <a:pPr marL="0" indent="0" algn="ctr" defTabSz="914400" rtl="0" eaLnBrk="1" latinLnBrk="0" hangingPunct="1"/>
                          <a:fld id="{44C05E3D-EC78-40DF-A68A-42663002DB15}" type="TxLink">
                            <a:rPr lang="en-US" sz="1000" b="1" i="0" u="none" strike="noStrike" kern="1200">
                              <a:solidFill>
                                <a:srgbClr val="646464"/>
                              </a:solidFill>
                              <a:latin typeface="Arial"/>
                              <a:ea typeface="+mn-ea"/>
                              <a:cs typeface="Arial"/>
                            </a:rPr>
                            <a:pPr marL="0" indent="0" algn="ctr" defTabSz="914400" rtl="0" eaLnBrk="1" latinLnBrk="0" hangingPunct="1"/>
                            <a:t> </a:t>
                          </a:fld>
                          <a:endParaRPr lang="en-US" sz="1000" b="1" i="0" u="none" strike="noStrike" kern="1200">
                            <a:solidFill>
                              <a:srgbClr val="646464"/>
                            </a:solidFill>
                            <a:latin typeface="Arial"/>
                            <a:ea typeface="+mn-ea"/>
                            <a:cs typeface="Arial"/>
                          </a:endParaRPr>
                        </a:p>
                      </xdr:txBody>
                    </xdr:sp>
                    <xdr:sp macro="" textlink="'Charts Data'!$AX$5">
                      <xdr:nvSpPr>
                        <xdr:cNvPr id="257" name="TextBox 23">
                          <a:extLst>
                            <a:ext uri="{FF2B5EF4-FFF2-40B4-BE49-F238E27FC236}">
                              <a16:creationId xmlns:a16="http://schemas.microsoft.com/office/drawing/2014/main" id="{00000000-0008-0000-0000-00000101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486283" y="1568394"/>
                          <a:ext cx="921026" cy="252745"/>
                        </a:xfrm>
                        <a:prstGeom prst="rect">
                          <a:avLst/>
                        </a:prstGeom>
                        <a:noFill/>
                      </xdr:spPr>
                      <xdr:txBody>
                        <a:bodyPr wrap="square" rtlCol="0">
                          <a:noAutofit/>
                        </a:bodyPr>
                        <a:lstStyle>
                          <a:defPPr>
                            <a:defRPr lang="en-US"/>
                          </a:defPPr>
                          <a:lvl1pPr marL="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1pPr>
                          <a:lvl2pPr marL="4572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2pPr>
                          <a:lvl3pPr marL="9144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3pPr>
                          <a:lvl4pPr marL="13716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4pPr>
                          <a:lvl5pPr marL="18288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5pPr>
                          <a:lvl6pPr marL="22860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6pPr>
                          <a:lvl7pPr marL="27432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7pPr>
                          <a:lvl8pPr marL="32004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8pPr>
                          <a:lvl9pPr marL="36576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9pPr>
                        </a:lstStyle>
                        <a:p>
                          <a:pPr marL="0" indent="0" algn="ctr" defTabSz="914400" rtl="0" eaLnBrk="1" latinLnBrk="0" hangingPunct="1"/>
                          <a:fld id="{CB4E3DF4-8425-419F-8BC4-09184F917D71}" type="TxLink">
                            <a:rPr lang="en-US" sz="1000" b="1" i="0" u="none" strike="noStrike" kern="1200">
                              <a:solidFill>
                                <a:srgbClr val="646464"/>
                              </a:solidFill>
                              <a:latin typeface="Arial"/>
                              <a:ea typeface="+mn-ea"/>
                              <a:cs typeface="Arial"/>
                            </a:rPr>
                            <a:pPr marL="0" indent="0" algn="ctr" defTabSz="914400" rtl="0" eaLnBrk="1" latinLnBrk="0" hangingPunct="1"/>
                            <a:t> </a:t>
                          </a:fld>
                          <a:endParaRPr lang="en-US" sz="1000" b="1" i="0" u="none" strike="noStrike" kern="1200">
                            <a:solidFill>
                              <a:srgbClr val="646464"/>
                            </a:solidFill>
                            <a:latin typeface="Arial"/>
                            <a:ea typeface="+mn-ea"/>
                            <a:cs typeface="Arial"/>
                          </a:endParaRPr>
                        </a:p>
                      </xdr:txBody>
                    </xdr:sp>
                    <xdr:sp macro="" textlink="'Charts Data'!$AY$5">
                      <xdr:nvSpPr>
                        <xdr:cNvPr id="258" name="P2_Max">
                          <a:extLst>
                            <a:ext uri="{FF2B5EF4-FFF2-40B4-BE49-F238E27FC236}">
                              <a16:creationId xmlns:a16="http://schemas.microsoft.com/office/drawing/2014/main" id="{00000000-0008-0000-0000-00000201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5804119" y="1568392"/>
                          <a:ext cx="1075262" cy="252745"/>
                        </a:xfrm>
                        <a:prstGeom prst="rect">
                          <a:avLst/>
                        </a:prstGeom>
                        <a:noFill/>
                      </xdr:spPr>
                      <xdr:txBody>
                        <a:bodyPr wrap="square" rtlCol="0">
                          <a:noAutofit/>
                        </a:bodyPr>
                        <a:lstStyle>
                          <a:defPPr>
                            <a:defRPr lang="en-US"/>
                          </a:defPPr>
                          <a:lvl1pPr marL="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1pPr>
                          <a:lvl2pPr marL="4572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2pPr>
                          <a:lvl3pPr marL="9144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3pPr>
                          <a:lvl4pPr marL="13716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4pPr>
                          <a:lvl5pPr marL="18288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5pPr>
                          <a:lvl6pPr marL="22860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6pPr>
                          <a:lvl7pPr marL="27432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7pPr>
                          <a:lvl8pPr marL="32004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8pPr>
                          <a:lvl9pPr marL="36576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9pPr>
                        </a:lstStyle>
                        <a:p>
                          <a:pPr marL="0" indent="0" algn="r" defTabSz="914400" rtl="0" eaLnBrk="1" latinLnBrk="0" hangingPunct="1"/>
                          <a:fld id="{7D485E18-BCB8-43CF-B7AA-E593C5C6CBEB}" type="TxLink">
                            <a:rPr lang="en-US" sz="1000" b="1" i="0" u="none" strike="noStrike" kern="1200">
                              <a:solidFill>
                                <a:srgbClr val="646464"/>
                              </a:solidFill>
                              <a:latin typeface="Arial"/>
                              <a:ea typeface="+mn-ea"/>
                              <a:cs typeface="Arial"/>
                            </a:rPr>
                            <a:pPr marL="0" indent="0" algn="r" defTabSz="914400" rtl="0" eaLnBrk="1" latinLnBrk="0" hangingPunct="1"/>
                            <a:t> </a:t>
                          </a:fld>
                          <a:endParaRPr lang="en-US" sz="1000" b="1" i="0" u="none" strike="noStrike" kern="1200">
                            <a:solidFill>
                              <a:srgbClr val="646464"/>
                            </a:solidFill>
                            <a:latin typeface="Arial"/>
                            <a:ea typeface="+mn-ea"/>
                            <a:cs typeface="Arial"/>
                          </a:endParaRPr>
                        </a:p>
                      </xdr:txBody>
                    </xdr:sp>
                    <xdr:grpSp>
                      <xdr:nvGrpSpPr>
                        <xdr:cNvPr id="259" name="Group 258">
                          <a:extLst>
                            <a:ext uri="{FF2B5EF4-FFF2-40B4-BE49-F238E27FC236}">
                              <a16:creationId xmlns:a16="http://schemas.microsoft.com/office/drawing/2014/main" id="{00000000-0008-0000-0000-000003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9664121" y="1170154"/>
                          <a:ext cx="7028302" cy="377966"/>
                          <a:chOff x="9664121" y="1170154"/>
                          <a:chExt cx="7028302" cy="377966"/>
                        </a:xfrm>
                      </xdr:grpSpPr>
                      <xdr:sp macro="" textlink="'Charts Data'!$BA$5">
                        <xdr:nvSpPr>
                          <xdr:cNvPr id="260" name="P2_Bar">
                            <a:extLst>
                              <a:ext uri="{FF2B5EF4-FFF2-40B4-BE49-F238E27FC236}">
                                <a16:creationId xmlns:a16="http://schemas.microsoft.com/office/drawing/2014/main" id="{00000000-0008-0000-0000-00000401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9664121" y="1219860"/>
                            <a:ext cx="7028302" cy="328260"/>
                          </a:xfrm>
                          <a:prstGeom prst="rect">
                            <a:avLst/>
                          </a:prstGeom>
                          <a:solidFill>
                            <a:srgbClr val="002B49"/>
                          </a:solidFill>
                          <a:ln>
                            <a:solidFill>
                              <a:srgbClr val="002060"/>
                            </a:solidFill>
                          </a:ln>
                          <a:effectLst/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ctr"/>
                          <a:lstStyle/>
                          <a:p>
                            <a:pPr marL="0" indent="0" algn="ctr"/>
                            <a:fld id="{47F09F16-7EA2-4E0C-A3BD-B59C1186CDD7}" type="TxLink">
                              <a:rPr lang="en-US" sz="1000" b="0" i="0" u="none" strike="noStrike">
                                <a:solidFill>
                                  <a:srgbClr val="002060"/>
                                </a:solidFill>
                                <a:latin typeface="Arial"/>
                                <a:ea typeface="+mn-ea"/>
                                <a:cs typeface="Arial"/>
                              </a:rPr>
                              <a:pPr marL="0" indent="0" algn="ctr"/>
                              <a:t> </a:t>
                            </a:fld>
                            <a:endParaRPr lang="en-US" sz="1000" b="0" i="0" u="none" strike="noStrike">
                              <a:solidFill>
                                <a:srgbClr val="002060"/>
                              </a:solidFill>
                              <a:latin typeface="Arial"/>
                              <a:ea typeface="+mn-ea"/>
                              <a:cs typeface="Arial"/>
                            </a:endParaRPr>
                          </a:p>
                        </xdr:txBody>
                      </xdr:sp>
                      <xdr:cxnSp macro="">
                        <xdr:nvCxnSpPr>
                          <xdr:cNvPr id="261" name="Straight Connector 260">
                            <a:extLst>
                              <a:ext uri="{FF2B5EF4-FFF2-40B4-BE49-F238E27FC236}">
                                <a16:creationId xmlns:a16="http://schemas.microsoft.com/office/drawing/2014/main" id="{00000000-0008-0000-0000-000005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13184257" y="1170154"/>
                            <a:ext cx="0" cy="36576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FFFFFF"/>
                            </a:solidFill>
                          </a:ln>
                          <a:effectLst/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262" name="Straight Connector 261">
                            <a:extLst>
                              <a:ext uri="{FF2B5EF4-FFF2-40B4-BE49-F238E27FC236}">
                                <a16:creationId xmlns:a16="http://schemas.microsoft.com/office/drawing/2014/main" id="{00000000-0008-0000-0000-000006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11432604" y="1178164"/>
                            <a:ext cx="0" cy="365758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FFFFFF"/>
                            </a:solidFill>
                          </a:ln>
                          <a:effectLst/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263" name="Straight Connector 262">
                            <a:extLst>
                              <a:ext uri="{FF2B5EF4-FFF2-40B4-BE49-F238E27FC236}">
                                <a16:creationId xmlns:a16="http://schemas.microsoft.com/office/drawing/2014/main" id="{00000000-0008-0000-0000-000007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14946797" y="1178168"/>
                            <a:ext cx="0" cy="36576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FFFFFF"/>
                            </a:solidFill>
                          </a:ln>
                          <a:effectLst/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</xdr:grpSp>
                  <xdr:sp macro="" textlink="'Charts Data'!$AZ$5">
                    <xdr:nvSpPr>
                      <xdr:cNvPr id="252" name="P2_Label">
                        <a:extLst>
                          <a:ext uri="{FF2B5EF4-FFF2-40B4-BE49-F238E27FC236}">
                            <a16:creationId xmlns:a16="http://schemas.microsoft.com/office/drawing/2014/main" id="{00000000-0008-0000-0000-0000FC00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019991" y="3760716"/>
                        <a:ext cx="7887806" cy="310481"/>
                      </a:xfrm>
                      <a:prstGeom prst="rect">
                        <a:avLst/>
                      </a:prstGeom>
                      <a:noFill/>
                    </xdr:spPr>
                    <xdr:txBody>
                      <a:bodyPr wrap="square" lIns="91440" rIns="91440" rtlCol="0">
                        <a:noAutofit/>
                      </a:bodyPr>
                      <a:lstStyle>
                        <a:defPPr>
                          <a:defRPr lang="en-US"/>
                        </a:defPPr>
                        <a:lvl1pPr marL="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1pPr>
                        <a:lvl2pPr marL="4572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2pPr>
                        <a:lvl3pPr marL="9144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3pPr>
                        <a:lvl4pPr marL="13716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4pPr>
                        <a:lvl5pPr marL="18288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5pPr>
                        <a:lvl6pPr marL="22860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6pPr>
                        <a:lvl7pPr marL="27432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7pPr>
                        <a:lvl8pPr marL="32004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8pPr>
                        <a:lvl9pPr marL="36576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9pPr>
                      </a:lstStyle>
                      <a:p>
                        <a:pPr marL="0" indent="0" algn="l" defTabSz="914400" rtl="0" eaLnBrk="1" latinLnBrk="0" hangingPunct="1"/>
                        <a:fld id="{751494B0-8CB9-43BF-AFF1-C2FACA25D094}" type="TxLink">
                          <a:rPr lang="en-US" sz="1000" b="1" i="1" u="none" strike="noStrike" kern="1200">
                            <a:solidFill>
                              <a:srgbClr val="FFC000"/>
                            </a:solidFill>
                            <a:latin typeface="Arial"/>
                            <a:ea typeface="+mn-ea"/>
                            <a:cs typeface="Arial"/>
                          </a:rPr>
                          <a:pPr marL="0" indent="0" algn="l" defTabSz="914400" rtl="0" eaLnBrk="1" latinLnBrk="0" hangingPunct="1"/>
                          <a:t> </a:t>
                        </a:fld>
                        <a:endParaRPr lang="en-US" sz="1000" b="1" i="1" u="none" strike="noStrike" kern="1200">
                          <a:solidFill>
                            <a:srgbClr val="FFC000"/>
                          </a:solidFill>
                          <a:latin typeface="Arial"/>
                          <a:ea typeface="+mn-ea"/>
                          <a:cs typeface="Arial"/>
                        </a:endParaRPr>
                      </a:p>
                    </xdr:txBody>
                  </xdr:sp>
                </xdr:grpSp>
                <xdr:sp macro="" textlink="'Charts Data'!$BA$7">
                  <xdr:nvSpPr>
                    <xdr:cNvPr id="198" name="P4_Bar">
                      <a:extLst>
                        <a:ext uri="{FF2B5EF4-FFF2-40B4-BE49-F238E27FC236}">
                          <a16:creationId xmlns:a16="http://schemas.microsoft.com/office/drawing/2014/main" id="{00000000-0008-0000-0000-0000C6000000}"/>
                        </a:ext>
                      </a:extLst>
                    </xdr:cNvPr>
                    <xdr:cNvSpPr/>
                  </xdr:nvSpPr>
                  <xdr:spPr>
                    <a:xfrm>
                      <a:off x="2008272" y="2617054"/>
                      <a:ext cx="6287725" cy="311451"/>
                    </a:xfrm>
                    <a:prstGeom prst="rect">
                      <a:avLst/>
                    </a:prstGeom>
                    <a:solidFill>
                      <a:srgbClr val="002B49"/>
                    </a:solidFill>
                    <a:ln>
                      <a:noFill/>
                    </a:ln>
                    <a:effectLst/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indent="0" algn="ctr"/>
                      <a:fld id="{A27F448D-DBA5-488A-9468-FA35843AA4C2}" type="TxLink">
                        <a:rPr lang="en-US" sz="1000" b="0" i="0" u="none" strike="noStrike">
                          <a:solidFill>
                            <a:srgbClr val="002060"/>
                          </a:solidFill>
                          <a:latin typeface="Arial"/>
                          <a:ea typeface="+mn-ea"/>
                          <a:cs typeface="Arial"/>
                        </a:rPr>
                        <a:pPr marL="0" indent="0" algn="ctr"/>
                        <a:t> </a:t>
                      </a:fld>
                      <a:endParaRPr lang="en-US" sz="1000" b="0" i="0" u="none" strike="noStrike">
                        <a:solidFill>
                          <a:srgbClr val="002060"/>
                        </a:solidFill>
                        <a:latin typeface="Arial"/>
                        <a:ea typeface="+mn-ea"/>
                        <a:cs typeface="Arial"/>
                      </a:endParaRPr>
                    </a:p>
                  </xdr:txBody>
                </xdr:sp>
                <xdr:cxnSp macro="">
                  <xdr:nvCxnSpPr>
                    <xdr:cNvPr id="199" name="Straight Connector 198">
                      <a:extLst>
                        <a:ext uri="{FF2B5EF4-FFF2-40B4-BE49-F238E27FC236}">
                          <a16:creationId xmlns:a16="http://schemas.microsoft.com/office/drawing/2014/main" id="{00000000-0008-0000-0000-0000C7000000}"/>
                        </a:ext>
                      </a:extLst>
                    </xdr:cNvPr>
                    <xdr:cNvCxnSpPr/>
                  </xdr:nvCxnSpPr>
                  <xdr:spPr>
                    <a:xfrm>
                      <a:off x="5177701" y="2610416"/>
                      <a:ext cx="0" cy="347029"/>
                    </a:xfrm>
                    <a:prstGeom prst="line">
                      <a:avLst/>
                    </a:prstGeom>
                    <a:ln w="19050">
                      <a:solidFill>
                        <a:srgbClr val="FFFFFF"/>
                      </a:solidFill>
                    </a:ln>
                    <a:effectLst/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00" name="Straight Connector 199">
                      <a:extLst>
                        <a:ext uri="{FF2B5EF4-FFF2-40B4-BE49-F238E27FC236}">
                          <a16:creationId xmlns:a16="http://schemas.microsoft.com/office/drawing/2014/main" id="{00000000-0008-0000-0000-0000C8000000}"/>
                        </a:ext>
                      </a:extLst>
                    </xdr:cNvPr>
                    <xdr:cNvCxnSpPr/>
                  </xdr:nvCxnSpPr>
                  <xdr:spPr>
                    <a:xfrm>
                      <a:off x="3610839" y="2610415"/>
                      <a:ext cx="0" cy="347030"/>
                    </a:xfrm>
                    <a:prstGeom prst="line">
                      <a:avLst/>
                    </a:prstGeom>
                    <a:ln w="19050">
                      <a:solidFill>
                        <a:srgbClr val="FFFFFF"/>
                      </a:solidFill>
                    </a:ln>
                    <a:effectLst/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01" name="Straight Connector 200">
                      <a:extLst>
                        <a:ext uri="{FF2B5EF4-FFF2-40B4-BE49-F238E27FC236}">
                          <a16:creationId xmlns:a16="http://schemas.microsoft.com/office/drawing/2014/main" id="{00000000-0008-0000-0000-0000C9000000}"/>
                        </a:ext>
                      </a:extLst>
                    </xdr:cNvPr>
                    <xdr:cNvCxnSpPr/>
                  </xdr:nvCxnSpPr>
                  <xdr:spPr>
                    <a:xfrm>
                      <a:off x="6754303" y="2610415"/>
                      <a:ext cx="0" cy="347030"/>
                    </a:xfrm>
                    <a:prstGeom prst="line">
                      <a:avLst/>
                    </a:prstGeom>
                    <a:ln w="19050">
                      <a:solidFill>
                        <a:srgbClr val="FFFFFF"/>
                      </a:solidFill>
                    </a:ln>
                    <a:effectLst/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'Charts Data'!$AT$7">
                  <xdr:nvSpPr>
                    <xdr:cNvPr id="202" name="TextBox 10">
                      <a:extLst>
                        <a:ext uri="{FF2B5EF4-FFF2-40B4-BE49-F238E27FC236}">
                          <a16:creationId xmlns:a16="http://schemas.microsoft.com/office/drawing/2014/main" id="{00000000-0008-0000-0000-0000CA000000}"/>
                        </a:ext>
                      </a:extLst>
                    </xdr:cNvPr>
                    <xdr:cNvSpPr txBox="1"/>
                  </xdr:nvSpPr>
                  <xdr:spPr>
                    <a:xfrm>
                      <a:off x="586602" y="2640539"/>
                      <a:ext cx="1559054" cy="239809"/>
                    </a:xfrm>
                    <a:prstGeom prst="rect">
                      <a:avLst/>
                    </a:prstGeom>
                    <a:noFill/>
                  </xdr:spPr>
                  <xdr:txBody>
                    <a:bodyPr wrap="square" rtlCol="0" anchor="ctr">
                      <a:spAutoFit/>
                    </a:bodyPr>
                    <a:lstStyle>
                      <a:defPPr>
                        <a:defRPr lang="en-US"/>
                      </a:defPPr>
                      <a:lvl1pPr marL="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 marL="0" indent="0" algn="l" defTabSz="914400" rtl="0" eaLnBrk="1" latinLnBrk="0" hangingPunct="1"/>
                      <a:fld id="{BF3E78EE-358A-438C-BE10-D326BE7B1C98}" type="TxLink">
                        <a:rPr lang="en-US" sz="1000" b="1" i="0" u="none" strike="noStrike" kern="1200">
                          <a:solidFill>
                            <a:srgbClr val="646464"/>
                          </a:solidFill>
                          <a:latin typeface="Arial"/>
                          <a:ea typeface="+mn-ea"/>
                          <a:cs typeface="Arial"/>
                        </a:rPr>
                        <a:pPr marL="0" indent="0" algn="l" defTabSz="914400" rtl="0" eaLnBrk="1" latinLnBrk="0" hangingPunct="1"/>
                        <a:t>EBITDA Margin %</a:t>
                      </a:fld>
                      <a:endParaRPr lang="en-US" sz="1000" b="1" i="0" u="none" strike="noStrike" kern="1200">
                        <a:solidFill>
                          <a:srgbClr val="646464"/>
                        </a:solidFill>
                        <a:latin typeface="Arial"/>
                        <a:ea typeface="+mn-ea"/>
                        <a:cs typeface="Arial"/>
                      </a:endParaRPr>
                    </a:p>
                  </xdr:txBody>
                </xdr:sp>
                <xdr:sp macro="" textlink="'Charts Data'!$AU$7">
                  <xdr:nvSpPr>
                    <xdr:cNvPr id="203" name="P4_Min">
                      <a:extLst>
                        <a:ext uri="{FF2B5EF4-FFF2-40B4-BE49-F238E27FC236}">
                          <a16:creationId xmlns:a16="http://schemas.microsoft.com/office/drawing/2014/main" id="{00000000-0008-0000-0000-0000CB000000}"/>
                        </a:ext>
                      </a:extLst>
                    </xdr:cNvPr>
                    <xdr:cNvSpPr txBox="1"/>
                  </xdr:nvSpPr>
                  <xdr:spPr>
                    <a:xfrm>
                      <a:off x="1817394" y="2955923"/>
                      <a:ext cx="820900" cy="239803"/>
                    </a:xfrm>
                    <a:prstGeom prst="rect">
                      <a:avLst/>
                    </a:prstGeom>
                    <a:noFill/>
                  </xdr:spPr>
                  <xdr:txBody>
                    <a:bodyPr wrap="square" rtlCol="0">
                      <a:noAutofit/>
                    </a:bodyPr>
                    <a:lstStyle>
                      <a:defPPr>
                        <a:defRPr lang="en-US"/>
                      </a:defPPr>
                      <a:lvl1pPr marL="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 marL="0" indent="0" algn="l" defTabSz="914400" rtl="0" eaLnBrk="1" latinLnBrk="0" hangingPunct="1"/>
                      <a:fld id="{971AB7DD-8297-454A-9FC6-9A17A62D192A}" type="TxLink">
                        <a:rPr lang="en-US" sz="1000" b="1" i="0" u="none" strike="noStrike" kern="1200">
                          <a:solidFill>
                            <a:srgbClr val="646464"/>
                          </a:solidFill>
                          <a:latin typeface="Arial"/>
                          <a:ea typeface="+mn-ea"/>
                          <a:cs typeface="Arial"/>
                        </a:rPr>
                        <a:pPr marL="0" indent="0" algn="l" defTabSz="914400" rtl="0" eaLnBrk="1" latinLnBrk="0" hangingPunct="1"/>
                        <a:t> </a:t>
                      </a:fld>
                      <a:endParaRPr lang="en-US" sz="1000" b="1" i="0" u="none" strike="noStrike" kern="1200">
                        <a:solidFill>
                          <a:srgbClr val="646464"/>
                        </a:solidFill>
                        <a:latin typeface="Arial"/>
                        <a:ea typeface="+mn-ea"/>
                        <a:cs typeface="Arial"/>
                      </a:endParaRPr>
                    </a:p>
                  </xdr:txBody>
                </xdr:sp>
                <xdr:sp macro="" textlink="'Charts Data'!$AV$7">
                  <xdr:nvSpPr>
                    <xdr:cNvPr id="204" name="TextBox 23">
                      <a:extLst>
                        <a:ext uri="{FF2B5EF4-FFF2-40B4-BE49-F238E27FC236}">
                          <a16:creationId xmlns:a16="http://schemas.microsoft.com/office/drawing/2014/main" id="{00000000-0008-0000-0000-0000CC000000}"/>
                        </a:ext>
                      </a:extLst>
                    </xdr:cNvPr>
                    <xdr:cNvSpPr txBox="1"/>
                  </xdr:nvSpPr>
                  <xdr:spPr>
                    <a:xfrm>
                      <a:off x="3200652" y="2947576"/>
                      <a:ext cx="820900" cy="239805"/>
                    </a:xfrm>
                    <a:prstGeom prst="rect">
                      <a:avLst/>
                    </a:prstGeom>
                    <a:noFill/>
                  </xdr:spPr>
                  <xdr:txBody>
                    <a:bodyPr wrap="square" rtlCol="0">
                      <a:noAutofit/>
                    </a:bodyPr>
                    <a:lstStyle>
                      <a:defPPr>
                        <a:defRPr lang="en-US"/>
                      </a:defPPr>
                      <a:lvl1pPr marL="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 marL="0" indent="0" algn="ctr" defTabSz="914400" rtl="0" eaLnBrk="1" latinLnBrk="0" hangingPunct="1"/>
                      <a:fld id="{91F15642-23FE-43C9-AB99-9DF6A48E5637}" type="TxLink">
                        <a:rPr lang="en-US" sz="1000" b="1" i="0" u="none" strike="noStrike" kern="1200">
                          <a:solidFill>
                            <a:srgbClr val="646464"/>
                          </a:solidFill>
                          <a:latin typeface="Arial"/>
                          <a:ea typeface="+mn-ea"/>
                          <a:cs typeface="Arial"/>
                        </a:rPr>
                        <a:pPr marL="0" indent="0" algn="ctr" defTabSz="914400" rtl="0" eaLnBrk="1" latinLnBrk="0" hangingPunct="1"/>
                        <a:t> </a:t>
                      </a:fld>
                      <a:endParaRPr lang="en-US" sz="1000" b="1" i="0" u="none" strike="noStrike" kern="1200">
                        <a:solidFill>
                          <a:srgbClr val="646464"/>
                        </a:solidFill>
                        <a:latin typeface="Arial"/>
                        <a:ea typeface="+mn-ea"/>
                        <a:cs typeface="Arial"/>
                      </a:endParaRPr>
                    </a:p>
                  </xdr:txBody>
                </xdr:sp>
                <xdr:sp macro="" textlink="'Charts Data'!$AX$7">
                  <xdr:nvSpPr>
                    <xdr:cNvPr id="205" name="TextBox 23">
                      <a:extLst>
                        <a:ext uri="{FF2B5EF4-FFF2-40B4-BE49-F238E27FC236}">
                          <a16:creationId xmlns:a16="http://schemas.microsoft.com/office/drawing/2014/main" id="{00000000-0008-0000-0000-0000CD000000}"/>
                        </a:ext>
                      </a:extLst>
                    </xdr:cNvPr>
                    <xdr:cNvSpPr txBox="1"/>
                  </xdr:nvSpPr>
                  <xdr:spPr>
                    <a:xfrm>
                      <a:off x="6342372" y="2965465"/>
                      <a:ext cx="823863" cy="239806"/>
                    </a:xfrm>
                    <a:prstGeom prst="rect">
                      <a:avLst/>
                    </a:prstGeom>
                    <a:noFill/>
                  </xdr:spPr>
                  <xdr:txBody>
                    <a:bodyPr wrap="square" rtlCol="0">
                      <a:noAutofit/>
                    </a:bodyPr>
                    <a:lstStyle>
                      <a:defPPr>
                        <a:defRPr lang="en-US"/>
                      </a:defPPr>
                      <a:lvl1pPr marL="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 marL="0" indent="0" algn="ctr" defTabSz="914400" rtl="0" eaLnBrk="1" latinLnBrk="0" hangingPunct="1"/>
                      <a:fld id="{088AEAE8-EB58-4718-BD78-85D1FBC1BB48}" type="TxLink">
                        <a:rPr lang="en-US" sz="1000" b="1" i="0" u="none" strike="noStrike" kern="1200">
                          <a:solidFill>
                            <a:srgbClr val="646464"/>
                          </a:solidFill>
                          <a:latin typeface="Arial"/>
                          <a:ea typeface="+mn-ea"/>
                          <a:cs typeface="Arial"/>
                        </a:rPr>
                        <a:pPr marL="0" indent="0" algn="ctr" defTabSz="914400" rtl="0" eaLnBrk="1" latinLnBrk="0" hangingPunct="1"/>
                        <a:t> </a:t>
                      </a:fld>
                      <a:endParaRPr lang="en-US" sz="1000" b="1" i="0" u="none" strike="noStrike" kern="1200">
                        <a:solidFill>
                          <a:srgbClr val="646464"/>
                        </a:solidFill>
                        <a:latin typeface="Arial"/>
                        <a:ea typeface="+mn-ea"/>
                        <a:cs typeface="Arial"/>
                      </a:endParaRPr>
                    </a:p>
                  </xdr:txBody>
                </xdr:sp>
                <xdr:sp macro="" textlink="'Charts Data'!$AY$7">
                  <xdr:nvSpPr>
                    <xdr:cNvPr id="206" name="P4_Max">
                      <a:extLst>
                        <a:ext uri="{FF2B5EF4-FFF2-40B4-BE49-F238E27FC236}">
                          <a16:creationId xmlns:a16="http://schemas.microsoft.com/office/drawing/2014/main" id="{00000000-0008-0000-0000-0000CE000000}"/>
                        </a:ext>
                      </a:extLst>
                    </xdr:cNvPr>
                    <xdr:cNvSpPr txBox="1"/>
                  </xdr:nvSpPr>
                  <xdr:spPr>
                    <a:xfrm>
                      <a:off x="7501429" y="2965465"/>
                      <a:ext cx="961828" cy="209279"/>
                    </a:xfrm>
                    <a:prstGeom prst="rect">
                      <a:avLst/>
                    </a:prstGeom>
                    <a:noFill/>
                  </xdr:spPr>
                  <xdr:txBody>
                    <a:bodyPr wrap="square" rtlCol="0">
                      <a:noAutofit/>
                    </a:bodyPr>
                    <a:lstStyle>
                      <a:defPPr>
                        <a:defRPr lang="en-US"/>
                      </a:defPPr>
                      <a:lvl1pPr marL="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 marL="0" indent="0" algn="r" defTabSz="914400" rtl="0" eaLnBrk="1" latinLnBrk="0" hangingPunct="1"/>
                      <a:fld id="{AB4195BC-05D6-4038-A6EA-F828AB52B0AE}" type="TxLink">
                        <a:rPr lang="en-US" sz="1000" b="1" i="0" u="none" strike="noStrike" kern="1200">
                          <a:solidFill>
                            <a:srgbClr val="646464"/>
                          </a:solidFill>
                          <a:latin typeface="Arial"/>
                          <a:ea typeface="+mn-ea"/>
                          <a:cs typeface="Arial"/>
                        </a:rPr>
                        <a:pPr marL="0" indent="0" algn="r" defTabSz="914400" rtl="0" eaLnBrk="1" latinLnBrk="0" hangingPunct="1"/>
                        <a:t> </a:t>
                      </a:fld>
                      <a:endParaRPr lang="en-US" sz="1000" b="1" i="0" u="none" strike="noStrike" kern="1200">
                        <a:solidFill>
                          <a:srgbClr val="646464"/>
                        </a:solidFill>
                        <a:latin typeface="Arial"/>
                        <a:ea typeface="+mn-ea"/>
                        <a:cs typeface="Arial"/>
                      </a:endParaRPr>
                    </a:p>
                  </xdr:txBody>
                </xdr:sp>
                <xdr:sp macro="" textlink="'Charts Data'!$AW$7">
                  <xdr:nvSpPr>
                    <xdr:cNvPr id="207" name="TextBox 23">
                      <a:extLst>
                        <a:ext uri="{FF2B5EF4-FFF2-40B4-BE49-F238E27FC236}">
                          <a16:creationId xmlns:a16="http://schemas.microsoft.com/office/drawing/2014/main" id="{00000000-0008-0000-0000-0000CF000000}"/>
                        </a:ext>
                      </a:extLst>
                    </xdr:cNvPr>
                    <xdr:cNvSpPr txBox="1"/>
                  </xdr:nvSpPr>
                  <xdr:spPr>
                    <a:xfrm>
                      <a:off x="4767915" y="2947580"/>
                      <a:ext cx="820900" cy="239803"/>
                    </a:xfrm>
                    <a:prstGeom prst="rect">
                      <a:avLst/>
                    </a:prstGeom>
                    <a:noFill/>
                  </xdr:spPr>
                  <xdr:txBody>
                    <a:bodyPr wrap="square" rtlCol="0">
                      <a:noAutofit/>
                    </a:bodyPr>
                    <a:lstStyle>
                      <a:defPPr>
                        <a:defRPr lang="en-US"/>
                      </a:defPPr>
                      <a:lvl1pPr marL="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 marL="0" indent="0" algn="ctr" defTabSz="914400" rtl="0" eaLnBrk="1" latinLnBrk="0" hangingPunct="1"/>
                      <a:fld id="{1C056F2B-ADE9-4D78-8DDD-0244E15CEBA9}" type="TxLink">
                        <a:rPr lang="en-US" sz="1000" b="1" i="0" u="none" strike="noStrike" kern="1200">
                          <a:solidFill>
                            <a:srgbClr val="646464"/>
                          </a:solidFill>
                          <a:latin typeface="Arial"/>
                          <a:ea typeface="+mn-ea"/>
                          <a:cs typeface="Arial"/>
                        </a:rPr>
                        <a:pPr marL="0" indent="0" algn="ctr" defTabSz="914400" rtl="0" eaLnBrk="1" latinLnBrk="0" hangingPunct="1"/>
                        <a:t> </a:t>
                      </a:fld>
                      <a:endParaRPr lang="en-US" sz="1000" b="1" i="0" u="none" strike="noStrike" kern="1200">
                        <a:solidFill>
                          <a:srgbClr val="646464"/>
                        </a:solidFill>
                        <a:latin typeface="Arial"/>
                        <a:ea typeface="+mn-ea"/>
                        <a:cs typeface="Arial"/>
                      </a:endParaRPr>
                    </a:p>
                  </xdr:txBody>
                </xdr:sp>
                <xdr:sp macro="" textlink="'Charts Data'!$AZ$7">
                  <xdr:nvSpPr>
                    <xdr:cNvPr id="208" name="P4_Label">
                      <a:extLst>
                        <a:ext uri="{FF2B5EF4-FFF2-40B4-BE49-F238E27FC236}">
                          <a16:creationId xmlns:a16="http://schemas.microsoft.com/office/drawing/2014/main" id="{00000000-0008-0000-0000-0000D0000000}"/>
                        </a:ext>
                      </a:extLst>
                    </xdr:cNvPr>
                    <xdr:cNvSpPr txBox="1"/>
                  </xdr:nvSpPr>
                  <xdr:spPr>
                    <a:xfrm>
                      <a:off x="3018882" y="2674376"/>
                      <a:ext cx="982337" cy="232225"/>
                    </a:xfrm>
                    <a:prstGeom prst="rect">
                      <a:avLst/>
                    </a:prstGeom>
                    <a:noFill/>
                  </xdr:spPr>
                  <xdr:txBody>
                    <a:bodyPr wrap="square" rtlCol="0">
                      <a:noAutofit/>
                    </a:bodyPr>
                    <a:lstStyle>
                      <a:defPPr>
                        <a:defRPr lang="en-US"/>
                      </a:defPPr>
                      <a:lvl1pPr marL="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 marL="0" indent="0" algn="l" defTabSz="914400" rtl="0" eaLnBrk="1" latinLnBrk="0" hangingPunct="1"/>
                      <a:fld id="{3F779760-FFB0-46B6-9999-5E75145DF349}" type="TxLink">
                        <a:rPr lang="en-US" sz="1000" b="1" i="1" u="none" strike="noStrike" kern="1200">
                          <a:solidFill>
                            <a:srgbClr val="F9C20A"/>
                          </a:solidFill>
                          <a:latin typeface="Arial"/>
                          <a:ea typeface="+mn-ea"/>
                          <a:cs typeface="Arial"/>
                        </a:rPr>
                        <a:pPr marL="0" indent="0" algn="l" defTabSz="914400" rtl="0" eaLnBrk="1" latinLnBrk="0" hangingPunct="1"/>
                        <a:t> </a:t>
                      </a:fld>
                      <a:endParaRPr lang="en-US" sz="1000" b="1" i="1" u="none" strike="noStrike" kern="1200">
                        <a:solidFill>
                          <a:srgbClr val="F9C20A"/>
                        </a:solidFill>
                        <a:latin typeface="Arial"/>
                        <a:ea typeface="+mn-ea"/>
                        <a:cs typeface="Arial"/>
                      </a:endParaRPr>
                    </a:p>
                  </xdr:txBody>
                </xdr:sp>
                <xdr:grpSp>
                  <xdr:nvGrpSpPr>
                    <xdr:cNvPr id="209" name="Group_P7">
                      <a:extLst>
                        <a:ext uri="{FF2B5EF4-FFF2-40B4-BE49-F238E27FC236}">
                          <a16:creationId xmlns:a16="http://schemas.microsoft.com/office/drawing/2014/main" id="{00000000-0008-0000-0000-0000D1000000}"/>
                        </a:ext>
                      </a:extLst>
                    </xdr:cNvPr>
                    <xdr:cNvGrpSpPr/>
                  </xdr:nvGrpSpPr>
                  <xdr:grpSpPr>
                    <a:xfrm>
                      <a:off x="586601" y="4910688"/>
                      <a:ext cx="7876660" cy="656470"/>
                      <a:chOff x="81806" y="7747530"/>
                      <a:chExt cx="9999996" cy="822235"/>
                    </a:xfrm>
                  </xdr:grpSpPr>
                  <xdr:grpSp>
                    <xdr:nvGrpSpPr>
                      <xdr:cNvPr id="237" name="Group 236">
                        <a:extLst>
                          <a:ext uri="{FF2B5EF4-FFF2-40B4-BE49-F238E27FC236}">
                            <a16:creationId xmlns:a16="http://schemas.microsoft.com/office/drawing/2014/main" id="{00000000-0008-0000-0000-0000ED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81806" y="7747530"/>
                        <a:ext cx="9999996" cy="822235"/>
                        <a:chOff x="81806" y="7747530"/>
                        <a:chExt cx="9999996" cy="822235"/>
                      </a:xfrm>
                    </xdr:grpSpPr>
                    <xdr:sp macro="" textlink="'Charts Data'!$AU$9">
                      <xdr:nvSpPr>
                        <xdr:cNvPr id="239" name="TextBox 23">
                          <a:extLst>
                            <a:ext uri="{FF2B5EF4-FFF2-40B4-BE49-F238E27FC236}">
                              <a16:creationId xmlns:a16="http://schemas.microsoft.com/office/drawing/2014/main" id="{00000000-0008-0000-0000-0000EF00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644389" y="8320301"/>
                          <a:ext cx="1152809" cy="249464"/>
                        </a:xfrm>
                        <a:prstGeom prst="rect">
                          <a:avLst/>
                        </a:prstGeom>
                        <a:noFill/>
                      </xdr:spPr>
                      <xdr:txBody>
                        <a:bodyPr wrap="square" rtlCol="0">
                          <a:noAutofit/>
                        </a:bodyPr>
                        <a:lstStyle>
                          <a:defPPr>
                            <a:defRPr lang="en-US"/>
                          </a:defPPr>
                          <a:lvl1pPr marL="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1pPr>
                          <a:lvl2pPr marL="4572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2pPr>
                          <a:lvl3pPr marL="9144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3pPr>
                          <a:lvl4pPr marL="13716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4pPr>
                          <a:lvl5pPr marL="18288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5pPr>
                          <a:lvl6pPr marL="22860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6pPr>
                          <a:lvl7pPr marL="27432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7pPr>
                          <a:lvl8pPr marL="32004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8pPr>
                          <a:lvl9pPr marL="36576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9pPr>
                        </a:lstStyle>
                        <a:p>
                          <a:pPr marL="0" indent="0" algn="l" defTabSz="914400" rtl="0" eaLnBrk="1" latinLnBrk="0" hangingPunct="1"/>
                          <a:fld id="{EC9A4A2A-5AD7-4EBB-8273-330C5AD830ED}" type="TxLink">
                            <a:rPr lang="en-US" sz="1000" b="1" i="0" u="none" strike="noStrike" kern="1200">
                              <a:solidFill>
                                <a:srgbClr val="646464"/>
                              </a:solidFill>
                              <a:latin typeface="Arial"/>
                              <a:ea typeface="+mn-ea"/>
                              <a:cs typeface="Arial"/>
                            </a:rPr>
                            <a:pPr marL="0" indent="0" algn="l" defTabSz="914400" rtl="0" eaLnBrk="1" latinLnBrk="0" hangingPunct="1"/>
                            <a:t> </a:t>
                          </a:fld>
                          <a:endParaRPr lang="en-US" sz="1000" b="1" i="0" u="none" strike="noStrike" kern="1200">
                            <a:solidFill>
                              <a:srgbClr val="646464"/>
                            </a:solidFill>
                            <a:latin typeface="Arial"/>
                            <a:ea typeface="+mn-ea"/>
                            <a:cs typeface="Arial"/>
                          </a:endParaRPr>
                        </a:p>
                      </xdr:txBody>
                    </xdr:sp>
                    <xdr:sp macro="" textlink="'Charts Data'!$AV$9">
                      <xdr:nvSpPr>
                        <xdr:cNvPr id="240" name="TextBox 23">
                          <a:extLst>
                            <a:ext uri="{FF2B5EF4-FFF2-40B4-BE49-F238E27FC236}">
                              <a16:creationId xmlns:a16="http://schemas.microsoft.com/office/drawing/2014/main" id="{00000000-0008-0000-0000-0000F000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5367" y="8320302"/>
                          <a:ext cx="1152809" cy="249463"/>
                        </a:xfrm>
                        <a:prstGeom prst="rect">
                          <a:avLst/>
                        </a:prstGeom>
                        <a:noFill/>
                      </xdr:spPr>
                      <xdr:txBody>
                        <a:bodyPr wrap="square" rtlCol="0">
                          <a:noAutofit/>
                        </a:bodyPr>
                        <a:lstStyle>
                          <a:defPPr>
                            <a:defRPr lang="en-US"/>
                          </a:defPPr>
                          <a:lvl1pPr marL="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1pPr>
                          <a:lvl2pPr marL="4572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2pPr>
                          <a:lvl3pPr marL="9144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3pPr>
                          <a:lvl4pPr marL="13716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4pPr>
                          <a:lvl5pPr marL="18288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5pPr>
                          <a:lvl6pPr marL="22860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6pPr>
                          <a:lvl7pPr marL="27432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7pPr>
                          <a:lvl8pPr marL="32004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8pPr>
                          <a:lvl9pPr marL="36576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9pPr>
                        </a:lstStyle>
                        <a:p>
                          <a:pPr marL="0" indent="0" algn="ctr" defTabSz="914400" rtl="0" eaLnBrk="1" latinLnBrk="0" hangingPunct="1"/>
                          <a:fld id="{E9666A61-2462-47B6-9571-92E413D3D9BF}" type="TxLink">
                            <a:rPr lang="en-US" sz="1000" b="1" i="0" u="none" strike="noStrike" kern="1200">
                              <a:solidFill>
                                <a:srgbClr val="646464"/>
                              </a:solidFill>
                              <a:latin typeface="Arial"/>
                              <a:ea typeface="+mn-ea"/>
                              <a:cs typeface="Arial"/>
                            </a:rPr>
                            <a:pPr marL="0" indent="0" algn="ctr" defTabSz="914400" rtl="0" eaLnBrk="1" latinLnBrk="0" hangingPunct="1"/>
                            <a:t> </a:t>
                          </a:fld>
                          <a:endParaRPr lang="en-US" sz="1000" b="1" i="0" u="none" strike="noStrike" kern="1200">
                            <a:solidFill>
                              <a:srgbClr val="646464"/>
                            </a:solidFill>
                            <a:latin typeface="Arial"/>
                            <a:ea typeface="+mn-ea"/>
                            <a:cs typeface="Arial"/>
                          </a:endParaRPr>
                        </a:p>
                      </xdr:txBody>
                    </xdr:sp>
                    <xdr:sp macro="" textlink="'Charts Data'!$AW$9">
                      <xdr:nvSpPr>
                        <xdr:cNvPr id="241" name="TextBox 23">
                          <a:extLst>
                            <a:ext uri="{FF2B5EF4-FFF2-40B4-BE49-F238E27FC236}">
                              <a16:creationId xmlns:a16="http://schemas.microsoft.com/office/drawing/2014/main" id="{00000000-0008-0000-0000-0000F100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27391" y="8320300"/>
                          <a:ext cx="1152809" cy="249461"/>
                        </a:xfrm>
                        <a:prstGeom prst="rect">
                          <a:avLst/>
                        </a:prstGeom>
                        <a:noFill/>
                      </xdr:spPr>
                      <xdr:txBody>
                        <a:bodyPr wrap="square" rtlCol="0">
                          <a:noAutofit/>
                        </a:bodyPr>
                        <a:lstStyle>
                          <a:defPPr>
                            <a:defRPr lang="en-US"/>
                          </a:defPPr>
                          <a:lvl1pPr marL="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1pPr>
                          <a:lvl2pPr marL="4572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2pPr>
                          <a:lvl3pPr marL="9144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3pPr>
                          <a:lvl4pPr marL="13716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4pPr>
                          <a:lvl5pPr marL="18288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5pPr>
                          <a:lvl6pPr marL="22860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6pPr>
                          <a:lvl7pPr marL="27432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7pPr>
                          <a:lvl8pPr marL="32004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8pPr>
                          <a:lvl9pPr marL="36576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9pPr>
                        </a:lstStyle>
                        <a:p>
                          <a:pPr marL="0" indent="0" algn="ctr" defTabSz="914400" rtl="0" eaLnBrk="1" latinLnBrk="0" hangingPunct="1"/>
                          <a:fld id="{E47B445F-16A0-4E7B-876A-F75D405945FF}" type="TxLink">
                            <a:rPr lang="en-US" sz="1000" b="1" i="0" u="none" strike="noStrike" kern="1200">
                              <a:solidFill>
                                <a:srgbClr val="646464"/>
                              </a:solidFill>
                              <a:latin typeface="Arial"/>
                              <a:ea typeface="+mn-ea"/>
                              <a:cs typeface="Arial"/>
                            </a:rPr>
                            <a:pPr marL="0" indent="0" algn="ctr" defTabSz="914400" rtl="0" eaLnBrk="1" latinLnBrk="0" hangingPunct="1"/>
                            <a:t> </a:t>
                          </a:fld>
                          <a:endParaRPr lang="en-US" sz="1000" b="1" i="0" u="none" strike="noStrike" kern="1200">
                            <a:solidFill>
                              <a:srgbClr val="646464"/>
                            </a:solidFill>
                            <a:latin typeface="Arial"/>
                            <a:ea typeface="+mn-ea"/>
                            <a:cs typeface="Arial"/>
                          </a:endParaRPr>
                        </a:p>
                      </xdr:txBody>
                    </xdr:sp>
                    <xdr:sp macro="" textlink="'Charts Data'!$AX$9">
                      <xdr:nvSpPr>
                        <xdr:cNvPr id="242" name="TextBox 23">
                          <a:extLst>
                            <a:ext uri="{FF2B5EF4-FFF2-40B4-BE49-F238E27FC236}">
                              <a16:creationId xmlns:a16="http://schemas.microsoft.com/office/drawing/2014/main" id="{00000000-0008-0000-0000-0000F200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314834" y="8320300"/>
                          <a:ext cx="1152809" cy="249461"/>
                        </a:xfrm>
                        <a:prstGeom prst="rect">
                          <a:avLst/>
                        </a:prstGeom>
                        <a:noFill/>
                      </xdr:spPr>
                      <xdr:txBody>
                        <a:bodyPr wrap="square" rtlCol="0">
                          <a:noAutofit/>
                        </a:bodyPr>
                        <a:lstStyle>
                          <a:defPPr>
                            <a:defRPr lang="en-US"/>
                          </a:defPPr>
                          <a:lvl1pPr marL="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1pPr>
                          <a:lvl2pPr marL="4572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2pPr>
                          <a:lvl3pPr marL="9144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3pPr>
                          <a:lvl4pPr marL="13716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4pPr>
                          <a:lvl5pPr marL="18288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5pPr>
                          <a:lvl6pPr marL="22860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6pPr>
                          <a:lvl7pPr marL="27432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7pPr>
                          <a:lvl8pPr marL="32004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8pPr>
                          <a:lvl9pPr marL="36576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9pPr>
                        </a:lstStyle>
                        <a:p>
                          <a:pPr marL="0" indent="0" algn="ctr" defTabSz="914400" rtl="0" eaLnBrk="1" latinLnBrk="0" hangingPunct="1"/>
                          <a:fld id="{F33AA6B6-127D-4D67-9614-D32031EFC1E2}" type="TxLink">
                            <a:rPr lang="en-US" sz="1000" b="1" i="0" u="none" strike="noStrike" kern="1200">
                              <a:solidFill>
                                <a:srgbClr val="646464"/>
                              </a:solidFill>
                              <a:latin typeface="Arial"/>
                              <a:ea typeface="+mn-ea"/>
                              <a:cs typeface="Arial"/>
                            </a:rPr>
                            <a:pPr marL="0" indent="0" algn="ctr" defTabSz="914400" rtl="0" eaLnBrk="1" latinLnBrk="0" hangingPunct="1"/>
                            <a:t> </a:t>
                          </a:fld>
                          <a:endParaRPr lang="en-US" sz="1000" b="1" i="0" u="none" strike="noStrike" kern="1200">
                            <a:solidFill>
                              <a:srgbClr val="646464"/>
                            </a:solidFill>
                            <a:latin typeface="Arial"/>
                            <a:ea typeface="+mn-ea"/>
                            <a:cs typeface="Arial"/>
                          </a:endParaRPr>
                        </a:p>
                      </xdr:txBody>
                    </xdr:sp>
                    <xdr:sp macro="" textlink="'Charts Data'!$AY$9">
                      <xdr:nvSpPr>
                        <xdr:cNvPr id="243" name="P6_Max">
                          <a:extLst>
                            <a:ext uri="{FF2B5EF4-FFF2-40B4-BE49-F238E27FC236}">
                              <a16:creationId xmlns:a16="http://schemas.microsoft.com/office/drawing/2014/main" id="{00000000-0008-0000-0000-0000F300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586402" y="8320296"/>
                          <a:ext cx="1495400" cy="219894"/>
                        </a:xfrm>
                        <a:prstGeom prst="rect">
                          <a:avLst/>
                        </a:prstGeom>
                        <a:noFill/>
                      </xdr:spPr>
                      <xdr:txBody>
                        <a:bodyPr wrap="square" rtlCol="0">
                          <a:noAutofit/>
                        </a:bodyPr>
                        <a:lstStyle>
                          <a:defPPr>
                            <a:defRPr lang="en-US"/>
                          </a:defPPr>
                          <a:lvl1pPr marL="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1pPr>
                          <a:lvl2pPr marL="4572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2pPr>
                          <a:lvl3pPr marL="9144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3pPr>
                          <a:lvl4pPr marL="13716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4pPr>
                          <a:lvl5pPr marL="18288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5pPr>
                          <a:lvl6pPr marL="22860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6pPr>
                          <a:lvl7pPr marL="27432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7pPr>
                          <a:lvl8pPr marL="32004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8pPr>
                          <a:lvl9pPr marL="36576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9pPr>
                        </a:lstStyle>
                        <a:p>
                          <a:pPr marL="0" indent="0" algn="r" defTabSz="914400" rtl="0" eaLnBrk="1" latinLnBrk="0" hangingPunct="1"/>
                          <a:fld id="{A13F19C0-0BEA-42D0-A72E-084D09F3E52B}" type="TxLink">
                            <a:rPr lang="en-US" sz="1000" b="1" i="0" u="none" strike="noStrike" kern="1200">
                              <a:solidFill>
                                <a:srgbClr val="646464"/>
                              </a:solidFill>
                              <a:latin typeface="Arial"/>
                              <a:ea typeface="+mn-ea"/>
                              <a:cs typeface="Arial"/>
                            </a:rPr>
                            <a:pPr marL="0" indent="0" algn="r" defTabSz="914400" rtl="0" eaLnBrk="1" latinLnBrk="0" hangingPunct="1"/>
                            <a:t> </a:t>
                          </a:fld>
                          <a:endParaRPr lang="en-US" sz="1000" b="1" i="0" u="none" strike="noStrike" kern="1200">
                            <a:solidFill>
                              <a:srgbClr val="646464"/>
                            </a:solidFill>
                            <a:latin typeface="Arial"/>
                            <a:ea typeface="+mn-ea"/>
                            <a:cs typeface="Arial"/>
                          </a:endParaRPr>
                        </a:p>
                      </xdr:txBody>
                    </xdr:sp>
                    <xdr:sp macro="" textlink="'Charts Data'!$AT$9">
                      <xdr:nvSpPr>
                        <xdr:cNvPr id="244" name="TextBox 10">
                          <a:extLst>
                            <a:ext uri="{FF2B5EF4-FFF2-40B4-BE49-F238E27FC236}">
                              <a16:creationId xmlns:a16="http://schemas.microsoft.com/office/drawing/2014/main" id="{00000000-0008-0000-0000-0000F400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806" y="7747530"/>
                          <a:ext cx="1864800" cy="485079"/>
                        </a:xfrm>
                        <a:prstGeom prst="rect">
                          <a:avLst/>
                        </a:prstGeom>
                        <a:noFill/>
                      </xdr:spPr>
                      <xdr:txBody>
                        <a:bodyPr wrap="square" rtlCol="0" anchor="ctr">
                          <a:spAutoFit/>
                        </a:bodyPr>
                        <a:lstStyle>
                          <a:defPPr>
                            <a:defRPr lang="en-US"/>
                          </a:defPPr>
                          <a:lvl1pPr marL="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1pPr>
                          <a:lvl2pPr marL="4572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2pPr>
                          <a:lvl3pPr marL="9144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3pPr>
                          <a:lvl4pPr marL="13716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4pPr>
                          <a:lvl5pPr marL="18288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5pPr>
                          <a:lvl6pPr marL="22860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6pPr>
                          <a:lvl7pPr marL="27432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7pPr>
                          <a:lvl8pPr marL="32004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8pPr>
                          <a:lvl9pPr marL="36576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9pPr>
                        </a:lstStyle>
                        <a:p>
                          <a:pPr marL="0" indent="0" algn="l" defTabSz="914400" rtl="0" eaLnBrk="1" latinLnBrk="0" hangingPunct="1"/>
                          <a:fld id="{7DCDB796-D55B-45BC-B867-D669EA5F60D0}" type="TxLink">
                            <a:rPr lang="en-US" sz="1000" b="1" i="0" u="none" strike="noStrike" kern="1200">
                              <a:solidFill>
                                <a:srgbClr val="646464"/>
                              </a:solidFill>
                              <a:latin typeface="Arial"/>
                              <a:ea typeface="+mn-ea"/>
                              <a:cs typeface="Arial"/>
                            </a:rPr>
                            <a:pPr marL="0" indent="0" algn="l" defTabSz="914400" rtl="0" eaLnBrk="1" latinLnBrk="0" hangingPunct="1"/>
                            <a:t>Revenue per Employee (in USD)</a:t>
                          </a:fld>
                          <a:endParaRPr lang="en-US" sz="1000" b="1" i="0" u="none" strike="noStrike" kern="1200">
                            <a:solidFill>
                              <a:srgbClr val="646464"/>
                            </a:solidFill>
                            <a:latin typeface="Arial"/>
                            <a:ea typeface="+mn-ea"/>
                            <a:cs typeface="Arial"/>
                          </a:endParaRPr>
                        </a:p>
                      </xdr:txBody>
                    </xdr:sp>
                    <xdr:grpSp>
                      <xdr:nvGrpSpPr>
                        <xdr:cNvPr id="245" name="Group 244">
                          <a:extLst>
                            <a:ext uri="{FF2B5EF4-FFF2-40B4-BE49-F238E27FC236}">
                              <a16:creationId xmlns:a16="http://schemas.microsoft.com/office/drawing/2014/main" id="{00000000-0008-0000-0000-0000F5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886722" y="7765393"/>
                          <a:ext cx="7982713" cy="452170"/>
                          <a:chOff x="1886722" y="7765393"/>
                          <a:chExt cx="7982713" cy="452170"/>
                        </a:xfrm>
                      </xdr:grpSpPr>
                      <xdr:sp macro="" textlink="'Charts Data'!$BA$9">
                        <xdr:nvSpPr>
                          <xdr:cNvPr id="246" name="P6_Bar">
                            <a:extLst>
                              <a:ext uri="{FF2B5EF4-FFF2-40B4-BE49-F238E27FC236}">
                                <a16:creationId xmlns:a16="http://schemas.microsoft.com/office/drawing/2014/main" id="{00000000-0008-0000-0000-0000F600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1886722" y="7788460"/>
                            <a:ext cx="7982713" cy="405798"/>
                          </a:xfrm>
                          <a:prstGeom prst="rect">
                            <a:avLst/>
                          </a:prstGeom>
                          <a:solidFill>
                            <a:srgbClr val="002B49"/>
                          </a:solidFill>
                          <a:ln>
                            <a:noFill/>
                          </a:ln>
                          <a:effectLst/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ctr"/>
                          <a:lstStyle/>
                          <a:p>
                            <a:pPr marL="0" indent="0" algn="ctr"/>
                            <a:fld id="{A203EC86-AF88-44BD-A6EC-94509803F028}" type="TxLink">
                              <a:rPr lang="en-US" sz="1000" b="0" i="0" u="none" strike="noStrike">
                                <a:solidFill>
                                  <a:srgbClr val="002060"/>
                                </a:solidFill>
                                <a:latin typeface="Arial"/>
                                <a:ea typeface="+mn-ea"/>
                                <a:cs typeface="Arial"/>
                              </a:rPr>
                              <a:pPr marL="0" indent="0" algn="ctr"/>
                              <a:t> </a:t>
                            </a:fld>
                            <a:endParaRPr lang="en-US" sz="1000" b="0" i="0" u="none" strike="noStrike">
                              <a:solidFill>
                                <a:srgbClr val="002060"/>
                              </a:solidFill>
                              <a:latin typeface="Arial"/>
                              <a:ea typeface="+mn-ea"/>
                              <a:cs typeface="Arial"/>
                            </a:endParaRPr>
                          </a:p>
                        </xdr:txBody>
                      </xdr:sp>
                      <xdr:grpSp>
                        <xdr:nvGrpSpPr>
                          <xdr:cNvPr id="247" name="Group 246">
                            <a:extLst>
                              <a:ext uri="{FF2B5EF4-FFF2-40B4-BE49-F238E27FC236}">
                                <a16:creationId xmlns:a16="http://schemas.microsoft.com/office/drawing/2014/main" id="{00000000-0008-0000-0000-0000F7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3927174" y="7765393"/>
                            <a:ext cx="3991684" cy="452170"/>
                            <a:chOff x="3927174" y="7765393"/>
                            <a:chExt cx="3991684" cy="452170"/>
                          </a:xfrm>
                        </xdr:grpSpPr>
                        <xdr:cxnSp macro="">
                          <xdr:nvCxnSpPr>
                            <xdr:cNvPr id="248" name="Straight Connector 247">
                              <a:extLst>
                                <a:ext uri="{FF2B5EF4-FFF2-40B4-BE49-F238E27FC236}">
                                  <a16:creationId xmlns:a16="http://schemas.microsoft.com/office/drawing/2014/main" id="{00000000-0008-0000-0000-0000F8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5931920" y="7765396"/>
                              <a:ext cx="0" cy="452167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FFFFFF"/>
                              </a:solidFill>
                            </a:ln>
                            <a:effectLst/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cxnSp macro="">
                          <xdr:nvCxnSpPr>
                            <xdr:cNvPr id="249" name="Straight Connector 248">
                              <a:extLst>
                                <a:ext uri="{FF2B5EF4-FFF2-40B4-BE49-F238E27FC236}">
                                  <a16:creationId xmlns:a16="http://schemas.microsoft.com/office/drawing/2014/main" id="{00000000-0008-0000-0000-0000F9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3927174" y="7765401"/>
                              <a:ext cx="0" cy="452162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FFFFFF"/>
                              </a:solidFill>
                            </a:ln>
                            <a:effectLst/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cxnSp macro="">
                          <xdr:nvCxnSpPr>
                            <xdr:cNvPr id="250" name="Straight Connector 249">
                              <a:extLst>
                                <a:ext uri="{FF2B5EF4-FFF2-40B4-BE49-F238E27FC236}">
                                  <a16:creationId xmlns:a16="http://schemas.microsoft.com/office/drawing/2014/main" id="{00000000-0008-0000-0000-0000FA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7918858" y="7765393"/>
                              <a:ext cx="0" cy="452166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FFFFFF"/>
                              </a:solidFill>
                            </a:ln>
                            <a:effectLst/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</xdr:grpSp>
                  </xdr:grpSp>
                  <xdr:sp macro="" textlink="'Charts Data'!$AZ$9">
                    <xdr:nvSpPr>
                      <xdr:cNvPr id="238" name="P6_Label">
                        <a:extLst>
                          <a:ext uri="{FF2B5EF4-FFF2-40B4-BE49-F238E27FC236}">
                            <a16:creationId xmlns:a16="http://schemas.microsoft.com/office/drawing/2014/main" id="{00000000-0008-0000-0000-0000EE00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303955" y="7841449"/>
                        <a:ext cx="1385051" cy="289885"/>
                      </a:xfrm>
                      <a:prstGeom prst="rect">
                        <a:avLst/>
                      </a:prstGeom>
                      <a:noFill/>
                    </xdr:spPr>
                    <xdr:txBody>
                      <a:bodyPr wrap="square" rtlCol="0">
                        <a:noAutofit/>
                      </a:bodyPr>
                      <a:lstStyle>
                        <a:defPPr>
                          <a:defRPr lang="en-US"/>
                        </a:defPPr>
                        <a:lvl1pPr marL="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1pPr>
                        <a:lvl2pPr marL="4572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2pPr>
                        <a:lvl3pPr marL="9144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3pPr>
                        <a:lvl4pPr marL="13716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4pPr>
                        <a:lvl5pPr marL="18288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5pPr>
                        <a:lvl6pPr marL="22860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6pPr>
                        <a:lvl7pPr marL="27432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7pPr>
                        <a:lvl8pPr marL="32004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8pPr>
                        <a:lvl9pPr marL="36576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9pPr>
                      </a:lstStyle>
                      <a:p>
                        <a:pPr marL="0" indent="0" algn="r" defTabSz="914400" rtl="0" eaLnBrk="1" latinLnBrk="0" hangingPunct="1"/>
                        <a:fld id="{2055D7F0-7FF8-44F8-B1E0-B941364409A5}" type="TxLink">
                          <a:rPr lang="en-US" sz="1000" b="1" i="1" u="none" strike="noStrike" kern="1200">
                            <a:solidFill>
                              <a:srgbClr val="F9C20A"/>
                            </a:solidFill>
                            <a:latin typeface="Arial"/>
                            <a:ea typeface="+mn-ea"/>
                            <a:cs typeface="Arial"/>
                          </a:rPr>
                          <a:pPr marL="0" indent="0" algn="r" defTabSz="914400" rtl="0" eaLnBrk="1" latinLnBrk="0" hangingPunct="1"/>
                          <a:t> </a:t>
                        </a:fld>
                        <a:endParaRPr lang="en-US" sz="1000" b="1" i="1" u="none" strike="noStrike" kern="1200">
                          <a:solidFill>
                            <a:srgbClr val="F9C20A"/>
                          </a:solidFill>
                          <a:latin typeface="Arial"/>
                          <a:ea typeface="+mn-ea"/>
                          <a:cs typeface="Arial"/>
                        </a:endParaRPr>
                      </a:p>
                    </xdr:txBody>
                  </xdr:sp>
                </xdr:grpSp>
                <xdr:grpSp>
                  <xdr:nvGrpSpPr>
                    <xdr:cNvPr id="210" name="Group 209">
                      <a:extLst>
                        <a:ext uri="{FF2B5EF4-FFF2-40B4-BE49-F238E27FC236}">
                          <a16:creationId xmlns:a16="http://schemas.microsoft.com/office/drawing/2014/main" id="{00000000-0008-0000-0000-0000D2000000}"/>
                        </a:ext>
                      </a:extLst>
                    </xdr:cNvPr>
                    <xdr:cNvGrpSpPr/>
                  </xdr:nvGrpSpPr>
                  <xdr:grpSpPr>
                    <a:xfrm>
                      <a:off x="586602" y="4201059"/>
                      <a:ext cx="7876656" cy="594836"/>
                      <a:chOff x="10193245" y="2527380"/>
                      <a:chExt cx="7876656" cy="594836"/>
                    </a:xfrm>
                  </xdr:grpSpPr>
                  <xdr:sp macro="" textlink="'Charts Data'!$AT$6">
                    <xdr:nvSpPr>
                      <xdr:cNvPr id="225" name="TextBox 10">
                        <a:extLst>
                          <a:ext uri="{FF2B5EF4-FFF2-40B4-BE49-F238E27FC236}">
                            <a16:creationId xmlns:a16="http://schemas.microsoft.com/office/drawing/2014/main" id="{00000000-0008-0000-0000-0000E100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0193245" y="2558204"/>
                        <a:ext cx="1545447" cy="239809"/>
                      </a:xfrm>
                      <a:prstGeom prst="rect">
                        <a:avLst/>
                      </a:prstGeom>
                      <a:noFill/>
                    </xdr:spPr>
                    <xdr:txBody>
                      <a:bodyPr wrap="square" rtlCol="0" anchor="ctr">
                        <a:spAutoFit/>
                      </a:bodyPr>
                      <a:lstStyle>
                        <a:defPPr>
                          <a:defRPr lang="en-US"/>
                        </a:defPPr>
                        <a:lvl1pPr marL="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1pPr>
                        <a:lvl2pPr marL="4572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2pPr>
                        <a:lvl3pPr marL="9144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3pPr>
                        <a:lvl4pPr marL="13716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4pPr>
                        <a:lvl5pPr marL="18288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5pPr>
                        <a:lvl6pPr marL="22860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6pPr>
                        <a:lvl7pPr marL="27432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7pPr>
                        <a:lvl8pPr marL="32004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8pPr>
                        <a:lvl9pPr marL="36576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9pPr>
                      </a:lstStyle>
                      <a:p>
                        <a:pPr marL="0" indent="0" algn="l" defTabSz="914400" rtl="0" eaLnBrk="1" latinLnBrk="0" hangingPunct="1"/>
                        <a:fld id="{193A22D1-2644-4410-8A95-DC7445E2AC68}" type="TxLink">
                          <a:rPr lang="en-US" sz="1000" b="1" i="0" u="none" strike="noStrike" kern="1200">
                            <a:solidFill>
                              <a:srgbClr val="646464"/>
                            </a:solidFill>
                            <a:latin typeface="Arial"/>
                            <a:ea typeface="+mn-ea"/>
                            <a:cs typeface="Arial"/>
                          </a:rPr>
                          <a:pPr marL="0" indent="0" algn="l" defTabSz="914400" rtl="0" eaLnBrk="1" latinLnBrk="0" hangingPunct="1"/>
                          <a:t>Gross Margin %</a:t>
                        </a:fld>
                        <a:endParaRPr lang="en-US" sz="1000" b="1" i="0" u="none" strike="noStrike" kern="1200">
                          <a:solidFill>
                            <a:srgbClr val="646464"/>
                          </a:solidFill>
                          <a:latin typeface="Arial"/>
                          <a:ea typeface="+mn-ea"/>
                          <a:cs typeface="Arial"/>
                        </a:endParaRPr>
                      </a:p>
                    </xdr:txBody>
                  </xdr:sp>
                  <xdr:sp macro="" textlink="'Charts Data'!$AU$6">
                    <xdr:nvSpPr>
                      <xdr:cNvPr id="226" name="P4_Min">
                        <a:extLst>
                          <a:ext uri="{FF2B5EF4-FFF2-40B4-BE49-F238E27FC236}">
                            <a16:creationId xmlns:a16="http://schemas.microsoft.com/office/drawing/2014/main" id="{00000000-0008-0000-0000-0000E200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1424037" y="2882415"/>
                        <a:ext cx="820899" cy="239801"/>
                      </a:xfrm>
                      <a:prstGeom prst="rect">
                        <a:avLst/>
                      </a:prstGeom>
                      <a:noFill/>
                    </xdr:spPr>
                    <xdr:txBody>
                      <a:bodyPr wrap="square" rtlCol="0">
                        <a:noAutofit/>
                      </a:bodyPr>
                      <a:lstStyle>
                        <a:defPPr>
                          <a:defRPr lang="en-US"/>
                        </a:defPPr>
                        <a:lvl1pPr marL="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1pPr>
                        <a:lvl2pPr marL="4572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2pPr>
                        <a:lvl3pPr marL="9144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3pPr>
                        <a:lvl4pPr marL="13716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4pPr>
                        <a:lvl5pPr marL="18288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5pPr>
                        <a:lvl6pPr marL="22860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6pPr>
                        <a:lvl7pPr marL="27432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7pPr>
                        <a:lvl8pPr marL="32004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8pPr>
                        <a:lvl9pPr marL="36576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9pPr>
                      </a:lstStyle>
                      <a:p>
                        <a:pPr marL="0" indent="0" algn="l" defTabSz="914400" rtl="0" eaLnBrk="1" latinLnBrk="0" hangingPunct="1"/>
                        <a:fld id="{B5854DF9-1401-444E-BC76-4ECFFEC80E67}" type="TxLink">
                          <a:rPr lang="en-US" sz="1000" b="1" i="0" u="none" strike="noStrike" kern="1200">
                            <a:solidFill>
                              <a:srgbClr val="646464"/>
                            </a:solidFill>
                            <a:latin typeface="Arial"/>
                            <a:ea typeface="+mn-ea"/>
                            <a:cs typeface="Arial"/>
                          </a:rPr>
                          <a:pPr marL="0" indent="0" algn="l" defTabSz="914400" rtl="0" eaLnBrk="1" latinLnBrk="0" hangingPunct="1"/>
                          <a:t> </a:t>
                        </a:fld>
                        <a:endParaRPr lang="en-US" sz="1000" b="1" i="0" u="none" strike="noStrike" kern="1200">
                          <a:solidFill>
                            <a:srgbClr val="646464"/>
                          </a:solidFill>
                          <a:latin typeface="Arial"/>
                          <a:ea typeface="+mn-ea"/>
                          <a:cs typeface="Arial"/>
                        </a:endParaRPr>
                      </a:p>
                    </xdr:txBody>
                  </xdr:sp>
                  <xdr:sp macro="" textlink="'Charts Data'!$AV$6">
                    <xdr:nvSpPr>
                      <xdr:cNvPr id="227" name="TextBox 23">
                        <a:extLst>
                          <a:ext uri="{FF2B5EF4-FFF2-40B4-BE49-F238E27FC236}">
                            <a16:creationId xmlns:a16="http://schemas.microsoft.com/office/drawing/2014/main" id="{00000000-0008-0000-0000-0000E300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834510" y="2864551"/>
                        <a:ext cx="820899" cy="239801"/>
                      </a:xfrm>
                      <a:prstGeom prst="rect">
                        <a:avLst/>
                      </a:prstGeom>
                      <a:noFill/>
                    </xdr:spPr>
                    <xdr:txBody>
                      <a:bodyPr wrap="square" rtlCol="0">
                        <a:noAutofit/>
                      </a:bodyPr>
                      <a:lstStyle>
                        <a:defPPr>
                          <a:defRPr lang="en-US"/>
                        </a:defPPr>
                        <a:lvl1pPr marL="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1pPr>
                        <a:lvl2pPr marL="4572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2pPr>
                        <a:lvl3pPr marL="9144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3pPr>
                        <a:lvl4pPr marL="13716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4pPr>
                        <a:lvl5pPr marL="18288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5pPr>
                        <a:lvl6pPr marL="22860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6pPr>
                        <a:lvl7pPr marL="27432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7pPr>
                        <a:lvl8pPr marL="32004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8pPr>
                        <a:lvl9pPr marL="36576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9pPr>
                      </a:lstStyle>
                      <a:p>
                        <a:pPr marL="0" indent="0" algn="ctr" defTabSz="914400" rtl="0" eaLnBrk="1" latinLnBrk="0" hangingPunct="1"/>
                        <a:fld id="{E593960E-BA0E-4979-9A9F-EB00CC1416AF}" type="TxLink">
                          <a:rPr lang="en-US" sz="1000" b="1" i="0" u="none" strike="noStrike" kern="1200">
                            <a:solidFill>
                              <a:srgbClr val="646464"/>
                            </a:solidFill>
                            <a:latin typeface="Arial"/>
                            <a:ea typeface="+mn-ea"/>
                            <a:cs typeface="Arial"/>
                          </a:rPr>
                          <a:pPr marL="0" indent="0" algn="ctr" defTabSz="914400" rtl="0" eaLnBrk="1" latinLnBrk="0" hangingPunct="1"/>
                          <a:t> </a:t>
                        </a:fld>
                        <a:endParaRPr lang="en-US" sz="1000" b="1" i="0" u="none" strike="noStrike" kern="1200">
                          <a:solidFill>
                            <a:srgbClr val="646464"/>
                          </a:solidFill>
                          <a:latin typeface="Arial"/>
                          <a:ea typeface="+mn-ea"/>
                          <a:cs typeface="Arial"/>
                        </a:endParaRPr>
                      </a:p>
                    </xdr:txBody>
                  </xdr:sp>
                  <xdr:sp macro="" textlink="#REF!">
                    <xdr:nvSpPr>
                      <xdr:cNvPr id="228" name="TextBox 23">
                        <a:extLst>
                          <a:ext uri="{FF2B5EF4-FFF2-40B4-BE49-F238E27FC236}">
                            <a16:creationId xmlns:a16="http://schemas.microsoft.com/office/drawing/2014/main" id="{00000000-0008-0000-0000-0000E400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411111" y="2649794"/>
                        <a:ext cx="820899" cy="239801"/>
                      </a:xfrm>
                      <a:prstGeom prst="rect">
                        <a:avLst/>
                      </a:prstGeom>
                      <a:noFill/>
                    </xdr:spPr>
                    <xdr:txBody>
                      <a:bodyPr wrap="square" rtlCol="0">
                        <a:noAutofit/>
                      </a:bodyPr>
                      <a:lstStyle>
                        <a:defPPr>
                          <a:defRPr lang="en-US"/>
                        </a:defPPr>
                        <a:lvl1pPr marL="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1pPr>
                        <a:lvl2pPr marL="4572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2pPr>
                        <a:lvl3pPr marL="9144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3pPr>
                        <a:lvl4pPr marL="13716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4pPr>
                        <a:lvl5pPr marL="18288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5pPr>
                        <a:lvl6pPr marL="22860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6pPr>
                        <a:lvl7pPr marL="27432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7pPr>
                        <a:lvl8pPr marL="32004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8pPr>
                        <a:lvl9pPr marL="36576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9pPr>
                      </a:lstStyle>
                      <a:p>
                        <a:pPr algn="ctr"/>
                        <a:fld id="{A28D1D48-0DE6-4DB3-9ED3-B695FFB6FA03}" type="TxLink">
                          <a:rPr lang="en-US" sz="1000" b="1" i="0" u="none" strike="noStrike">
                            <a:solidFill>
                              <a:srgbClr val="000000"/>
                            </a:solidFill>
                            <a:latin typeface="Arial"/>
                            <a:cs typeface="Arial"/>
                          </a:rPr>
                          <a:pPr algn="ctr"/>
                          <a:t>41%</a:t>
                        </a:fld>
                        <a:endParaRPr lang="en-US" sz="1000" b="1">
                          <a:latin typeface="Arial" panose="020B0604020202020204" pitchFamily="34" charset="0"/>
                          <a:cs typeface="Arial" panose="020B0604020202020204" pitchFamily="34" charset="0"/>
                        </a:endParaRPr>
                      </a:p>
                    </xdr:txBody>
                  </xdr:sp>
                  <xdr:sp macro="" textlink="'Charts Data'!$AX$6">
                    <xdr:nvSpPr>
                      <xdr:cNvPr id="229" name="TextBox 23">
                        <a:extLst>
                          <a:ext uri="{FF2B5EF4-FFF2-40B4-BE49-F238E27FC236}">
                            <a16:creationId xmlns:a16="http://schemas.microsoft.com/office/drawing/2014/main" id="{00000000-0008-0000-0000-0000E500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5976228" y="2882415"/>
                        <a:ext cx="823863" cy="239801"/>
                      </a:xfrm>
                      <a:prstGeom prst="rect">
                        <a:avLst/>
                      </a:prstGeom>
                      <a:noFill/>
                    </xdr:spPr>
                    <xdr:txBody>
                      <a:bodyPr wrap="square" rtlCol="0">
                        <a:noAutofit/>
                      </a:bodyPr>
                      <a:lstStyle>
                        <a:defPPr>
                          <a:defRPr lang="en-US"/>
                        </a:defPPr>
                        <a:lvl1pPr marL="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1pPr>
                        <a:lvl2pPr marL="4572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2pPr>
                        <a:lvl3pPr marL="9144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3pPr>
                        <a:lvl4pPr marL="13716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4pPr>
                        <a:lvl5pPr marL="18288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5pPr>
                        <a:lvl6pPr marL="22860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6pPr>
                        <a:lvl7pPr marL="27432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7pPr>
                        <a:lvl8pPr marL="32004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8pPr>
                        <a:lvl9pPr marL="36576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9pPr>
                      </a:lstStyle>
                      <a:p>
                        <a:pPr marL="0" indent="0" algn="ctr" defTabSz="914400" rtl="0" eaLnBrk="1" latinLnBrk="0" hangingPunct="1"/>
                        <a:fld id="{7214ED0D-5DA1-476B-9BCB-22576BA30FC1}" type="TxLink">
                          <a:rPr lang="en-US" sz="1000" b="1" i="0" u="none" strike="noStrike" kern="1200">
                            <a:solidFill>
                              <a:srgbClr val="646464"/>
                            </a:solidFill>
                            <a:latin typeface="Arial"/>
                            <a:ea typeface="+mn-ea"/>
                            <a:cs typeface="Arial"/>
                          </a:rPr>
                          <a:pPr marL="0" indent="0" algn="ctr" defTabSz="914400" rtl="0" eaLnBrk="1" latinLnBrk="0" hangingPunct="1"/>
                          <a:t> </a:t>
                        </a:fld>
                        <a:endParaRPr lang="en-US" sz="1000" b="1" i="0" u="none" strike="noStrike" kern="1200">
                          <a:solidFill>
                            <a:srgbClr val="646464"/>
                          </a:solidFill>
                          <a:latin typeface="Arial"/>
                          <a:ea typeface="+mn-ea"/>
                          <a:cs typeface="Arial"/>
                        </a:endParaRPr>
                      </a:p>
                    </xdr:txBody>
                  </xdr:sp>
                  <xdr:sp macro="" textlink="'Charts Data'!$AY$6">
                    <xdr:nvSpPr>
                      <xdr:cNvPr id="230" name="P4_Max">
                        <a:extLst>
                          <a:ext uri="{FF2B5EF4-FFF2-40B4-BE49-F238E27FC236}">
                            <a16:creationId xmlns:a16="http://schemas.microsoft.com/office/drawing/2014/main" id="{00000000-0008-0000-0000-0000E600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108073" y="2882418"/>
                        <a:ext cx="961828" cy="209278"/>
                      </a:xfrm>
                      <a:prstGeom prst="rect">
                        <a:avLst/>
                      </a:prstGeom>
                      <a:noFill/>
                    </xdr:spPr>
                    <xdr:txBody>
                      <a:bodyPr wrap="square" rtlCol="0">
                        <a:noAutofit/>
                      </a:bodyPr>
                      <a:lstStyle>
                        <a:defPPr>
                          <a:defRPr lang="en-US"/>
                        </a:defPPr>
                        <a:lvl1pPr marL="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1pPr>
                        <a:lvl2pPr marL="4572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2pPr>
                        <a:lvl3pPr marL="9144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3pPr>
                        <a:lvl4pPr marL="13716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4pPr>
                        <a:lvl5pPr marL="18288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5pPr>
                        <a:lvl6pPr marL="22860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6pPr>
                        <a:lvl7pPr marL="27432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7pPr>
                        <a:lvl8pPr marL="32004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8pPr>
                        <a:lvl9pPr marL="36576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9pPr>
                      </a:lstStyle>
                      <a:p>
                        <a:pPr marL="0" indent="0" algn="r" defTabSz="914400" rtl="0" eaLnBrk="1" latinLnBrk="0" hangingPunct="1"/>
                        <a:fld id="{EBE3AF8E-739B-4A29-969F-1ED007568D47}" type="TxLink">
                          <a:rPr lang="en-US" sz="1000" b="1" i="0" u="none" strike="noStrike" kern="1200">
                            <a:solidFill>
                              <a:srgbClr val="646464"/>
                            </a:solidFill>
                            <a:latin typeface="Arial"/>
                            <a:ea typeface="+mn-ea"/>
                            <a:cs typeface="Arial"/>
                          </a:rPr>
                          <a:pPr marL="0" indent="0" algn="r" defTabSz="914400" rtl="0" eaLnBrk="1" latinLnBrk="0" hangingPunct="1"/>
                          <a:t> </a:t>
                        </a:fld>
                        <a:endParaRPr lang="en-US" sz="1000" b="1" i="0" u="none" strike="noStrike" kern="1200">
                          <a:solidFill>
                            <a:srgbClr val="646464"/>
                          </a:solidFill>
                          <a:latin typeface="Arial"/>
                          <a:ea typeface="+mn-ea"/>
                          <a:cs typeface="Arial"/>
                        </a:endParaRPr>
                      </a:p>
                    </xdr:txBody>
                  </xdr:sp>
                  <xdr:sp macro="" textlink="'Charts Data'!$BA$6">
                    <xdr:nvSpPr>
                      <xdr:cNvPr id="231" name="P3_Bar">
                        <a:extLst>
                          <a:ext uri="{FF2B5EF4-FFF2-40B4-BE49-F238E27FC236}">
                            <a16:creationId xmlns:a16="http://schemas.microsoft.com/office/drawing/2014/main" id="{00000000-0008-0000-0000-0000E7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11614915" y="2534019"/>
                        <a:ext cx="6287725" cy="311452"/>
                      </a:xfrm>
                      <a:prstGeom prst="rect">
                        <a:avLst/>
                      </a:prstGeom>
                      <a:solidFill>
                        <a:srgbClr val="002B49"/>
                      </a:solidFill>
                      <a:ln>
                        <a:noFill/>
                      </a:ln>
                      <a:effectLst/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marL="0" indent="0" algn="ctr"/>
                        <a:fld id="{EF0D6C66-D02B-488A-9E4A-AC43CD78FBB5}" type="TxLink">
                          <a:rPr lang="en-US" sz="1000" b="0" i="0" u="none" strike="noStrike">
                            <a:solidFill>
                              <a:srgbClr val="002060"/>
                            </a:solidFill>
                            <a:latin typeface="Arial"/>
                            <a:ea typeface="+mn-ea"/>
                            <a:cs typeface="Arial"/>
                          </a:rPr>
                          <a:pPr marL="0" indent="0" algn="ctr"/>
                          <a:t> </a:t>
                        </a:fld>
                        <a:endParaRPr lang="en-US" sz="1000" b="0" i="0" u="none" strike="noStrike">
                          <a:solidFill>
                            <a:srgbClr val="002060"/>
                          </a:solidFill>
                          <a:latin typeface="Arial"/>
                          <a:ea typeface="+mn-ea"/>
                          <a:cs typeface="Arial"/>
                        </a:endParaRPr>
                      </a:p>
                    </xdr:txBody>
                  </xdr:sp>
                  <xdr:cxnSp macro="">
                    <xdr:nvCxnSpPr>
                      <xdr:cNvPr id="232" name="Straight Connector 231">
                        <a:extLst>
                          <a:ext uri="{FF2B5EF4-FFF2-40B4-BE49-F238E27FC236}">
                            <a16:creationId xmlns:a16="http://schemas.microsoft.com/office/drawing/2014/main" id="{00000000-0008-0000-0000-0000E8000000}"/>
                          </a:ext>
                        </a:extLst>
                      </xdr:cNvPr>
                      <xdr:cNvCxnSpPr/>
                    </xdr:nvCxnSpPr>
                    <xdr:spPr>
                      <a:xfrm>
                        <a:off x="14811559" y="2527380"/>
                        <a:ext cx="0" cy="347032"/>
                      </a:xfrm>
                      <a:prstGeom prst="line">
                        <a:avLst/>
                      </a:prstGeom>
                      <a:ln w="19050">
                        <a:solidFill>
                          <a:srgbClr val="FFFFFF"/>
                        </a:solidFill>
                      </a:ln>
                      <a:effectLst/>
                    </xdr:spPr>
                    <xdr:style>
                      <a:lnRef idx="1">
                        <a:schemeClr val="accent1"/>
                      </a:lnRef>
                      <a:fillRef idx="0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tx1"/>
                      </a:fontRef>
                    </xdr:style>
                  </xdr:cxnSp>
                  <xdr:cxnSp macro="">
                    <xdr:nvCxnSpPr>
                      <xdr:cNvPr id="233" name="Straight Connector 232">
                        <a:extLst>
                          <a:ext uri="{FF2B5EF4-FFF2-40B4-BE49-F238E27FC236}">
                            <a16:creationId xmlns:a16="http://schemas.microsoft.com/office/drawing/2014/main" id="{00000000-0008-0000-0000-0000E9000000}"/>
                          </a:ext>
                        </a:extLst>
                      </xdr:cNvPr>
                      <xdr:cNvCxnSpPr/>
                    </xdr:nvCxnSpPr>
                    <xdr:spPr>
                      <a:xfrm>
                        <a:off x="13244696" y="2527380"/>
                        <a:ext cx="0" cy="347032"/>
                      </a:xfrm>
                      <a:prstGeom prst="line">
                        <a:avLst/>
                      </a:prstGeom>
                      <a:ln w="19050">
                        <a:solidFill>
                          <a:srgbClr val="FFFFFF"/>
                        </a:solidFill>
                      </a:ln>
                      <a:effectLst/>
                    </xdr:spPr>
                    <xdr:style>
                      <a:lnRef idx="1">
                        <a:schemeClr val="accent1"/>
                      </a:lnRef>
                      <a:fillRef idx="0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tx1"/>
                      </a:fontRef>
                    </xdr:style>
                  </xdr:cxnSp>
                  <xdr:cxnSp macro="">
                    <xdr:nvCxnSpPr>
                      <xdr:cNvPr id="234" name="Straight Connector 233">
                        <a:extLst>
                          <a:ext uri="{FF2B5EF4-FFF2-40B4-BE49-F238E27FC236}">
                            <a16:creationId xmlns:a16="http://schemas.microsoft.com/office/drawing/2014/main" id="{00000000-0008-0000-0000-0000EA000000}"/>
                          </a:ext>
                        </a:extLst>
                      </xdr:cNvPr>
                      <xdr:cNvCxnSpPr/>
                    </xdr:nvCxnSpPr>
                    <xdr:spPr>
                      <a:xfrm>
                        <a:off x="16388160" y="2527380"/>
                        <a:ext cx="0" cy="347032"/>
                      </a:xfrm>
                      <a:prstGeom prst="line">
                        <a:avLst/>
                      </a:prstGeom>
                      <a:ln w="19050">
                        <a:solidFill>
                          <a:srgbClr val="FFFFFF"/>
                        </a:solidFill>
                      </a:ln>
                      <a:effectLst/>
                    </xdr:spPr>
                    <xdr:style>
                      <a:lnRef idx="1">
                        <a:schemeClr val="accent1"/>
                      </a:lnRef>
                      <a:fillRef idx="0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tx1"/>
                      </a:fontRef>
                    </xdr:style>
                  </xdr:cxnSp>
                  <xdr:sp macro="" textlink="'Charts Data'!$AW$6">
                    <xdr:nvSpPr>
                      <xdr:cNvPr id="235" name="TextBox 23">
                        <a:extLst>
                          <a:ext uri="{FF2B5EF4-FFF2-40B4-BE49-F238E27FC236}">
                            <a16:creationId xmlns:a16="http://schemas.microsoft.com/office/drawing/2014/main" id="{00000000-0008-0000-0000-0000EB00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401772" y="2864552"/>
                        <a:ext cx="820899" cy="239801"/>
                      </a:xfrm>
                      <a:prstGeom prst="rect">
                        <a:avLst/>
                      </a:prstGeom>
                      <a:noFill/>
                    </xdr:spPr>
                    <xdr:txBody>
                      <a:bodyPr wrap="square" rtlCol="0">
                        <a:noAutofit/>
                      </a:bodyPr>
                      <a:lstStyle>
                        <a:defPPr>
                          <a:defRPr lang="en-US"/>
                        </a:defPPr>
                        <a:lvl1pPr marL="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1pPr>
                        <a:lvl2pPr marL="4572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2pPr>
                        <a:lvl3pPr marL="9144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3pPr>
                        <a:lvl4pPr marL="13716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4pPr>
                        <a:lvl5pPr marL="18288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5pPr>
                        <a:lvl6pPr marL="22860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6pPr>
                        <a:lvl7pPr marL="27432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7pPr>
                        <a:lvl8pPr marL="32004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8pPr>
                        <a:lvl9pPr marL="36576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9pPr>
                      </a:lstStyle>
                      <a:p>
                        <a:pPr marL="0" indent="0" algn="ctr" defTabSz="914400" rtl="0" eaLnBrk="1" latinLnBrk="0" hangingPunct="1"/>
                        <a:fld id="{76E0F412-6266-44D5-BEE9-EFB514082C7C}" type="TxLink">
                          <a:rPr lang="en-US" sz="1000" b="1" i="0" u="none" strike="noStrike" kern="1200">
                            <a:solidFill>
                              <a:srgbClr val="646464"/>
                            </a:solidFill>
                            <a:latin typeface="Arial"/>
                            <a:ea typeface="+mn-ea"/>
                            <a:cs typeface="Arial"/>
                          </a:rPr>
                          <a:pPr marL="0" indent="0" algn="ctr" defTabSz="914400" rtl="0" eaLnBrk="1" latinLnBrk="0" hangingPunct="1"/>
                          <a:t> </a:t>
                        </a:fld>
                        <a:endParaRPr lang="en-US" sz="1000" b="1" i="0" u="none" strike="noStrike" kern="1200">
                          <a:solidFill>
                            <a:srgbClr val="646464"/>
                          </a:solidFill>
                          <a:latin typeface="Arial"/>
                          <a:ea typeface="+mn-ea"/>
                          <a:cs typeface="Arial"/>
                        </a:endParaRPr>
                      </a:p>
                    </xdr:txBody>
                  </xdr:sp>
                  <xdr:sp macro="" textlink="'Charts Data'!$AZ$6">
                    <xdr:nvSpPr>
                      <xdr:cNvPr id="236" name="P3_Label">
                        <a:extLst>
                          <a:ext uri="{FF2B5EF4-FFF2-40B4-BE49-F238E27FC236}">
                            <a16:creationId xmlns:a16="http://schemas.microsoft.com/office/drawing/2014/main" id="{00000000-0008-0000-0000-0000EC00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882557" y="2591357"/>
                        <a:ext cx="1090962" cy="232229"/>
                      </a:xfrm>
                      <a:prstGeom prst="rect">
                        <a:avLst/>
                      </a:prstGeom>
                      <a:noFill/>
                    </xdr:spPr>
                    <xdr:txBody>
                      <a:bodyPr wrap="square" rtlCol="0">
                        <a:noAutofit/>
                      </a:bodyPr>
                      <a:lstStyle>
                        <a:defPPr>
                          <a:defRPr lang="en-US"/>
                        </a:defPPr>
                        <a:lvl1pPr marL="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1pPr>
                        <a:lvl2pPr marL="4572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2pPr>
                        <a:lvl3pPr marL="9144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3pPr>
                        <a:lvl4pPr marL="13716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4pPr>
                        <a:lvl5pPr marL="18288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5pPr>
                        <a:lvl6pPr marL="22860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6pPr>
                        <a:lvl7pPr marL="27432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7pPr>
                        <a:lvl8pPr marL="32004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8pPr>
                        <a:lvl9pPr marL="36576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9pPr>
                      </a:lstStyle>
                      <a:p>
                        <a:pPr marL="0" indent="0" algn="l" defTabSz="914400" rtl="0" eaLnBrk="1" latinLnBrk="0" hangingPunct="1"/>
                        <a:fld id="{21838E65-CE0D-49D7-83F3-6B21D71B2A8B}" type="TxLink">
                          <a:rPr lang="en-US" sz="1000" b="1" i="1" u="none" strike="noStrike" kern="1200">
                            <a:solidFill>
                              <a:srgbClr val="F9C20A"/>
                            </a:solidFill>
                            <a:latin typeface="Arial"/>
                            <a:ea typeface="+mn-ea"/>
                            <a:cs typeface="Arial"/>
                          </a:rPr>
                          <a:pPr marL="0" indent="0" algn="l" defTabSz="914400" rtl="0" eaLnBrk="1" latinLnBrk="0" hangingPunct="1"/>
                          <a:t> </a:t>
                        </a:fld>
                        <a:endParaRPr lang="en-US" sz="1000" b="1" i="1" u="none" strike="noStrike" kern="1200">
                          <a:solidFill>
                            <a:srgbClr val="F9C20A"/>
                          </a:solidFill>
                          <a:latin typeface="Arial"/>
                          <a:ea typeface="+mn-ea"/>
                          <a:cs typeface="Arial"/>
                        </a:endParaRPr>
                      </a:p>
                    </xdr:txBody>
                  </xdr:sp>
                </xdr:grpSp>
                <xdr:grpSp>
                  <xdr:nvGrpSpPr>
                    <xdr:cNvPr id="211" name="Group_P5">
                      <a:extLst>
                        <a:ext uri="{FF2B5EF4-FFF2-40B4-BE49-F238E27FC236}">
                          <a16:creationId xmlns:a16="http://schemas.microsoft.com/office/drawing/2014/main" id="{00000000-0008-0000-0000-0000D3000000}"/>
                        </a:ext>
                      </a:extLst>
                    </xdr:cNvPr>
                    <xdr:cNvGrpSpPr/>
                  </xdr:nvGrpSpPr>
                  <xdr:grpSpPr>
                    <a:xfrm>
                      <a:off x="586602" y="3375790"/>
                      <a:ext cx="7876637" cy="626763"/>
                      <a:chOff x="12736" y="6602318"/>
                      <a:chExt cx="9999953" cy="785055"/>
                    </a:xfrm>
                  </xdr:grpSpPr>
                  <xdr:grpSp>
                    <xdr:nvGrpSpPr>
                      <xdr:cNvPr id="212" name="Group 211">
                        <a:extLst>
                          <a:ext uri="{FF2B5EF4-FFF2-40B4-BE49-F238E27FC236}">
                            <a16:creationId xmlns:a16="http://schemas.microsoft.com/office/drawing/2014/main" id="{00000000-0008-0000-0000-0000D4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2736" y="6602318"/>
                        <a:ext cx="9999953" cy="785055"/>
                        <a:chOff x="8013564" y="1275643"/>
                        <a:chExt cx="8804938" cy="660600"/>
                      </a:xfrm>
                    </xdr:grpSpPr>
                    <xdr:sp macro="" textlink="'Charts Data'!$AT$8">
                      <xdr:nvSpPr>
                        <xdr:cNvPr id="214" name="TextBox 10">
                          <a:extLst>
                            <a:ext uri="{FF2B5EF4-FFF2-40B4-BE49-F238E27FC236}">
                              <a16:creationId xmlns:a16="http://schemas.microsoft.com/office/drawing/2014/main" id="{00000000-0008-0000-0000-0000D600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013564" y="1378527"/>
                          <a:ext cx="1834038" cy="252756"/>
                        </a:xfrm>
                        <a:prstGeom prst="rect">
                          <a:avLst/>
                        </a:prstGeom>
                        <a:noFill/>
                      </xdr:spPr>
                      <xdr:txBody>
                        <a:bodyPr wrap="square" rtlCol="0" anchor="ctr">
                          <a:spAutoFit/>
                        </a:bodyPr>
                        <a:lstStyle>
                          <a:defPPr>
                            <a:defRPr lang="en-US"/>
                          </a:defPPr>
                          <a:lvl1pPr marL="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1pPr>
                          <a:lvl2pPr marL="4572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2pPr>
                          <a:lvl3pPr marL="9144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3pPr>
                          <a:lvl4pPr marL="13716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4pPr>
                          <a:lvl5pPr marL="18288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5pPr>
                          <a:lvl6pPr marL="22860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6pPr>
                          <a:lvl7pPr marL="27432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7pPr>
                          <a:lvl8pPr marL="32004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8pPr>
                          <a:lvl9pPr marL="36576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9pPr>
                        </a:lstStyle>
                        <a:p>
                          <a:pPr marL="0" indent="0" algn="l" defTabSz="914400" rtl="0" eaLnBrk="1" latinLnBrk="0" hangingPunct="1"/>
                          <a:fld id="{508A39AD-B03D-4C5C-85C7-C53BC4CF3D90}" type="TxLink">
                            <a:rPr lang="en-US" sz="1000" b="1" i="0" u="none" strike="noStrike" kern="1200">
                              <a:solidFill>
                                <a:srgbClr val="646464"/>
                              </a:solidFill>
                              <a:latin typeface="Arial"/>
                              <a:ea typeface="+mn-ea"/>
                              <a:cs typeface="Arial"/>
                            </a:rPr>
                            <a:pPr marL="0" indent="0" algn="l" defTabSz="914400" rtl="0" eaLnBrk="1" latinLnBrk="0" hangingPunct="1"/>
                            <a:t>Number of Employees</a:t>
                          </a:fld>
                          <a:endParaRPr lang="en-US" sz="1000" b="1" i="0" u="none" strike="noStrike" kern="1200">
                            <a:solidFill>
                              <a:srgbClr val="646464"/>
                            </a:solidFill>
                            <a:latin typeface="Arial"/>
                            <a:ea typeface="+mn-ea"/>
                            <a:cs typeface="Arial"/>
                          </a:endParaRPr>
                        </a:p>
                      </xdr:txBody>
                    </xdr:sp>
                    <xdr:sp macro="" textlink="'Charts Data'!$AU$8">
                      <xdr:nvSpPr>
                        <xdr:cNvPr id="215" name="P5_Min">
                          <a:extLst>
                            <a:ext uri="{FF2B5EF4-FFF2-40B4-BE49-F238E27FC236}">
                              <a16:creationId xmlns:a16="http://schemas.microsoft.com/office/drawing/2014/main" id="{00000000-0008-0000-0000-0000D700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389408" y="1683480"/>
                          <a:ext cx="1015046" cy="252754"/>
                        </a:xfrm>
                        <a:prstGeom prst="rect">
                          <a:avLst/>
                        </a:prstGeom>
                        <a:noFill/>
                      </xdr:spPr>
                      <xdr:txBody>
                        <a:bodyPr wrap="square" rtlCol="0">
                          <a:noAutofit/>
                        </a:bodyPr>
                        <a:lstStyle>
                          <a:defPPr>
                            <a:defRPr lang="en-US"/>
                          </a:defPPr>
                          <a:lvl1pPr marL="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1pPr>
                          <a:lvl2pPr marL="4572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2pPr>
                          <a:lvl3pPr marL="9144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3pPr>
                          <a:lvl4pPr marL="13716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4pPr>
                          <a:lvl5pPr marL="18288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5pPr>
                          <a:lvl6pPr marL="22860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6pPr>
                          <a:lvl7pPr marL="27432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7pPr>
                          <a:lvl8pPr marL="32004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8pPr>
                          <a:lvl9pPr marL="36576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9pPr>
                        </a:lstStyle>
                        <a:p>
                          <a:pPr marL="0" indent="0" algn="l" defTabSz="914400" rtl="0" eaLnBrk="1" latinLnBrk="0" hangingPunct="1"/>
                          <a:fld id="{E5E30901-88C3-4D83-94D9-1AD10B4CFDF8}" type="TxLink">
                            <a:rPr lang="en-US" sz="1000" b="1" i="0" u="none" strike="noStrike" kern="1200">
                              <a:solidFill>
                                <a:srgbClr val="646464"/>
                              </a:solidFill>
                              <a:latin typeface="Arial"/>
                              <a:ea typeface="+mn-ea"/>
                              <a:cs typeface="Arial"/>
                            </a:rPr>
                            <a:pPr marL="0" indent="0" algn="l" defTabSz="914400" rtl="0" eaLnBrk="1" latinLnBrk="0" hangingPunct="1"/>
                            <a:t> </a:t>
                          </a:fld>
                          <a:endParaRPr lang="en-US" sz="1000" b="1" i="0" u="none" strike="noStrike" kern="1200">
                            <a:solidFill>
                              <a:srgbClr val="646464"/>
                            </a:solidFill>
                            <a:latin typeface="Arial"/>
                            <a:ea typeface="+mn-ea"/>
                            <a:cs typeface="Arial"/>
                          </a:endParaRPr>
                        </a:p>
                      </xdr:txBody>
                    </xdr:sp>
                    <xdr:sp macro="" textlink="'Charts Data'!$AV$8">
                      <xdr:nvSpPr>
                        <xdr:cNvPr id="216" name="TextBox 23">
                          <a:extLst>
                            <a:ext uri="{FF2B5EF4-FFF2-40B4-BE49-F238E27FC236}">
                              <a16:creationId xmlns:a16="http://schemas.microsoft.com/office/drawing/2014/main" id="{00000000-0008-0000-0000-0000D800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0932576" y="1683473"/>
                          <a:ext cx="1015045" cy="252755"/>
                        </a:xfrm>
                        <a:prstGeom prst="rect">
                          <a:avLst/>
                        </a:prstGeom>
                        <a:noFill/>
                      </xdr:spPr>
                      <xdr:txBody>
                        <a:bodyPr wrap="square" rtlCol="0">
                          <a:noAutofit/>
                        </a:bodyPr>
                        <a:lstStyle>
                          <a:defPPr>
                            <a:defRPr lang="en-US"/>
                          </a:defPPr>
                          <a:lvl1pPr marL="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1pPr>
                          <a:lvl2pPr marL="4572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2pPr>
                          <a:lvl3pPr marL="9144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3pPr>
                          <a:lvl4pPr marL="13716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4pPr>
                          <a:lvl5pPr marL="18288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5pPr>
                          <a:lvl6pPr marL="22860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6pPr>
                          <a:lvl7pPr marL="27432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7pPr>
                          <a:lvl8pPr marL="32004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8pPr>
                          <a:lvl9pPr marL="36576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9pPr>
                        </a:lstStyle>
                        <a:p>
                          <a:pPr marL="0" indent="0" algn="ctr" defTabSz="914400" rtl="0" eaLnBrk="1" latinLnBrk="0" hangingPunct="1"/>
                          <a:fld id="{F42500FE-D6E4-40CD-852F-26FD41C52191}" type="TxLink">
                            <a:rPr lang="en-US" sz="1000" b="1" i="0" u="none" strike="noStrike" kern="1200">
                              <a:solidFill>
                                <a:srgbClr val="646464"/>
                              </a:solidFill>
                              <a:latin typeface="Arial"/>
                              <a:ea typeface="+mn-ea"/>
                              <a:cs typeface="Arial"/>
                            </a:rPr>
                            <a:pPr marL="0" indent="0" algn="ctr" defTabSz="914400" rtl="0" eaLnBrk="1" latinLnBrk="0" hangingPunct="1"/>
                            <a:t> </a:t>
                          </a:fld>
                          <a:endParaRPr lang="en-US" sz="1000" b="1" i="0" u="none" strike="noStrike" kern="1200">
                            <a:solidFill>
                              <a:srgbClr val="646464"/>
                            </a:solidFill>
                            <a:latin typeface="Arial"/>
                            <a:ea typeface="+mn-ea"/>
                            <a:cs typeface="Arial"/>
                          </a:endParaRPr>
                        </a:p>
                      </xdr:txBody>
                    </xdr:sp>
                    <xdr:sp macro="" textlink="'Charts Data'!$AW$8">
                      <xdr:nvSpPr>
                        <xdr:cNvPr id="217" name="TextBox 23">
                          <a:extLst>
                            <a:ext uri="{FF2B5EF4-FFF2-40B4-BE49-F238E27FC236}">
                              <a16:creationId xmlns:a16="http://schemas.microsoft.com/office/drawing/2014/main" id="{00000000-0008-0000-0000-0000D900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667473" y="1683487"/>
                          <a:ext cx="1015045" cy="252755"/>
                        </a:xfrm>
                        <a:prstGeom prst="rect">
                          <a:avLst/>
                        </a:prstGeom>
                        <a:noFill/>
                      </xdr:spPr>
                      <xdr:txBody>
                        <a:bodyPr wrap="square" rtlCol="0">
                          <a:noAutofit/>
                        </a:bodyPr>
                        <a:lstStyle>
                          <a:defPPr>
                            <a:defRPr lang="en-US"/>
                          </a:defPPr>
                          <a:lvl1pPr marL="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1pPr>
                          <a:lvl2pPr marL="4572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2pPr>
                          <a:lvl3pPr marL="9144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3pPr>
                          <a:lvl4pPr marL="13716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4pPr>
                          <a:lvl5pPr marL="18288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5pPr>
                          <a:lvl6pPr marL="22860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6pPr>
                          <a:lvl7pPr marL="27432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7pPr>
                          <a:lvl8pPr marL="32004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8pPr>
                          <a:lvl9pPr marL="36576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9pPr>
                        </a:lstStyle>
                        <a:p>
                          <a:pPr marL="0" indent="0" algn="ctr" defTabSz="914400" rtl="0" eaLnBrk="1" latinLnBrk="0" hangingPunct="1"/>
                          <a:fld id="{FFDFEF80-7794-4AE8-8593-5F47C5B2271D}" type="TxLink">
                            <a:rPr lang="en-US" sz="1000" b="1" i="0" u="none" strike="noStrike" kern="1200">
                              <a:solidFill>
                                <a:srgbClr val="646464"/>
                              </a:solidFill>
                              <a:latin typeface="Arial"/>
                              <a:ea typeface="+mn-ea"/>
                              <a:cs typeface="Arial"/>
                            </a:rPr>
                            <a:pPr marL="0" indent="0" algn="ctr" defTabSz="914400" rtl="0" eaLnBrk="1" latinLnBrk="0" hangingPunct="1"/>
                            <a:t> </a:t>
                          </a:fld>
                          <a:endParaRPr lang="en-US" sz="1000" b="1" i="0" u="none" strike="noStrike" kern="1200">
                            <a:solidFill>
                              <a:srgbClr val="646464"/>
                            </a:solidFill>
                            <a:latin typeface="Arial"/>
                            <a:ea typeface="+mn-ea"/>
                            <a:cs typeface="Arial"/>
                          </a:endParaRPr>
                        </a:p>
                      </xdr:txBody>
                    </xdr:sp>
                    <xdr:sp macro="" textlink="'Charts Data'!$AX$8">
                      <xdr:nvSpPr>
                        <xdr:cNvPr id="218" name="TextBox 23">
                          <a:extLst>
                            <a:ext uri="{FF2B5EF4-FFF2-40B4-BE49-F238E27FC236}">
                              <a16:creationId xmlns:a16="http://schemas.microsoft.com/office/drawing/2014/main" id="{00000000-0008-0000-0000-0000DA00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444817" y="1683488"/>
                          <a:ext cx="1015045" cy="252755"/>
                        </a:xfrm>
                        <a:prstGeom prst="rect">
                          <a:avLst/>
                        </a:prstGeom>
                        <a:noFill/>
                      </xdr:spPr>
                      <xdr:txBody>
                        <a:bodyPr wrap="square" rtlCol="0">
                          <a:noAutofit/>
                        </a:bodyPr>
                        <a:lstStyle>
                          <a:defPPr>
                            <a:defRPr lang="en-US"/>
                          </a:defPPr>
                          <a:lvl1pPr marL="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1pPr>
                          <a:lvl2pPr marL="4572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2pPr>
                          <a:lvl3pPr marL="9144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3pPr>
                          <a:lvl4pPr marL="13716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4pPr>
                          <a:lvl5pPr marL="18288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5pPr>
                          <a:lvl6pPr marL="22860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6pPr>
                          <a:lvl7pPr marL="27432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7pPr>
                          <a:lvl8pPr marL="32004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8pPr>
                          <a:lvl9pPr marL="36576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9pPr>
                        </a:lstStyle>
                        <a:p>
                          <a:pPr marL="0" indent="0" algn="ctr" defTabSz="914400" rtl="0" eaLnBrk="1" latinLnBrk="0" hangingPunct="1"/>
                          <a:fld id="{FA8B494C-AE34-4C3F-8C9B-AAA9C3BF00AF}" type="TxLink">
                            <a:rPr lang="en-US" sz="1000" b="1" i="0" u="none" strike="noStrike" kern="1200">
                              <a:solidFill>
                                <a:srgbClr val="646464"/>
                              </a:solidFill>
                              <a:latin typeface="Arial"/>
                              <a:ea typeface="+mn-ea"/>
                              <a:cs typeface="Arial"/>
                            </a:rPr>
                            <a:pPr marL="0" indent="0" algn="ctr" defTabSz="914400" rtl="0" eaLnBrk="1" latinLnBrk="0" hangingPunct="1"/>
                            <a:t> </a:t>
                          </a:fld>
                          <a:endParaRPr lang="en-US" sz="1000" b="1" i="0" u="none" strike="noStrike" kern="1200">
                            <a:solidFill>
                              <a:srgbClr val="646464"/>
                            </a:solidFill>
                            <a:latin typeface="Arial"/>
                            <a:ea typeface="+mn-ea"/>
                            <a:cs typeface="Arial"/>
                          </a:endParaRPr>
                        </a:p>
                      </xdr:txBody>
                    </xdr:sp>
                    <xdr:sp macro="" textlink="'Charts Data'!$AY$8">
                      <xdr:nvSpPr>
                        <xdr:cNvPr id="219" name="P5_Max">
                          <a:extLst>
                            <a:ext uri="{FF2B5EF4-FFF2-40B4-BE49-F238E27FC236}">
                              <a16:creationId xmlns:a16="http://schemas.microsoft.com/office/drawing/2014/main" id="{00000000-0008-0000-0000-0000DB00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5633474" y="1683489"/>
                          <a:ext cx="1185028" cy="252754"/>
                        </a:xfrm>
                        <a:prstGeom prst="rect">
                          <a:avLst/>
                        </a:prstGeom>
                        <a:noFill/>
                      </xdr:spPr>
                      <xdr:txBody>
                        <a:bodyPr wrap="square" rtlCol="0">
                          <a:noAutofit/>
                        </a:bodyPr>
                        <a:lstStyle>
                          <a:defPPr>
                            <a:defRPr lang="en-US"/>
                          </a:defPPr>
                          <a:lvl1pPr marL="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1pPr>
                          <a:lvl2pPr marL="4572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2pPr>
                          <a:lvl3pPr marL="9144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3pPr>
                          <a:lvl4pPr marL="13716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4pPr>
                          <a:lvl5pPr marL="18288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5pPr>
                          <a:lvl6pPr marL="22860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6pPr>
                          <a:lvl7pPr marL="27432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7pPr>
                          <a:lvl8pPr marL="32004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8pPr>
                          <a:lvl9pPr marL="3657600" algn="l" defTabSz="914400" rtl="0" eaLnBrk="1" latinLnBrk="0" hangingPunct="1">
                            <a:defRPr sz="1800" kern="1200">
                              <a:solidFill>
                                <a:schemeClr val="tx1"/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lvl9pPr>
                        </a:lstStyle>
                        <a:p>
                          <a:pPr marL="0" indent="0" algn="r" defTabSz="914400" rtl="0" eaLnBrk="1" latinLnBrk="0" hangingPunct="1"/>
                          <a:fld id="{33C173E0-E54E-45D8-A510-5AF0A83EC61C}" type="TxLink">
                            <a:rPr lang="en-US" sz="1000" b="1" i="0" u="none" strike="noStrike" kern="1200">
                              <a:solidFill>
                                <a:srgbClr val="646464"/>
                              </a:solidFill>
                              <a:latin typeface="Arial"/>
                              <a:ea typeface="+mn-ea"/>
                              <a:cs typeface="Arial"/>
                            </a:rPr>
                            <a:pPr marL="0" indent="0" algn="r" defTabSz="914400" rtl="0" eaLnBrk="1" latinLnBrk="0" hangingPunct="1"/>
                            <a:t> </a:t>
                          </a:fld>
                          <a:endParaRPr lang="en-US" sz="1000" b="1" i="0" u="none" strike="noStrike" kern="1200">
                            <a:solidFill>
                              <a:srgbClr val="646464"/>
                            </a:solidFill>
                            <a:latin typeface="Arial"/>
                            <a:ea typeface="+mn-ea"/>
                            <a:cs typeface="Arial"/>
                          </a:endParaRPr>
                        </a:p>
                      </xdr:txBody>
                    </xdr:sp>
                    <xdr:grpSp>
                      <xdr:nvGrpSpPr>
                        <xdr:cNvPr id="220" name="Group 219">
                          <a:extLst>
                            <a:ext uri="{FF2B5EF4-FFF2-40B4-BE49-F238E27FC236}">
                              <a16:creationId xmlns:a16="http://schemas.microsoft.com/office/drawing/2014/main" id="{00000000-0008-0000-0000-0000DC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9602782" y="1275643"/>
                          <a:ext cx="7028758" cy="380489"/>
                          <a:chOff x="9602782" y="1275643"/>
                          <a:chExt cx="7028758" cy="380489"/>
                        </a:xfrm>
                      </xdr:grpSpPr>
                      <xdr:sp macro="" textlink="'Charts Data'!$BA$8">
                        <xdr:nvSpPr>
                          <xdr:cNvPr id="221" name="P5_Bar">
                            <a:extLst>
                              <a:ext uri="{FF2B5EF4-FFF2-40B4-BE49-F238E27FC236}">
                                <a16:creationId xmlns:a16="http://schemas.microsoft.com/office/drawing/2014/main" id="{00000000-0008-0000-0000-0000DD00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9602782" y="1291682"/>
                            <a:ext cx="7028758" cy="341477"/>
                          </a:xfrm>
                          <a:prstGeom prst="rect">
                            <a:avLst/>
                          </a:prstGeom>
                          <a:solidFill>
                            <a:srgbClr val="002B49"/>
                          </a:solidFill>
                          <a:ln>
                            <a:noFill/>
                          </a:ln>
                          <a:effectLst/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ctr"/>
                          <a:lstStyle/>
                          <a:p>
                            <a:pPr marL="0" indent="0" algn="ctr"/>
                            <a:fld id="{B5FB85C5-07CF-42AE-A2D7-2F30F552108B}" type="TxLink">
                              <a:rPr lang="en-US" sz="1000" b="0" i="0" u="none" strike="noStrike">
                                <a:solidFill>
                                  <a:srgbClr val="002060"/>
                                </a:solidFill>
                                <a:latin typeface="Arial"/>
                                <a:ea typeface="+mn-ea"/>
                                <a:cs typeface="Arial"/>
                              </a:rPr>
                              <a:pPr marL="0" indent="0" algn="ctr"/>
                              <a:t> </a:t>
                            </a:fld>
                            <a:endParaRPr lang="en-US" sz="1000" b="0" i="0" u="none" strike="noStrike">
                              <a:solidFill>
                                <a:srgbClr val="002060"/>
                              </a:solidFill>
                              <a:latin typeface="Arial"/>
                              <a:ea typeface="+mn-ea"/>
                              <a:cs typeface="Arial"/>
                            </a:endParaRPr>
                          </a:p>
                        </xdr:txBody>
                      </xdr:sp>
                      <xdr:cxnSp macro="">
                        <xdr:nvCxnSpPr>
                          <xdr:cNvPr id="222" name="Straight Connector 221">
                            <a:extLst>
                              <a:ext uri="{FF2B5EF4-FFF2-40B4-BE49-F238E27FC236}">
                                <a16:creationId xmlns:a16="http://schemas.microsoft.com/office/drawing/2014/main" id="{00000000-0008-0000-0000-0000DE00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13184257" y="1275643"/>
                            <a:ext cx="0" cy="380489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FFFFFF"/>
                            </a:solidFill>
                          </a:ln>
                          <a:effectLst/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223" name="Straight Connector 222">
                            <a:extLst>
                              <a:ext uri="{FF2B5EF4-FFF2-40B4-BE49-F238E27FC236}">
                                <a16:creationId xmlns:a16="http://schemas.microsoft.com/office/drawing/2014/main" id="{00000000-0008-0000-0000-0000DF00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11432604" y="1275643"/>
                            <a:ext cx="0" cy="380487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FFFFFF"/>
                            </a:solidFill>
                          </a:ln>
                          <a:effectLst/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224" name="Straight Connector 223">
                            <a:extLst>
                              <a:ext uri="{FF2B5EF4-FFF2-40B4-BE49-F238E27FC236}">
                                <a16:creationId xmlns:a16="http://schemas.microsoft.com/office/drawing/2014/main" id="{00000000-0008-0000-0000-0000E000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14946797" y="1275643"/>
                            <a:ext cx="0" cy="380489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FFFFFF"/>
                            </a:solidFill>
                          </a:ln>
                          <a:effectLst/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</xdr:grpSp>
                  <xdr:sp macro="" textlink="'Charts Data'!$AZ$8">
                    <xdr:nvSpPr>
                      <xdr:cNvPr id="213" name="P5_Label">
                        <a:extLst>
                          <a:ext uri="{FF2B5EF4-FFF2-40B4-BE49-F238E27FC236}">
                            <a16:creationId xmlns:a16="http://schemas.microsoft.com/office/drawing/2014/main" id="{00000000-0008-0000-0000-0000D500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443822" y="6696010"/>
                        <a:ext cx="1268971" cy="290867"/>
                      </a:xfrm>
                      <a:prstGeom prst="rect">
                        <a:avLst/>
                      </a:prstGeom>
                      <a:noFill/>
                    </xdr:spPr>
                    <xdr:txBody>
                      <a:bodyPr wrap="square" rtlCol="0">
                        <a:noAutofit/>
                      </a:bodyPr>
                      <a:lstStyle>
                        <a:defPPr>
                          <a:defRPr lang="en-US"/>
                        </a:defPPr>
                        <a:lvl1pPr marL="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1pPr>
                        <a:lvl2pPr marL="4572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2pPr>
                        <a:lvl3pPr marL="9144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3pPr>
                        <a:lvl4pPr marL="13716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4pPr>
                        <a:lvl5pPr marL="18288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5pPr>
                        <a:lvl6pPr marL="22860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6pPr>
                        <a:lvl7pPr marL="27432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7pPr>
                        <a:lvl8pPr marL="32004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8pPr>
                        <a:lvl9pPr marL="3657600" algn="l" defTabSz="914400" rtl="0" eaLnBrk="1" latinLnBrk="0" hangingPunct="1">
                          <a:defRPr sz="18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9pPr>
                      </a:lstStyle>
                      <a:p>
                        <a:pPr marL="0" indent="0" algn="l" defTabSz="914400" rtl="0" eaLnBrk="1" latinLnBrk="0" hangingPunct="1"/>
                        <a:fld id="{9C1F9981-760E-4EA9-93FA-4A0BE8FD9D21}" type="TxLink">
                          <a:rPr lang="en-US" sz="1000" b="1" i="1" u="none" strike="noStrike" kern="1200">
                            <a:solidFill>
                              <a:srgbClr val="F9C20A"/>
                            </a:solidFill>
                            <a:latin typeface="Arial"/>
                            <a:ea typeface="+mn-ea"/>
                            <a:cs typeface="Arial"/>
                          </a:rPr>
                          <a:pPr marL="0" indent="0" algn="l" defTabSz="914400" rtl="0" eaLnBrk="1" latinLnBrk="0" hangingPunct="1"/>
                          <a:t> </a:t>
                        </a:fld>
                        <a:endParaRPr lang="en-US" sz="1000" b="1" i="1" u="none" strike="noStrike" kern="1200">
                          <a:solidFill>
                            <a:srgbClr val="F9C20A"/>
                          </a:solidFill>
                          <a:latin typeface="Arial"/>
                          <a:ea typeface="+mn-ea"/>
                          <a:cs typeface="Arial"/>
                        </a:endParaRPr>
                      </a:p>
                    </xdr:txBody>
                  </xdr:sp>
                </xdr:grpSp>
              </xdr:grpSp>
              <xdr:sp macro="" textlink="">
                <xdr:nvSpPr>
                  <xdr:cNvPr id="187" name="P1_Star">
                    <a:extLst>
                      <a:ext uri="{FF2B5EF4-FFF2-40B4-BE49-F238E27FC236}">
                        <a16:creationId xmlns:a16="http://schemas.microsoft.com/office/drawing/2014/main" id="{00000000-0008-0000-0000-0000BB000000}"/>
                      </a:ext>
                    </a:extLst>
                  </xdr:cNvPr>
                  <xdr:cNvSpPr/>
                </xdr:nvSpPr>
                <xdr:spPr>
                  <a:xfrm>
                    <a:off x="7550210" y="861799"/>
                    <a:ext cx="310983" cy="273403"/>
                  </a:xfrm>
                  <a:prstGeom prst="star5">
                    <a:avLst/>
                  </a:prstGeom>
                  <a:solidFill>
                    <a:srgbClr val="F9C20A"/>
                  </a:solidFill>
                  <a:ln>
                    <a:noFill/>
                  </a:ln>
                  <a:effectLst/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wrap="square" rtlCol="0" anchor="ctr"/>
                  <a:lstStyle>
                    <a:defPPr>
                      <a:defRPr lang="en-US"/>
                    </a:defPPr>
                    <a:lvl1pPr marL="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algn="ctr"/>
                    <a:endParaRPr lang="en-US">
                      <a:solidFill>
                        <a:srgbClr val="FFFFFF"/>
                      </a:solidFill>
                    </a:endParaRPr>
                  </a:p>
                </xdr:txBody>
              </xdr:sp>
            </xdr:grpSp>
            <xdr:sp macro="" textlink="">
              <xdr:nvSpPr>
                <xdr:cNvPr id="188" name="P3_Star">
                  <a:extLst>
                    <a:ext uri="{FF2B5EF4-FFF2-40B4-BE49-F238E27FC236}">
                      <a16:creationId xmlns:a16="http://schemas.microsoft.com/office/drawing/2014/main" id="{00000000-0008-0000-0000-0000BC000000}"/>
                    </a:ext>
                  </a:extLst>
                </xdr:cNvPr>
                <xdr:cNvSpPr/>
              </xdr:nvSpPr>
              <xdr:spPr>
                <a:xfrm>
                  <a:off x="5705956" y="4029150"/>
                  <a:ext cx="310983" cy="273403"/>
                </a:xfrm>
                <a:prstGeom prst="star5">
                  <a:avLst/>
                </a:prstGeom>
                <a:solidFill>
                  <a:srgbClr val="F9C20A"/>
                </a:solidFill>
                <a:ln>
                  <a:noFill/>
                </a:ln>
                <a:effectLst/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en-US">
                    <a:solidFill>
                      <a:srgbClr val="FFFFFF"/>
                    </a:solidFill>
                  </a:endParaRPr>
                </a:p>
              </xdr:txBody>
            </xdr:sp>
          </xdr:grpSp>
          <xdr:sp macro="" textlink="">
            <xdr:nvSpPr>
              <xdr:cNvPr id="189" name="P4_Star">
                <a:extLst>
                  <a:ext uri="{FF2B5EF4-FFF2-40B4-BE49-F238E27FC236}">
                    <a16:creationId xmlns:a16="http://schemas.microsoft.com/office/drawing/2014/main" id="{00000000-0008-0000-0000-0000BD000000}"/>
                  </a:ext>
                </a:extLst>
              </xdr:cNvPr>
              <xdr:cNvSpPr/>
            </xdr:nvSpPr>
            <xdr:spPr>
              <a:xfrm>
                <a:off x="3236542" y="2438506"/>
                <a:ext cx="310983" cy="273403"/>
              </a:xfrm>
              <a:prstGeom prst="star5">
                <a:avLst/>
              </a:prstGeom>
              <a:solidFill>
                <a:srgbClr val="F9C20A"/>
              </a:solidFill>
              <a:ln>
                <a:noFill/>
              </a:ln>
              <a:effectLst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en-US">
                  <a:solidFill>
                    <a:srgbClr val="FFFFFF"/>
                  </a:solidFill>
                </a:endParaRPr>
              </a:p>
            </xdr:txBody>
          </xdr:sp>
        </xdr:grpSp>
        <xdr:sp macro="" textlink="">
          <xdr:nvSpPr>
            <xdr:cNvPr id="190" name="P5_Star">
              <a:extLst>
                <a:ext uri="{FF2B5EF4-FFF2-40B4-BE49-F238E27FC236}">
                  <a16:creationId xmlns:a16="http://schemas.microsoft.com/office/drawing/2014/main" id="{00000000-0008-0000-0000-0000BE000000}"/>
                </a:ext>
              </a:extLst>
            </xdr:cNvPr>
            <xdr:cNvSpPr/>
          </xdr:nvSpPr>
          <xdr:spPr>
            <a:xfrm>
              <a:off x="2670463" y="3212459"/>
              <a:ext cx="310983" cy="273403"/>
            </a:xfrm>
            <a:prstGeom prst="star5">
              <a:avLst/>
            </a:prstGeom>
            <a:solidFill>
              <a:srgbClr val="F9C20A"/>
            </a:solidFill>
            <a:ln>
              <a:noFill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>
                <a:solidFill>
                  <a:srgbClr val="FFFFFF"/>
                </a:solidFill>
              </a:endParaRPr>
            </a:p>
          </xdr:txBody>
        </xdr:sp>
      </xdr:grpSp>
      <xdr:sp macro="" textlink="">
        <xdr:nvSpPr>
          <xdr:cNvPr id="191" name="P6_Star">
            <a:extLst>
              <a:ext uri="{FF2B5EF4-FFF2-40B4-BE49-F238E27FC236}">
                <a16:creationId xmlns:a16="http://schemas.microsoft.com/office/drawing/2014/main" id="{00000000-0008-0000-0000-0000BF000000}"/>
              </a:ext>
            </a:extLst>
          </xdr:cNvPr>
          <xdr:cNvSpPr/>
        </xdr:nvSpPr>
        <xdr:spPr>
          <a:xfrm>
            <a:off x="9165705" y="4764819"/>
            <a:ext cx="310983" cy="273403"/>
          </a:xfrm>
          <a:prstGeom prst="star5">
            <a:avLst/>
          </a:prstGeom>
          <a:solidFill>
            <a:srgbClr val="F9C20A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>
              <a:solidFill>
                <a:srgbClr val="FFFFFF"/>
              </a:solidFill>
            </a:endParaRPr>
          </a:p>
        </xdr:txBody>
      </xdr:sp>
    </xdr:grpSp>
    <xdr:clientData/>
  </xdr:twoCellAnchor>
  <xdr:twoCellAnchor>
    <xdr:from>
      <xdr:col>0</xdr:col>
      <xdr:colOff>202200</xdr:colOff>
      <xdr:row>34</xdr:row>
      <xdr:rowOff>14806</xdr:rowOff>
    </xdr:from>
    <xdr:to>
      <xdr:col>15</xdr:col>
      <xdr:colOff>23565</xdr:colOff>
      <xdr:row>60</xdr:row>
      <xdr:rowOff>46463</xdr:rowOff>
    </xdr:to>
    <xdr:grpSp>
      <xdr:nvGrpSpPr>
        <xdr:cNvPr id="8" name="Group_SGA">
          <a:extLst>
            <a:ext uri="{FF2B5EF4-FFF2-40B4-BE49-F238E27FC236}">
              <a16:creationId xmlns:a16="http://schemas.microsoft.com/office/drawing/2014/main" id="{8E1D383A-712D-450F-B39A-3803EFAE0E4D}"/>
            </a:ext>
          </a:extLst>
        </xdr:cNvPr>
        <xdr:cNvGrpSpPr/>
      </xdr:nvGrpSpPr>
      <xdr:grpSpPr>
        <a:xfrm>
          <a:off x="202200" y="6491806"/>
          <a:ext cx="8965365" cy="4984657"/>
          <a:chOff x="202200" y="6491806"/>
          <a:chExt cx="8965365" cy="4984657"/>
        </a:xfrm>
      </xdr:grpSpPr>
      <xdr:graphicFrame macro="">
        <xdr:nvGraphicFramePr>
          <xdr:cNvPr id="2" name="Chart_C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GraphicFramePr>
            <a:graphicFrameLocks/>
          </xdr:cNvGraphicFramePr>
        </xdr:nvGraphicFramePr>
        <xdr:xfrm>
          <a:off x="202200" y="6675828"/>
          <a:ext cx="6179039" cy="45127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graphicFrame macro="">
        <xdr:nvGraphicFramePr>
          <xdr:cNvPr id="3" name="Chart_C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GraphicFramePr>
            <a:graphicFrameLocks/>
          </xdr:cNvGraphicFramePr>
        </xdr:nvGraphicFramePr>
        <xdr:xfrm>
          <a:off x="6645178" y="6677330"/>
          <a:ext cx="2522387" cy="45127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3"/>
          </a:graphicData>
        </a:graphic>
      </xdr:graphicFrame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CxnSpPr/>
        </xdr:nvCxnSpPr>
        <xdr:spPr>
          <a:xfrm flipV="1">
            <a:off x="6445676" y="6663997"/>
            <a:ext cx="0" cy="4512714"/>
          </a:xfrm>
          <a:prstGeom prst="line">
            <a:avLst/>
          </a:prstGeom>
          <a:ln>
            <a:solidFill>
              <a:schemeClr val="tx2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61" name="Box_Target">
            <a:extLst>
              <a:ext uri="{FF2B5EF4-FFF2-40B4-BE49-F238E27FC236}">
                <a16:creationId xmlns:a16="http://schemas.microsoft.com/office/drawing/2014/main" id="{00000000-0008-0000-0000-0000A1000000}"/>
              </a:ext>
            </a:extLst>
          </xdr:cNvPr>
          <xdr:cNvSpPr txBox="1"/>
        </xdr:nvSpPr>
        <xdr:spPr>
          <a:xfrm>
            <a:off x="236704" y="6512920"/>
            <a:ext cx="137724" cy="144806"/>
          </a:xfrm>
          <a:prstGeom prst="flowChartConnector">
            <a:avLst/>
          </a:prstGeom>
          <a:solidFill>
            <a:srgbClr val="5E8AB4"/>
          </a:solidFill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en-US" sz="1100" b="1"/>
          </a:p>
        </xdr:txBody>
      </xdr:sp>
      <xdr:sp macro="" textlink="">
        <xdr:nvSpPr>
          <xdr:cNvPr id="162" name="Box_Median">
            <a:extLst>
              <a:ext uri="{FF2B5EF4-FFF2-40B4-BE49-F238E27FC236}">
                <a16:creationId xmlns:a16="http://schemas.microsoft.com/office/drawing/2014/main" id="{00000000-0008-0000-0000-0000A2000000}"/>
              </a:ext>
            </a:extLst>
          </xdr:cNvPr>
          <xdr:cNvSpPr txBox="1"/>
        </xdr:nvSpPr>
        <xdr:spPr>
          <a:xfrm>
            <a:off x="2588125" y="6533032"/>
            <a:ext cx="137724" cy="144806"/>
          </a:xfrm>
          <a:prstGeom prst="flowChartConnector">
            <a:avLst/>
          </a:prstGeom>
          <a:solidFill>
            <a:srgbClr val="F9C20A"/>
          </a:solidFill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en-US" sz="1100" b="1"/>
          </a:p>
        </xdr:txBody>
      </xdr:sp>
      <xdr:sp macro="" textlink="'Charts Data'!$S$2">
        <xdr:nvSpPr>
          <xdr:cNvPr id="163" name="TextBox 162">
            <a:extLst>
              <a:ext uri="{FF2B5EF4-FFF2-40B4-BE49-F238E27FC236}">
                <a16:creationId xmlns:a16="http://schemas.microsoft.com/office/drawing/2014/main" id="{00000000-0008-0000-0000-0000A3000000}"/>
              </a:ext>
            </a:extLst>
          </xdr:cNvPr>
          <xdr:cNvSpPr txBox="1"/>
        </xdr:nvSpPr>
        <xdr:spPr>
          <a:xfrm>
            <a:off x="408862" y="6491806"/>
            <a:ext cx="2062243" cy="1863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66879D0-D8C3-4C51-BEC6-FC8CBF68F1E1}" type="TxLink">
              <a:rPr lang="en-US" sz="1000" b="0" i="0" u="none" strike="noStrike">
                <a:solidFill>
                  <a:srgbClr val="646464"/>
                </a:solidFill>
                <a:latin typeface="Arial"/>
                <a:cs typeface="Arial"/>
              </a:rPr>
              <a:pPr algn="l"/>
              <a:t>0</a:t>
            </a:fld>
            <a:endParaRPr lang="en-US" sz="1000" b="0">
              <a:solidFill>
                <a:srgbClr val="646464"/>
              </a:solidFill>
            </a:endParaRPr>
          </a:p>
        </xdr:txBody>
      </xdr:sp>
      <xdr:sp macro="" textlink="'Charts Data'!T2">
        <xdr:nvSpPr>
          <xdr:cNvPr id="164" name="TextBox 163">
            <a:extLst>
              <a:ext uri="{FF2B5EF4-FFF2-40B4-BE49-F238E27FC236}">
                <a16:creationId xmlns:a16="http://schemas.microsoft.com/office/drawing/2014/main" id="{00000000-0008-0000-0000-0000A4000000}"/>
              </a:ext>
            </a:extLst>
          </xdr:cNvPr>
          <xdr:cNvSpPr txBox="1"/>
        </xdr:nvSpPr>
        <xdr:spPr>
          <a:xfrm>
            <a:off x="2702118" y="6512921"/>
            <a:ext cx="642715" cy="1930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B07308E4-D73E-4DB4-8FE1-A755FE4EF910}" type="TxLink">
              <a:rPr lang="en-US" sz="1000" b="0" i="0" u="none" strike="noStrike">
                <a:solidFill>
                  <a:srgbClr val="646464"/>
                </a:solidFill>
                <a:latin typeface="Arial"/>
                <a:cs typeface="Arial"/>
              </a:rPr>
              <a:pPr algn="l"/>
              <a:t>Median</a:t>
            </a:fld>
            <a:endParaRPr lang="en-US" sz="1000" b="0">
              <a:solidFill>
                <a:srgbClr val="646464"/>
              </a:solidFill>
            </a:endParaRPr>
          </a:p>
        </xdr:txBody>
      </xdr:sp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>
            <a:off x="279152" y="11343798"/>
            <a:ext cx="8531473" cy="13266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lIns="0" tIns="0" rIns="0" bIns="0" rtlCol="0" anchor="ctr" anchorCtr="0">
            <a:spAutoFit/>
          </a:bodyPr>
          <a:lstStyle/>
          <a:p>
            <a:pPr algn="l"/>
            <a:r>
              <a:rPr lang="en-US" sz="900" b="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High Level SG&amp;A Opportunity Range</a:t>
            </a:r>
            <a:r>
              <a:rPr lang="en-US" sz="900" b="0" baseline="30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3</a:t>
            </a:r>
            <a:r>
              <a:rPr lang="en-US" sz="900" b="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:  $118MM to $177MM</a:t>
            </a:r>
          </a:p>
        </xdr:txBody>
      </xdr:sp>
      <xdr:sp macro="" textlink="'Charts Data'!$A$25">
        <xdr:nvSpPr>
          <xdr:cNvPr id="165" name="Outliers">
            <a:extLst>
              <a:ext uri="{FF2B5EF4-FFF2-40B4-BE49-F238E27FC236}">
                <a16:creationId xmlns:a16="http://schemas.microsoft.com/office/drawing/2014/main" id="{8D3B21D0-FCE9-4454-B4A5-250D5420DE30}"/>
              </a:ext>
            </a:extLst>
          </xdr:cNvPr>
          <xdr:cNvSpPr/>
        </xdr:nvSpPr>
        <xdr:spPr>
          <a:xfrm>
            <a:off x="255992" y="11211610"/>
            <a:ext cx="8869680" cy="13266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lIns="0" tIns="0" rIns="0" bIns="0" rtlCol="0" anchor="b" anchorCtr="0">
            <a:spAutoFit/>
          </a:bodyPr>
          <a:lstStyle/>
          <a:p>
            <a:pPr algn="l"/>
            <a:fld id="{769DCCED-B2AB-47EF-8924-1881F0EDC9B4}" type="TxLink">
              <a:rPr lang="en-US" sz="900" b="0" i="0" u="none" strike="noStrike">
                <a:solidFill>
                  <a:srgbClr val="FF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pPr algn="l"/>
              <a:t>Outliers</a:t>
            </a:fld>
            <a:endParaRPr lang="en-US" sz="900" b="1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0.16422</cdr:x>
      <cdr:y>0.02042</cdr:y>
    </cdr:from>
    <cdr:to>
      <cdr:x>0.87255</cdr:x>
      <cdr:y>0.13889</cdr:y>
    </cdr:to>
    <cdr:sp macro="" textlink="">
      <cdr:nvSpPr>
        <cdr:cNvPr id="2" name="Rectangle 1"/>
        <cdr:cNvSpPr/>
      </cdr:nvSpPr>
      <cdr:spPr>
        <a:xfrm xmlns:a="http://schemas.openxmlformats.org/drawingml/2006/main">
          <a:off x="750794" y="56029"/>
          <a:ext cx="3238500" cy="32497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0.16422</cdr:x>
      <cdr:y>0.02042</cdr:y>
    </cdr:from>
    <cdr:to>
      <cdr:x>0.87255</cdr:x>
      <cdr:y>0.13889</cdr:y>
    </cdr:to>
    <cdr:sp macro="" textlink="">
      <cdr:nvSpPr>
        <cdr:cNvPr id="4" name="Rectangle 1"/>
        <cdr:cNvSpPr/>
      </cdr:nvSpPr>
      <cdr:spPr>
        <a:xfrm xmlns:a="http://schemas.openxmlformats.org/drawingml/2006/main">
          <a:off x="750794" y="56029"/>
          <a:ext cx="3238500" cy="32497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0.00233</cdr:x>
      <cdr:y>0.0054</cdr:y>
    </cdr:from>
    <cdr:to>
      <cdr:x>1</cdr:x>
      <cdr:y>0.13346</cdr:y>
    </cdr:to>
    <cdr:sp macro="" textlink="">
      <cdr:nvSpPr>
        <cdr:cNvPr id="5" name="Rectangle 2"/>
        <cdr:cNvSpPr/>
      </cdr:nvSpPr>
      <cdr:spPr>
        <a:xfrm xmlns:a="http://schemas.openxmlformats.org/drawingml/2006/main">
          <a:off x="5855" y="28746"/>
          <a:ext cx="2507056" cy="68171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00" b="1" i="0" baseline="0">
              <a:solidFill>
                <a:srgbClr val="646464"/>
              </a:solidFill>
              <a:effectLst/>
              <a:latin typeface="+mn-lt"/>
              <a:ea typeface="+mn-ea"/>
              <a:cs typeface="+mn-cs"/>
            </a:rPr>
            <a:t>Incremental Departmental Gap to Top Decile in $MM</a:t>
          </a:r>
          <a:endParaRPr lang="en-US" sz="1000">
            <a:solidFill>
              <a:srgbClr val="646464"/>
            </a:solidFill>
            <a:effectLst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0.16422</cdr:x>
      <cdr:y>0.02042</cdr:y>
    </cdr:from>
    <cdr:to>
      <cdr:x>0.87255</cdr:x>
      <cdr:y>0.13889</cdr:y>
    </cdr:to>
    <cdr:sp macro="" textlink="">
      <cdr:nvSpPr>
        <cdr:cNvPr id="2" name="Rectangle 1"/>
        <cdr:cNvSpPr/>
      </cdr:nvSpPr>
      <cdr:spPr>
        <a:xfrm xmlns:a="http://schemas.openxmlformats.org/drawingml/2006/main">
          <a:off x="750794" y="56029"/>
          <a:ext cx="3238500" cy="32497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0.16422</cdr:x>
      <cdr:y>0.02042</cdr:y>
    </cdr:from>
    <cdr:to>
      <cdr:x>0.87255</cdr:x>
      <cdr:y>0.13889</cdr:y>
    </cdr:to>
    <cdr:sp macro="" textlink="">
      <cdr:nvSpPr>
        <cdr:cNvPr id="4" name="Rectangle 1"/>
        <cdr:cNvSpPr/>
      </cdr:nvSpPr>
      <cdr:spPr>
        <a:xfrm xmlns:a="http://schemas.openxmlformats.org/drawingml/2006/main">
          <a:off x="750794" y="56029"/>
          <a:ext cx="3238500" cy="32497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0.00233</cdr:x>
      <cdr:y>0.0054</cdr:y>
    </cdr:from>
    <cdr:to>
      <cdr:x>1</cdr:x>
      <cdr:y>0.13346</cdr:y>
    </cdr:to>
    <cdr:sp macro="" textlink="">
      <cdr:nvSpPr>
        <cdr:cNvPr id="5" name="Rectangle 2"/>
        <cdr:cNvSpPr/>
      </cdr:nvSpPr>
      <cdr:spPr>
        <a:xfrm xmlns:a="http://schemas.openxmlformats.org/drawingml/2006/main">
          <a:off x="5921" y="27382"/>
          <a:ext cx="2535228" cy="6493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00" b="1" i="0" baseline="0">
              <a:solidFill>
                <a:srgbClr val="646464"/>
              </a:solidFill>
              <a:effectLst/>
              <a:latin typeface="+mn-lt"/>
              <a:ea typeface="+mn-ea"/>
              <a:cs typeface="+mn-cs"/>
            </a:rPr>
            <a:t>Incremental Departmental Gap to Top Quartile in $MM</a:t>
          </a:r>
          <a:endParaRPr lang="en-US" sz="1000">
            <a:solidFill>
              <a:srgbClr val="646464"/>
            </a:solidFill>
            <a:effectLst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0.16422</cdr:x>
      <cdr:y>0.02042</cdr:y>
    </cdr:from>
    <cdr:to>
      <cdr:x>0.87255</cdr:x>
      <cdr:y>0.13889</cdr:y>
    </cdr:to>
    <cdr:sp macro="" textlink="">
      <cdr:nvSpPr>
        <cdr:cNvPr id="2" name="Rectangle 1"/>
        <cdr:cNvSpPr/>
      </cdr:nvSpPr>
      <cdr:spPr>
        <a:xfrm xmlns:a="http://schemas.openxmlformats.org/drawingml/2006/main">
          <a:off x="750794" y="56029"/>
          <a:ext cx="3238500" cy="32497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0.00276</cdr:x>
      <cdr:y>0.00624</cdr:y>
    </cdr:from>
    <cdr:to>
      <cdr:x>1</cdr:x>
      <cdr:y>0.1334</cdr:y>
    </cdr:to>
    <cdr:sp macro="" textlink="">
      <cdr:nvSpPr>
        <cdr:cNvPr id="3" name="Rectangle 2"/>
        <cdr:cNvSpPr/>
      </cdr:nvSpPr>
      <cdr:spPr>
        <a:xfrm xmlns:a="http://schemas.openxmlformats.org/drawingml/2006/main">
          <a:off x="6935" y="28636"/>
          <a:ext cx="2505715" cy="58354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00" b="1" i="0" baseline="0">
              <a:solidFill>
                <a:srgbClr val="646464"/>
              </a:solidFill>
              <a:effectLst/>
              <a:latin typeface="+mn-lt"/>
              <a:ea typeface="+mn-ea"/>
              <a:cs typeface="+mn-cs"/>
            </a:rPr>
            <a:t>Incremental  Departmental Gap to Median in $MM</a:t>
          </a:r>
          <a:endParaRPr lang="en-US" sz="1000">
            <a:solidFill>
              <a:srgbClr val="646464"/>
            </a:solidFill>
            <a:effectLst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0.50747</cdr:x>
      <cdr:y>0.00659</cdr:y>
    </cdr:from>
    <cdr:to>
      <cdr:x>0.54396</cdr:x>
      <cdr:y>0.94194</cdr:y>
    </cdr:to>
    <cdr:sp macro="" textlink="">
      <cdr:nvSpPr>
        <cdr:cNvPr id="3" name="RectSector"/>
        <cdr:cNvSpPr/>
      </cdr:nvSpPr>
      <cdr:spPr>
        <a:xfrm xmlns:a="http://schemas.openxmlformats.org/drawingml/2006/main">
          <a:off x="4593979" y="34959"/>
          <a:ext cx="330330" cy="495995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  <a:prstDash val="sysDash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0.81988</cdr:x>
      <cdr:y>0.03863</cdr:y>
    </cdr:from>
    <cdr:to>
      <cdr:x>0.84596</cdr:x>
      <cdr:y>0.09346</cdr:y>
    </cdr:to>
    <cdr:sp macro="" textlink="">
      <cdr:nvSpPr>
        <cdr:cNvPr id="4" name="Rectangle 3"/>
        <cdr:cNvSpPr/>
      </cdr:nvSpPr>
      <cdr:spPr>
        <a:xfrm xmlns:a="http://schemas.openxmlformats.org/drawingml/2006/main">
          <a:off x="7451358" y="204868"/>
          <a:ext cx="237024" cy="290751"/>
        </a:xfrm>
        <a:prstGeom xmlns:a="http://schemas.openxmlformats.org/drawingml/2006/main" prst="rect">
          <a:avLst/>
        </a:prstGeom>
        <a:solidFill xmlns:a="http://schemas.openxmlformats.org/drawingml/2006/main">
          <a:srgbClr val="F9C20A"/>
        </a:solidFill>
        <a:ln xmlns:a="http://schemas.openxmlformats.org/drawingml/2006/main">
          <a:noFill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0.81988</cdr:x>
      <cdr:y>0.09353</cdr:y>
    </cdr:from>
    <cdr:to>
      <cdr:x>0.84597</cdr:x>
      <cdr:y>0.14836</cdr:y>
    </cdr:to>
    <cdr:sp macro="" textlink="">
      <cdr:nvSpPr>
        <cdr:cNvPr id="5" name="Rectangle 4"/>
        <cdr:cNvSpPr/>
      </cdr:nvSpPr>
      <cdr:spPr>
        <a:xfrm xmlns:a="http://schemas.openxmlformats.org/drawingml/2006/main">
          <a:off x="7422073" y="495955"/>
          <a:ext cx="236183" cy="290752"/>
        </a:xfrm>
        <a:prstGeom xmlns:a="http://schemas.openxmlformats.org/drawingml/2006/main" prst="rect">
          <a:avLst/>
        </a:prstGeom>
        <a:solidFill xmlns:a="http://schemas.openxmlformats.org/drawingml/2006/main">
          <a:srgbClr val="29702A"/>
        </a:solidFill>
        <a:ln xmlns:a="http://schemas.openxmlformats.org/drawingml/2006/main">
          <a:noFill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0.84472</cdr:x>
      <cdr:y>0.03863</cdr:y>
    </cdr:from>
    <cdr:to>
      <cdr:x>0.9764</cdr:x>
      <cdr:y>0.07312</cdr:y>
    </cdr:to>
    <cdr:sp macro="" textlink="">
      <cdr:nvSpPr>
        <cdr:cNvPr id="6" name="Rectangle 5"/>
        <cdr:cNvSpPr/>
      </cdr:nvSpPr>
      <cdr:spPr>
        <a:xfrm xmlns:a="http://schemas.openxmlformats.org/drawingml/2006/main">
          <a:off x="7677113" y="204868"/>
          <a:ext cx="1196754" cy="18288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l"/>
          <a:r>
            <a:rPr lang="en-US" sz="1000" b="1">
              <a:solidFill>
                <a:srgbClr val="646464"/>
              </a:solidFill>
            </a:rPr>
            <a:t>Bottom Quartile</a:t>
          </a:r>
        </a:p>
      </cdr:txBody>
    </cdr:sp>
  </cdr:relSizeAnchor>
  <cdr:relSizeAnchor xmlns:cdr="http://schemas.openxmlformats.org/drawingml/2006/chartDrawing">
    <cdr:from>
      <cdr:x>0.84472</cdr:x>
      <cdr:y>0.07625</cdr:y>
    </cdr:from>
    <cdr:to>
      <cdr:x>0.9764</cdr:x>
      <cdr:y>0.11074</cdr:y>
    </cdr:to>
    <cdr:sp macro="" textlink="">
      <cdr:nvSpPr>
        <cdr:cNvPr id="7" name="Rectangle 6"/>
        <cdr:cNvSpPr/>
      </cdr:nvSpPr>
      <cdr:spPr>
        <a:xfrm xmlns:a="http://schemas.openxmlformats.org/drawingml/2006/main">
          <a:off x="7677113" y="404348"/>
          <a:ext cx="1196754" cy="18288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l"/>
          <a:r>
            <a:rPr lang="en-US" sz="1000" b="1">
              <a:solidFill>
                <a:srgbClr val="646464"/>
              </a:solidFill>
            </a:rPr>
            <a:t>Median</a:t>
          </a:r>
        </a:p>
      </cdr:txBody>
    </cdr:sp>
  </cdr:relSizeAnchor>
  <cdr:relSizeAnchor xmlns:cdr="http://schemas.openxmlformats.org/drawingml/2006/chartDrawing">
    <cdr:from>
      <cdr:x>0.84472</cdr:x>
      <cdr:y>0.11387</cdr:y>
    </cdr:from>
    <cdr:to>
      <cdr:x>0.97639</cdr:x>
      <cdr:y>0.14836</cdr:y>
    </cdr:to>
    <cdr:sp macro="" textlink="">
      <cdr:nvSpPr>
        <cdr:cNvPr id="8" name="Rectangle 7"/>
        <cdr:cNvSpPr/>
      </cdr:nvSpPr>
      <cdr:spPr>
        <a:xfrm xmlns:a="http://schemas.openxmlformats.org/drawingml/2006/main">
          <a:off x="7646940" y="603827"/>
          <a:ext cx="1191960" cy="18288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l"/>
          <a:r>
            <a:rPr lang="en-US" sz="1000" b="1">
              <a:solidFill>
                <a:srgbClr val="646464"/>
              </a:solidFill>
            </a:rPr>
            <a:t>Top Quartile</a:t>
          </a: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0.0075</cdr:x>
      <cdr:y>0.00939</cdr:y>
    </cdr:from>
    <cdr:to>
      <cdr:x>0.00756</cdr:x>
      <cdr:y>0.01007</cdr:y>
    </cdr:to>
    <cdr:cxnSp macro="">
      <cdr:nvCxnSpPr>
        <cdr:cNvPr id="4" name="Straight Arrow Connector 3">
          <a:extLst xmlns:a="http://schemas.openxmlformats.org/drawingml/2006/main">
            <a:ext uri="{FF2B5EF4-FFF2-40B4-BE49-F238E27FC236}">
              <a16:creationId xmlns:a16="http://schemas.microsoft.com/office/drawing/2014/main" id="{A3326242-38DB-4407-B26D-A433F9574465}"/>
            </a:ext>
          </a:extLst>
        </cdr:cNvPr>
        <cdr:cNvCxnSpPr/>
      </cdr:nvCxnSpPr>
      <cdr:spPr>
        <a:xfrm xmlns:a="http://schemas.openxmlformats.org/drawingml/2006/main">
          <a:off x="61722" y="58039"/>
          <a:ext cx="508" cy="4191"/>
        </a:xfrm>
        <a:prstGeom xmlns:a="http://schemas.openxmlformats.org/drawingml/2006/main" prst="straightConnector1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</cdr:x>
      <cdr:y>0.01042</cdr:y>
    </cdr:from>
    <cdr:to>
      <cdr:x>0.01862</cdr:x>
      <cdr:y>0.03042</cdr:y>
    </cdr:to>
    <cdr:sp macro="" textlink="">
      <cdr:nvSpPr>
        <cdr:cNvPr id="2" name="Oval 1"/>
        <cdr:cNvSpPr/>
      </cdr:nvSpPr>
      <cdr:spPr>
        <a:xfrm xmlns:a="http://schemas.openxmlformats.org/drawingml/2006/main">
          <a:off x="0" y="47640"/>
          <a:ext cx="91438" cy="91440"/>
        </a:xfrm>
        <a:prstGeom xmlns:a="http://schemas.openxmlformats.org/drawingml/2006/main" prst="ellipse">
          <a:avLst/>
        </a:prstGeom>
        <a:solidFill xmlns:a="http://schemas.openxmlformats.org/drawingml/2006/main">
          <a:srgbClr val="5E8AB4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0.02715</cdr:x>
      <cdr:y>0.00417</cdr:y>
    </cdr:from>
    <cdr:to>
      <cdr:x>0.3437</cdr:x>
      <cdr:y>0.0375</cdr:y>
    </cdr:to>
    <cdr:sp macro="" textlink="CName">
      <cdr:nvSpPr>
        <cdr:cNvPr id="6" name="Rectangle 5"/>
        <cdr:cNvSpPr/>
      </cdr:nvSpPr>
      <cdr:spPr>
        <a:xfrm xmlns:a="http://schemas.openxmlformats.org/drawingml/2006/main">
          <a:off x="133326" y="19065"/>
          <a:ext cx="1554487" cy="15238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lIns="0" tIns="0" rIns="0" bIns="0" anchor="t"/>
        <a:lstStyle xmlns:a="http://schemas.openxmlformats.org/drawingml/2006/main"/>
        <a:p xmlns:a="http://schemas.openxmlformats.org/drawingml/2006/main">
          <a:fld id="{C8334D48-D8C1-4628-877F-4A476F9E1FC3}" type="TxLink">
            <a:rPr lang="en-US" sz="1000" b="1" i="0" u="none" strike="noStrike">
              <a:solidFill>
                <a:srgbClr val="646464"/>
              </a:solidFill>
              <a:latin typeface="Calibri"/>
              <a:cs typeface="Calibri"/>
            </a:rPr>
            <a:pPr/>
            <a:t> </a:t>
          </a:fld>
          <a:endParaRPr lang="en-US" sz="1000" b="1">
            <a:solidFill>
              <a:srgbClr val="646464"/>
            </a:solidFill>
          </a:endParaRPr>
        </a:p>
      </cdr:txBody>
    </cdr:sp>
  </cdr:relSizeAnchor>
  <cdr:relSizeAnchor xmlns:cdr="http://schemas.openxmlformats.org/drawingml/2006/chartDrawing">
    <cdr:from>
      <cdr:x>0.81353</cdr:x>
      <cdr:y>0.00972</cdr:y>
    </cdr:from>
    <cdr:to>
      <cdr:x>0.83215</cdr:x>
      <cdr:y>0.02972</cdr:y>
    </cdr:to>
    <cdr:sp macro="" textlink="">
      <cdr:nvSpPr>
        <cdr:cNvPr id="7" name="Oval 6"/>
        <cdr:cNvSpPr/>
      </cdr:nvSpPr>
      <cdr:spPr>
        <a:xfrm xmlns:a="http://schemas.openxmlformats.org/drawingml/2006/main">
          <a:off x="3995015" y="44440"/>
          <a:ext cx="91437" cy="91440"/>
        </a:xfrm>
        <a:prstGeom xmlns:a="http://schemas.openxmlformats.org/drawingml/2006/main" prst="ellipse">
          <a:avLst/>
        </a:prstGeom>
        <a:solidFill xmlns:a="http://schemas.openxmlformats.org/drawingml/2006/main">
          <a:srgbClr val="002B49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0.85103</cdr:x>
      <cdr:y>0.00139</cdr:y>
    </cdr:from>
    <cdr:to>
      <cdr:x>1</cdr:x>
      <cdr:y>0.03576</cdr:y>
    </cdr:to>
    <cdr:sp macro="" textlink="">
      <cdr:nvSpPr>
        <cdr:cNvPr id="11" name="Rectangle 10"/>
        <cdr:cNvSpPr/>
      </cdr:nvSpPr>
      <cdr:spPr>
        <a:xfrm xmlns:a="http://schemas.openxmlformats.org/drawingml/2006/main">
          <a:off x="4179167" y="6355"/>
          <a:ext cx="731549" cy="15714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lIns="0" tIns="0" rIns="0" bIns="0"/>
        <a:lstStyle xmlns:a="http://schemas.openxmlformats.org/drawingml/2006/main"/>
        <a:p xmlns:a="http://schemas.openxmlformats.org/drawingml/2006/main">
          <a:r>
            <a:rPr lang="en-US" sz="1000" b="1">
              <a:solidFill>
                <a:srgbClr val="646464"/>
              </a:solidFill>
            </a:rPr>
            <a:t>Vital Peers</a:t>
          </a:r>
        </a:p>
      </cdr:txBody>
    </cdr:sp>
  </cdr:relSizeAnchor>
  <cdr:relSizeAnchor xmlns:cdr="http://schemas.openxmlformats.org/drawingml/2006/chartDrawing">
    <cdr:from>
      <cdr:x>0.35966</cdr:x>
      <cdr:y>0.01667</cdr:y>
    </cdr:from>
    <cdr:to>
      <cdr:x>0.41552</cdr:x>
      <cdr:y>0.01667</cdr:y>
    </cdr:to>
    <cdr:cxnSp macro="">
      <cdr:nvCxnSpPr>
        <cdr:cNvPr id="14" name="Straight Connector 13">
          <a:extLst xmlns:a="http://schemas.openxmlformats.org/drawingml/2006/main">
            <a:ext uri="{FF2B5EF4-FFF2-40B4-BE49-F238E27FC236}">
              <a16:creationId xmlns:a16="http://schemas.microsoft.com/office/drawing/2014/main" id="{7BEE9712-8790-4C88-B77C-153A2D50644F}"/>
            </a:ext>
          </a:extLst>
        </cdr:cNvPr>
        <cdr:cNvCxnSpPr/>
      </cdr:nvCxnSpPr>
      <cdr:spPr>
        <a:xfrm xmlns:a="http://schemas.openxmlformats.org/drawingml/2006/main">
          <a:off x="1766184" y="76200"/>
          <a:ext cx="274312" cy="0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rgbClr val="A9C6AA"/>
          </a:solidFill>
          <a:prstDash val="sys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0.61665</cdr:x>
      <cdr:y>0.01667</cdr:y>
    </cdr:from>
    <cdr:to>
      <cdr:x>0.67252</cdr:x>
      <cdr:y>0.01667</cdr:y>
    </cdr:to>
    <cdr:cxnSp macro="">
      <cdr:nvCxnSpPr>
        <cdr:cNvPr id="15" name="Straight Connector 14">
          <a:extLst xmlns:a="http://schemas.openxmlformats.org/drawingml/2006/main">
            <a:ext uri="{FF2B5EF4-FFF2-40B4-BE49-F238E27FC236}">
              <a16:creationId xmlns:a16="http://schemas.microsoft.com/office/drawing/2014/main" id="{E0DEC81C-BC97-421C-8143-C87BD350E3FC}"/>
            </a:ext>
          </a:extLst>
        </cdr:cNvPr>
        <cdr:cNvCxnSpPr/>
      </cdr:nvCxnSpPr>
      <cdr:spPr>
        <a:xfrm xmlns:a="http://schemas.openxmlformats.org/drawingml/2006/main">
          <a:off x="3028213" y="76200"/>
          <a:ext cx="274362" cy="0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rgbClr val="ECCC99"/>
          </a:solidFill>
          <a:prstDash val="sys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0.43052</cdr:x>
      <cdr:y>0</cdr:y>
    </cdr:from>
    <cdr:to>
      <cdr:x>0.61672</cdr:x>
      <cdr:y>0.03438</cdr:y>
    </cdr:to>
    <cdr:sp macro="" textlink="">
      <cdr:nvSpPr>
        <cdr:cNvPr id="16" name="Rectangle 15"/>
        <cdr:cNvSpPr/>
      </cdr:nvSpPr>
      <cdr:spPr>
        <a:xfrm xmlns:a="http://schemas.openxmlformats.org/drawingml/2006/main">
          <a:off x="2114159" y="0"/>
          <a:ext cx="914400" cy="15718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lIns="0" tIns="0" rIns="0" bIns="0"/>
        <a:lstStyle xmlns:a="http://schemas.openxmlformats.org/drawingml/2006/main"/>
        <a:p xmlns:a="http://schemas.openxmlformats.org/drawingml/2006/main">
          <a:r>
            <a:rPr lang="en-US" sz="1000" b="1">
              <a:solidFill>
                <a:srgbClr val="646464"/>
              </a:solidFill>
            </a:rPr>
            <a:t>Top Quartile</a:t>
          </a:r>
        </a:p>
      </cdr:txBody>
    </cdr:sp>
  </cdr:relSizeAnchor>
  <cdr:relSizeAnchor xmlns:cdr="http://schemas.openxmlformats.org/drawingml/2006/chartDrawing">
    <cdr:from>
      <cdr:x>0.68305</cdr:x>
      <cdr:y>0</cdr:y>
    </cdr:from>
    <cdr:to>
      <cdr:x>0.83201</cdr:x>
      <cdr:y>0.03438</cdr:y>
    </cdr:to>
    <cdr:sp macro="" textlink="">
      <cdr:nvSpPr>
        <cdr:cNvPr id="12" name="Rectangle 11"/>
        <cdr:cNvSpPr/>
      </cdr:nvSpPr>
      <cdr:spPr>
        <a:xfrm xmlns:a="http://schemas.openxmlformats.org/drawingml/2006/main">
          <a:off x="3354284" y="0"/>
          <a:ext cx="731501" cy="15718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lIns="0" tIns="0" rIns="0" bIns="0"/>
        <a:lstStyle xmlns:a="http://schemas.openxmlformats.org/drawingml/2006/main"/>
        <a:p xmlns:a="http://schemas.openxmlformats.org/drawingml/2006/main">
          <a:r>
            <a:rPr lang="en-US" sz="1000" b="1">
              <a:solidFill>
                <a:srgbClr val="646464"/>
              </a:solidFill>
            </a:rPr>
            <a:t>Median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0.4346</cdr:x>
      <cdr:y>0.7826</cdr:y>
    </cdr:from>
    <cdr:to>
      <cdr:x>0.64731</cdr:x>
      <cdr:y>0.84019</cdr:y>
    </cdr:to>
    <cdr:sp macro="" textlink="'Charts Data'!$I$4">
      <cdr:nvSpPr>
        <cdr:cNvPr id="5" name="TxtTopQ"/>
        <cdr:cNvSpPr txBox="1"/>
      </cdr:nvSpPr>
      <cdr:spPr>
        <a:xfrm xmlns:a="http://schemas.openxmlformats.org/drawingml/2006/main">
          <a:off x="1088017" y="3438490"/>
          <a:ext cx="532514" cy="25303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fld id="{49C5176F-390B-44D2-98B3-AAC45D85F8B2}" type="TxLink">
            <a:rPr lang="en-US" sz="900" b="1" i="1" u="none" strike="noStrike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pPr/>
            <a:t>0.00%</a:t>
          </a:fld>
          <a:endParaRPr lang="en-US" sz="900" b="1" i="1" u="none" strike="noStrike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0.32605</cdr:x>
      <cdr:y>0.23903</cdr:y>
    </cdr:from>
    <cdr:to>
      <cdr:x>0.54096</cdr:x>
      <cdr:y>0.30085</cdr:y>
    </cdr:to>
    <cdr:sp macro="" textlink="'Charts Data'!$K$4">
      <cdr:nvSpPr>
        <cdr:cNvPr id="2" name="TxtBottomDecile"/>
        <cdr:cNvSpPr txBox="1"/>
      </cdr:nvSpPr>
      <cdr:spPr>
        <a:xfrm xmlns:a="http://schemas.openxmlformats.org/drawingml/2006/main">
          <a:off x="816253" y="1050219"/>
          <a:ext cx="538021" cy="271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fld id="{D8BF8FCC-FCA7-4B9D-B231-55CE1CD34A90}" type="TxLink">
            <a:rPr lang="en-US" sz="900" b="1" i="1" u="none" strike="noStrike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pPr/>
            <a:t> </a:t>
          </a:fld>
          <a:endParaRPr lang="en-US" sz="900" b="1" i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0.42705</cdr:x>
      <cdr:y>0.37939</cdr:y>
    </cdr:from>
    <cdr:to>
      <cdr:x>0.65487</cdr:x>
      <cdr:y>0.43755</cdr:y>
    </cdr:to>
    <cdr:sp macro="" textlink="'Charts Data'!$J$4">
      <cdr:nvSpPr>
        <cdr:cNvPr id="3" name="TxtBottomQ"/>
        <cdr:cNvSpPr txBox="1"/>
      </cdr:nvSpPr>
      <cdr:spPr>
        <a:xfrm xmlns:a="http://schemas.openxmlformats.org/drawingml/2006/main">
          <a:off x="1069104" y="1666904"/>
          <a:ext cx="570341" cy="25553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fld id="{E58B83B4-6472-429C-801A-DE9F33F59526}" type="TxLink">
            <a:rPr lang="en-US" sz="900" b="1" i="1" u="none" strike="noStrike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pPr/>
            <a:t>0.00%</a:t>
          </a:fld>
          <a:endParaRPr lang="en-US" sz="900" b="1" i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0.43838</cdr:x>
      <cdr:y>0.46842</cdr:y>
    </cdr:from>
    <cdr:to>
      <cdr:x>0.64354</cdr:x>
      <cdr:y>0.51557</cdr:y>
    </cdr:to>
    <cdr:sp macro="" textlink="'Charts Data'!$F$3">
      <cdr:nvSpPr>
        <cdr:cNvPr id="4" name="TxtMedian"/>
        <cdr:cNvSpPr txBox="1"/>
      </cdr:nvSpPr>
      <cdr:spPr>
        <a:xfrm xmlns:a="http://schemas.openxmlformats.org/drawingml/2006/main">
          <a:off x="1097468" y="2058090"/>
          <a:ext cx="513612" cy="20716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fld id="{5331F31E-1E82-4664-9C99-3D04D98D4DBE}" type="TxLink">
            <a:rPr lang="en-US" sz="900" b="1" i="1" u="none" strike="noStrike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pPr/>
            <a:t> </a:t>
          </a:fld>
          <a:endParaRPr lang="en-US" sz="900" b="1" i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0.35248</cdr:x>
      <cdr:y>0.92873</cdr:y>
    </cdr:from>
    <cdr:to>
      <cdr:x>0.54096</cdr:x>
      <cdr:y>1</cdr:y>
    </cdr:to>
    <cdr:sp macro="" textlink="'Charts Data'!$H$4">
      <cdr:nvSpPr>
        <cdr:cNvPr id="6" name="TxtTopDecile"/>
        <cdr:cNvSpPr txBox="1"/>
      </cdr:nvSpPr>
      <cdr:spPr>
        <a:xfrm xmlns:a="http://schemas.openxmlformats.org/drawingml/2006/main">
          <a:off x="882419" y="4161327"/>
          <a:ext cx="471855" cy="313138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fld id="{FACA54DC-311D-43AA-9845-821BF4C9743B}" type="TxLink">
            <a:rPr lang="en-US" sz="900" b="1" i="1" u="none" strike="noStrike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pPr/>
            <a:t> </a:t>
          </a:fld>
          <a:endParaRPr lang="en-US" sz="900" b="1" i="1" u="none" strike="noStrike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0.54096</cdr:x>
      <cdr:y>0.23438</cdr:y>
    </cdr:from>
    <cdr:to>
      <cdr:x>0.93145</cdr:x>
      <cdr:y>0.30549</cdr:y>
    </cdr:to>
    <cdr:sp macro="" textlink="">
      <cdr:nvSpPr>
        <cdr:cNvPr id="7" name="lblBottomDecile"/>
        <cdr:cNvSpPr txBox="1"/>
      </cdr:nvSpPr>
      <cdr:spPr>
        <a:xfrm xmlns:a="http://schemas.openxmlformats.org/drawingml/2006/main">
          <a:off x="1354274" y="1029810"/>
          <a:ext cx="977580" cy="3124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274320" tIns="0" rIns="0" bIns="0" rtlCol="0"/>
        <a:lstStyle xmlns:a="http://schemas.openxmlformats.org/drawingml/2006/main"/>
        <a:p xmlns:a="http://schemas.openxmlformats.org/drawingml/2006/main">
          <a:r>
            <a:rPr lang="en-US" sz="800" b="1">
              <a:solidFill>
                <a:srgbClr val="646464"/>
              </a:solidFill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  <cdr:relSizeAnchor xmlns:cdr="http://schemas.openxmlformats.org/drawingml/2006/chartDrawing">
    <cdr:from>
      <cdr:x>0.69163</cdr:x>
      <cdr:y>0.38387</cdr:y>
    </cdr:from>
    <cdr:to>
      <cdr:x>0.99429</cdr:x>
      <cdr:y>0.43755</cdr:y>
    </cdr:to>
    <cdr:sp macro="" textlink="">
      <cdr:nvSpPr>
        <cdr:cNvPr id="8" name="lblBottomQ"/>
        <cdr:cNvSpPr txBox="1"/>
      </cdr:nvSpPr>
      <cdr:spPr>
        <a:xfrm xmlns:a="http://schemas.openxmlformats.org/drawingml/2006/main">
          <a:off x="1731475" y="1686587"/>
          <a:ext cx="757700" cy="2358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overflow" horzOverflow="overflow" wrap="square" lIns="91440" tIns="0" rIns="0" bIns="0" rtlCol="0">
          <a:spAutoFit/>
        </a:bodyPr>
        <a:lstStyle xmlns:a="http://schemas.openxmlformats.org/drawingml/2006/main"/>
        <a:p xmlns:a="http://schemas.openxmlformats.org/drawingml/2006/main">
          <a:r>
            <a:rPr lang="en-US" sz="800" b="1">
              <a:solidFill>
                <a:srgbClr val="646464"/>
              </a:solidFill>
              <a:latin typeface="Arial" panose="020B0604020202020204" pitchFamily="34" charset="0"/>
              <a:cs typeface="Arial" panose="020B0604020202020204" pitchFamily="34" charset="0"/>
            </a:rPr>
            <a:t>Bottom Quartile</a:t>
          </a:r>
        </a:p>
      </cdr:txBody>
    </cdr:sp>
  </cdr:relSizeAnchor>
  <cdr:relSizeAnchor xmlns:cdr="http://schemas.openxmlformats.org/drawingml/2006/chartDrawing">
    <cdr:from>
      <cdr:x>0.69163</cdr:x>
      <cdr:y>0.48475</cdr:y>
    </cdr:from>
    <cdr:to>
      <cdr:x>0.99736</cdr:x>
      <cdr:y>0.51557</cdr:y>
    </cdr:to>
    <cdr:sp macro="" textlink="">
      <cdr:nvSpPr>
        <cdr:cNvPr id="9" name="lblMedian"/>
        <cdr:cNvSpPr txBox="1"/>
      </cdr:nvSpPr>
      <cdr:spPr>
        <a:xfrm xmlns:a="http://schemas.openxmlformats.org/drawingml/2006/main">
          <a:off x="1731475" y="2129839"/>
          <a:ext cx="765386" cy="1354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91440" tIns="0" rIns="0" bIns="0" rtlCol="0"/>
        <a:lstStyle xmlns:a="http://schemas.openxmlformats.org/drawingml/2006/main"/>
        <a:p xmlns:a="http://schemas.openxmlformats.org/drawingml/2006/main">
          <a:r>
            <a:rPr lang="en-US" sz="800" b="1">
              <a:solidFill>
                <a:srgbClr val="646464"/>
              </a:solidFill>
              <a:latin typeface="Arial" panose="020B0604020202020204" pitchFamily="34" charset="0"/>
              <a:cs typeface="Arial" panose="020B0604020202020204" pitchFamily="34" charset="0"/>
            </a:rPr>
            <a:t>Median</a:t>
          </a:r>
        </a:p>
      </cdr:txBody>
    </cdr:sp>
  </cdr:relSizeAnchor>
  <cdr:relSizeAnchor xmlns:cdr="http://schemas.openxmlformats.org/drawingml/2006/chartDrawing">
    <cdr:from>
      <cdr:x>0.69163</cdr:x>
      <cdr:y>0.80937</cdr:y>
    </cdr:from>
    <cdr:to>
      <cdr:x>0.99736</cdr:x>
      <cdr:y>0.84019</cdr:y>
    </cdr:to>
    <cdr:sp macro="" textlink="">
      <cdr:nvSpPr>
        <cdr:cNvPr id="10" name="lblTopQ"/>
        <cdr:cNvSpPr txBox="1"/>
      </cdr:nvSpPr>
      <cdr:spPr>
        <a:xfrm xmlns:a="http://schemas.openxmlformats.org/drawingml/2006/main">
          <a:off x="1731475" y="3556109"/>
          <a:ext cx="765386" cy="13541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tIns="0" rIns="0" bIns="0" rtlCol="0"/>
        <a:lstStyle xmlns:a="http://schemas.openxmlformats.org/drawingml/2006/main"/>
        <a:p xmlns:a="http://schemas.openxmlformats.org/drawingml/2006/main">
          <a:r>
            <a:rPr lang="en-US" sz="800" b="1">
              <a:solidFill>
                <a:srgbClr val="646464"/>
              </a:solidFill>
              <a:latin typeface="Arial" panose="020B0604020202020204" pitchFamily="34" charset="0"/>
              <a:cs typeface="Arial" panose="020B0604020202020204" pitchFamily="34" charset="0"/>
            </a:rPr>
            <a:t>Top Quartile</a:t>
          </a:r>
        </a:p>
      </cdr:txBody>
    </cdr:sp>
  </cdr:relSizeAnchor>
  <cdr:relSizeAnchor xmlns:cdr="http://schemas.openxmlformats.org/drawingml/2006/chartDrawing">
    <cdr:from>
      <cdr:x>0.54096</cdr:x>
      <cdr:y>0.96734</cdr:y>
    </cdr:from>
    <cdr:to>
      <cdr:x>0.87726</cdr:x>
      <cdr:y>0.99816</cdr:y>
    </cdr:to>
    <cdr:sp macro="" textlink="">
      <cdr:nvSpPr>
        <cdr:cNvPr id="11" name="lblTopDecile"/>
        <cdr:cNvSpPr txBox="1"/>
      </cdr:nvSpPr>
      <cdr:spPr>
        <a:xfrm xmlns:a="http://schemas.openxmlformats.org/drawingml/2006/main">
          <a:off x="1354274" y="4250189"/>
          <a:ext cx="841917" cy="1354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274320" tIns="0" rIns="0" bIns="0" rtlCol="0"/>
        <a:lstStyle xmlns:a="http://schemas.openxmlformats.org/drawingml/2006/main"/>
        <a:p xmlns:a="http://schemas.openxmlformats.org/drawingml/2006/main">
          <a:r>
            <a:rPr lang="en-US" sz="800" b="1">
              <a:solidFill>
                <a:srgbClr val="646464"/>
              </a:solidFill>
              <a:latin typeface="Arial" panose="020B0604020202020204" pitchFamily="34" charset="0"/>
              <a:cs typeface="Arial" panose="020B0604020202020204" pitchFamily="34" charset="0"/>
            </a:rPr>
            <a:t>Min</a:t>
          </a:r>
        </a:p>
      </cdr:txBody>
    </cdr:sp>
  </cdr:relSizeAnchor>
</c:userShapes>
</file>

<file path=xl/theme/theme1.xml><?xml version="1.0" encoding="utf-8"?>
<a:theme xmlns:a="http://schemas.openxmlformats.org/drawingml/2006/main" name="Theme1_sg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lnDef>
      <a:spPr>
        <a:ln>
          <a:headEnd type="arrow"/>
          <a:tailEnd type="arrow"/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2:U181"/>
  <sheetViews>
    <sheetView showGridLines="0" zoomScaleNormal="100" workbookViewId="0">
      <selection activeCell="E151" sqref="E151"/>
    </sheetView>
  </sheetViews>
  <sheetFormatPr defaultRowHeight="15" x14ac:dyDescent="0.25"/>
  <sheetData>
    <row r="22" spans="21:21" x14ac:dyDescent="0.25">
      <c r="U22" s="53"/>
    </row>
    <row r="181" spans="1:1" x14ac:dyDescent="0.25">
      <c r="A181" t="str">
        <f>"--------------------------------------------------------------"</f>
        <v>--------------------------------------------------------------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H100"/>
  <sheetViews>
    <sheetView tabSelected="1" workbookViewId="0">
      <selection activeCell="E33" sqref="E33"/>
    </sheetView>
  </sheetViews>
  <sheetFormatPr defaultRowHeight="15" x14ac:dyDescent="0.25"/>
  <cols>
    <col min="1" max="1" width="32.85546875" customWidth="1"/>
    <col min="2" max="2" width="14.42578125" bestFit="1" customWidth="1"/>
    <col min="3" max="3" width="25.5703125" customWidth="1"/>
    <col min="4" max="4" width="16.28515625" bestFit="1" customWidth="1"/>
    <col min="8" max="8" width="10.28515625" bestFit="1" customWidth="1"/>
    <col min="10" max="10" width="9.42578125" bestFit="1" customWidth="1"/>
    <col min="11" max="11" width="13.7109375" bestFit="1" customWidth="1"/>
    <col min="13" max="13" width="11.42578125" bestFit="1" customWidth="1"/>
    <col min="14" max="14" width="22.85546875" bestFit="1" customWidth="1"/>
    <col min="15" max="15" width="23.85546875" bestFit="1" customWidth="1"/>
    <col min="18" max="18" width="40.5703125" bestFit="1" customWidth="1"/>
    <col min="19" max="19" width="9.5703125" bestFit="1" customWidth="1"/>
    <col min="20" max="20" width="12.42578125" bestFit="1" customWidth="1"/>
    <col min="21" max="21" width="12.140625" customWidth="1"/>
    <col min="22" max="22" width="11.85546875" bestFit="1" customWidth="1"/>
    <col min="23" max="23" width="40" bestFit="1" customWidth="1"/>
    <col min="24" max="24" width="18.42578125" bestFit="1" customWidth="1"/>
    <col min="25" max="25" width="22.85546875" bestFit="1" customWidth="1"/>
    <col min="29" max="29" width="18.5703125" bestFit="1" customWidth="1"/>
    <col min="36" max="36" width="28.42578125" bestFit="1" customWidth="1"/>
    <col min="37" max="37" width="45.7109375" bestFit="1" customWidth="1"/>
    <col min="46" max="46" width="37.42578125" customWidth="1"/>
    <col min="47" max="47" width="15.42578125" customWidth="1"/>
    <col min="48" max="48" width="14.42578125" customWidth="1"/>
    <col min="49" max="49" width="13.28515625" customWidth="1"/>
    <col min="50" max="50" width="14.85546875" customWidth="1"/>
    <col min="51" max="51" width="15.7109375" customWidth="1"/>
    <col min="52" max="52" width="16.7109375" customWidth="1"/>
    <col min="53" max="53" width="8.5703125" customWidth="1"/>
    <col min="55" max="55" width="12.42578125" bestFit="1" customWidth="1"/>
    <col min="56" max="56" width="19.85546875" bestFit="1" customWidth="1"/>
    <col min="58" max="58" width="41.42578125" customWidth="1"/>
    <col min="59" max="59" width="33" customWidth="1"/>
    <col min="61" max="61" width="24.28515625" customWidth="1"/>
    <col min="62" max="62" width="27.7109375" customWidth="1"/>
    <col min="65" max="65" width="20.42578125" customWidth="1"/>
    <col min="76" max="76" width="21.5703125" customWidth="1"/>
    <col min="77" max="77" width="18.85546875" customWidth="1"/>
    <col min="78" max="78" width="29.7109375" customWidth="1"/>
  </cols>
  <sheetData>
    <row r="1" spans="1:86" x14ac:dyDescent="0.25">
      <c r="D1" s="5" t="s">
        <v>9</v>
      </c>
      <c r="E1" s="5" t="s">
        <v>8</v>
      </c>
      <c r="H1" s="5" t="s">
        <v>7</v>
      </c>
      <c r="I1">
        <v>0.8</v>
      </c>
      <c r="J1" t="e">
        <f>VLOOKUP(CName,$M:$O,2,0)</f>
        <v>#N/A</v>
      </c>
      <c r="K1">
        <v>0.8</v>
      </c>
      <c r="L1" t="e">
        <f>VLOOKUP(CName,$M:$O,3,0)</f>
        <v>#N/A</v>
      </c>
      <c r="N1" t="e">
        <f>"P50 = "&amp;TEXT(PERCENTILE($N$3:$N$1048576,50%),"0.00") &amp; " " &amp; "P75 = "&amp;TEXT(PERCENTILE($N$3:$N$1048576,75%),"0.00")</f>
        <v>#NUM!</v>
      </c>
      <c r="O1" t="e">
        <f>"P50 = "&amp;TEXT(PERCENTILE($O$3:$O$1048576,50%),"0.00") &amp; " " &amp; "P75 = "&amp;TEXT(PERCENTILE($O$3:$O$1048576,75%),"0.00")</f>
        <v>#NUM!</v>
      </c>
      <c r="W1" s="2" t="s">
        <v>33</v>
      </c>
      <c r="X1" s="14"/>
      <c r="Y1" t="s">
        <v>99</v>
      </c>
      <c r="Z1" s="6"/>
      <c r="AC1" s="5" t="s">
        <v>44</v>
      </c>
      <c r="AG1" s="5" t="s">
        <v>45</v>
      </c>
      <c r="AK1" s="2" t="s">
        <v>71</v>
      </c>
      <c r="AT1" t="str">
        <f xml:space="preserve"> "High Level SG&amp;A Opportunity Range2:  " &amp; AU1</f>
        <v xml:space="preserve">High Level SG&amp;A Opportunity Range2:  </v>
      </c>
      <c r="AU1" s="52"/>
      <c r="AW1" t="str">
        <f>"* SG&amp;A Top down model is A&amp;M’s proprietary methodology for modelling benchmark company and peers' data"</f>
        <v>* SG&amp;A Top down model is A&amp;M’s proprietary methodology for modelling benchmark company and peers' data</v>
      </c>
      <c r="BR1" s="5" t="s">
        <v>134</v>
      </c>
    </row>
    <row r="2" spans="1:86" ht="30" customHeight="1" x14ac:dyDescent="0.25">
      <c r="A2" s="2" t="s">
        <v>5</v>
      </c>
      <c r="B2" s="3" t="s">
        <v>6</v>
      </c>
      <c r="D2" s="6"/>
      <c r="E2" s="2" t="s">
        <v>0</v>
      </c>
      <c r="F2" s="2" t="s">
        <v>1</v>
      </c>
      <c r="G2" s="2" t="s">
        <v>2</v>
      </c>
      <c r="H2" s="2" t="s">
        <v>3</v>
      </c>
      <c r="I2" s="2" t="s">
        <v>0</v>
      </c>
      <c r="J2" s="2" t="s">
        <v>2</v>
      </c>
      <c r="K2" s="2" t="s">
        <v>4</v>
      </c>
      <c r="M2" s="2" t="s">
        <v>10</v>
      </c>
      <c r="N2" s="2" t="s">
        <v>11</v>
      </c>
      <c r="O2" s="2" t="s">
        <v>12</v>
      </c>
      <c r="R2" s="12" t="s">
        <v>21</v>
      </c>
      <c r="S2" s="11">
        <f>CName</f>
        <v>0</v>
      </c>
      <c r="T2" s="11" t="s">
        <v>1</v>
      </c>
      <c r="U2" s="11" t="s">
        <v>22</v>
      </c>
      <c r="W2" s="13" t="s">
        <v>32</v>
      </c>
      <c r="X2" s="11" t="s">
        <v>1</v>
      </c>
      <c r="Y2" s="11" t="s">
        <v>22</v>
      </c>
      <c r="Z2" s="11" t="s">
        <v>41</v>
      </c>
      <c r="AA2" s="11" t="s">
        <v>42</v>
      </c>
      <c r="AK2" s="6"/>
      <c r="BI2" s="2" t="s">
        <v>129</v>
      </c>
      <c r="BJ2" s="6"/>
      <c r="BM2" s="13" t="s">
        <v>32</v>
      </c>
      <c r="BN2" s="11" t="s">
        <v>3</v>
      </c>
      <c r="BO2" s="11" t="s">
        <v>135</v>
      </c>
      <c r="BX2" t="s">
        <v>144</v>
      </c>
      <c r="BY2" s="57" t="s">
        <v>145</v>
      </c>
      <c r="BZ2" t="s">
        <v>146</v>
      </c>
      <c r="CC2" t="s">
        <v>151</v>
      </c>
      <c r="CD2" s="6"/>
      <c r="CF2">
        <v>1</v>
      </c>
      <c r="CG2" t="s">
        <v>152</v>
      </c>
    </row>
    <row r="3" spans="1:86" x14ac:dyDescent="0.25">
      <c r="A3" s="6"/>
      <c r="B3" s="7"/>
      <c r="C3" s="6"/>
      <c r="D3">
        <v>1</v>
      </c>
      <c r="E3" s="7"/>
      <c r="F3" s="7"/>
      <c r="G3" s="7"/>
      <c r="H3">
        <v>1</v>
      </c>
      <c r="I3">
        <v>1</v>
      </c>
      <c r="J3">
        <v>1</v>
      </c>
      <c r="K3">
        <v>1</v>
      </c>
      <c r="M3" s="6"/>
      <c r="N3" s="8"/>
      <c r="O3" s="8"/>
      <c r="R3" s="9" t="s">
        <v>13</v>
      </c>
      <c r="S3" s="10"/>
      <c r="T3" s="10"/>
      <c r="U3" s="10"/>
      <c r="W3" s="9" t="s">
        <v>34</v>
      </c>
      <c r="X3" s="46"/>
      <c r="Y3" s="46"/>
      <c r="Z3" s="16" t="e">
        <f>IF(X3="Better Than Median", COUNT($X$3:$X$10)+COUNTIF($X$3:$X$10,X3), RANK(X3,$X$3:$X$10,0)+COUNTIF($X$3:X3,X3)-1)</f>
        <v>#N/A</v>
      </c>
      <c r="AA3" s="16" t="e">
        <f>IF(Y3="Better Than Median", COUNT($Y$3:$Y$10)+COUNTIF($Y$3:$Y$10,Y3), RANK(Y3,$Y$3:$Y$10,0)+COUNTIF($Y$3:Y3,Y3)-1)</f>
        <v>#N/A</v>
      </c>
      <c r="AB3">
        <v>1</v>
      </c>
      <c r="AC3" t="e">
        <f>INDEX($W$3:$W$10,MATCH($AB3,$Z$3:$Z$10,0))</f>
        <v>#N/A</v>
      </c>
      <c r="AD3" s="15" t="e">
        <f t="shared" ref="AD3:AD10" si="0">INDEX($X$3:$X$10,MATCH($AB3,$Z$3:$Z$10,0))</f>
        <v>#N/A</v>
      </c>
      <c r="AG3" t="e">
        <f>INDEX($W$3:$W$10,MATCH($AB3,$AA$3:$AA$10,0))</f>
        <v>#N/A</v>
      </c>
      <c r="AH3" s="15" t="e">
        <f>INDEX($Y$3:$Y$10,MATCH($AB3,$AA$3:$AA$10,0))</f>
        <v>#N/A</v>
      </c>
      <c r="AK3" s="2" t="s">
        <v>72</v>
      </c>
      <c r="AL3" s="18"/>
      <c r="AM3" s="18"/>
      <c r="AN3" s="18"/>
      <c r="AP3" s="2" t="s">
        <v>0</v>
      </c>
      <c r="AQ3" s="2" t="s">
        <v>1</v>
      </c>
      <c r="AR3" s="2" t="s">
        <v>2</v>
      </c>
      <c r="AT3" s="36" t="s">
        <v>101</v>
      </c>
      <c r="AU3" s="37" t="s">
        <v>102</v>
      </c>
      <c r="AV3" s="37" t="s">
        <v>103</v>
      </c>
      <c r="AW3" s="37" t="s">
        <v>1</v>
      </c>
      <c r="AX3" s="37" t="s">
        <v>104</v>
      </c>
      <c r="AY3" s="37" t="s">
        <v>105</v>
      </c>
      <c r="AZ3" s="38">
        <f>CName</f>
        <v>0</v>
      </c>
      <c r="BA3" s="38" t="s">
        <v>106</v>
      </c>
      <c r="BC3" s="2" t="s">
        <v>113</v>
      </c>
      <c r="BD3" s="2" t="s">
        <v>112</v>
      </c>
      <c r="BF3" s="2" t="s">
        <v>117</v>
      </c>
      <c r="BG3" s="2" t="s">
        <v>118</v>
      </c>
      <c r="BI3" s="2" t="s">
        <v>130</v>
      </c>
      <c r="BJ3" s="6"/>
      <c r="BM3" s="9" t="s">
        <v>34</v>
      </c>
      <c r="BN3" s="46"/>
      <c r="BO3" s="16" t="e">
        <f>IF(BN3="Better Than Median", COUNT($BN$3:$BN$10)+COUNTIF($BN$3:$BN$10,BN3), RANK(BN3,$BN$3:$BN$10,0)+COUNTIF($BN$3:BN3,BN3)-1)</f>
        <v>#N/A</v>
      </c>
      <c r="BP3">
        <v>1</v>
      </c>
      <c r="BR3" t="e">
        <f>INDEX($BM$3:$BM$10,MATCH($BP3,$BO$3:$BO$10,0))</f>
        <v>#N/A</v>
      </c>
      <c r="BS3" s="54" t="e">
        <f>INDEX($BN$3:$BN$10,MATCH($BP3,$BO$3:$BO$10,0))</f>
        <v>#N/A</v>
      </c>
      <c r="BT3" s="54"/>
      <c r="BX3" s="6"/>
      <c r="BY3" s="58"/>
      <c r="BZ3" s="6"/>
      <c r="CF3">
        <v>2</v>
      </c>
      <c r="CG3" t="s">
        <v>152</v>
      </c>
      <c r="CH3" t="s">
        <v>153</v>
      </c>
    </row>
    <row r="4" spans="1:86" x14ac:dyDescent="0.25">
      <c r="A4" s="6"/>
      <c r="B4" s="7"/>
      <c r="C4" s="6"/>
      <c r="D4" s="1" t="e">
        <f>VLOOKUP(CName,A:B,2,0)</f>
        <v>#N/A</v>
      </c>
      <c r="E4" s="1">
        <f>E3</f>
        <v>0</v>
      </c>
      <c r="F4" s="1">
        <f>F3-E3</f>
        <v>0</v>
      </c>
      <c r="G4" s="1">
        <f>G3-F3</f>
        <v>0</v>
      </c>
      <c r="H4" s="7"/>
      <c r="I4" s="1">
        <f>E3</f>
        <v>0</v>
      </c>
      <c r="J4" s="1">
        <f>G3</f>
        <v>0</v>
      </c>
      <c r="K4" s="7"/>
      <c r="M4" s="6"/>
      <c r="N4" s="8"/>
      <c r="O4" s="8"/>
      <c r="R4" s="9" t="s">
        <v>14</v>
      </c>
      <c r="S4" s="10"/>
      <c r="T4" s="10"/>
      <c r="U4" s="10"/>
      <c r="W4" s="9" t="s">
        <v>35</v>
      </c>
      <c r="X4" s="46"/>
      <c r="Y4" s="46"/>
      <c r="Z4" s="16" t="e">
        <f>IF(X4="Better Than Median", COUNT($X$3:$X$10)+COUNTIF($X$3:$X$10,X4), RANK(X4,$X$3:$X$10,0)+COUNTIF($X$3:X4,X4)-1)</f>
        <v>#N/A</v>
      </c>
      <c r="AA4" s="16" t="e">
        <f>IF(Y4="Better Than Median", COUNT($Y$3:$Y$10)+COUNTIF($Y$3:$Y$10,Y4), RANK(Y4,$Y$3:$Y$10,0)+COUNTIF($Y$3:Y4,Y4)-1)</f>
        <v>#N/A</v>
      </c>
      <c r="AB4">
        <v>2</v>
      </c>
      <c r="AC4" t="e">
        <f t="shared" ref="AC4:AC10" si="1">INDEX($W$3:$W$10,MATCH($AB4,$Z$3:$Z$10,0))</f>
        <v>#N/A</v>
      </c>
      <c r="AD4" s="15" t="e">
        <f t="shared" si="0"/>
        <v>#N/A</v>
      </c>
      <c r="AE4" s="56" t="e">
        <f>+AD3</f>
        <v>#N/A</v>
      </c>
      <c r="AG4" t="e">
        <f t="shared" ref="AG4:AG10" si="2">INDEX($W$3:$W$10,MATCH($AB4,$AA$3:$AA$10,0))</f>
        <v>#N/A</v>
      </c>
      <c r="AH4" s="15" t="e">
        <f>INDEX($Y$3:$Y$10,MATCH($AB4,$AA$3:$AA$10,0))</f>
        <v>#N/A</v>
      </c>
      <c r="AI4" s="56" t="e">
        <f>+AH3</f>
        <v>#N/A</v>
      </c>
      <c r="AK4" t="s">
        <v>46</v>
      </c>
      <c r="AL4" s="17">
        <f t="shared" ref="AL4:AL28" si="3">+AP4</f>
        <v>0.44400000000000001</v>
      </c>
      <c r="AM4" s="17">
        <f>+AQ4-AP4</f>
        <v>7.9000000000000015E-2</v>
      </c>
      <c r="AN4" s="17">
        <f>+AR4-AQ4</f>
        <v>6.7999999999999949E-2</v>
      </c>
      <c r="AP4" s="1">
        <v>0.44400000000000001</v>
      </c>
      <c r="AQ4" s="1">
        <v>0.52300000000000002</v>
      </c>
      <c r="AR4" s="1">
        <v>0.59099999999999997</v>
      </c>
      <c r="AT4" s="39" t="s">
        <v>136</v>
      </c>
      <c r="AU4" s="55"/>
      <c r="AV4" s="55"/>
      <c r="AW4" s="55"/>
      <c r="AX4" s="55"/>
      <c r="AY4" s="55"/>
      <c r="AZ4" s="55"/>
      <c r="BA4" s="44"/>
      <c r="BC4" s="6"/>
      <c r="BD4" s="6"/>
      <c r="BF4" t="s">
        <v>100</v>
      </c>
      <c r="BG4" s="6" t="str">
        <f>"The gold star on each demographic characteristic bar represents " &amp; CName &amp; "'s performance relative to the span of the peer group."</f>
        <v>The gold star on each demographic characteristic bar represents 's performance relative to the span of the peer group.</v>
      </c>
      <c r="BI4" s="2" t="s">
        <v>133</v>
      </c>
      <c r="BJ4" s="6"/>
      <c r="BM4" s="9" t="s">
        <v>35</v>
      </c>
      <c r="BN4" s="46"/>
      <c r="BO4" s="16" t="e">
        <f>IF(BN4="Better Than Median", COUNT($BN$3:$BN$10)+COUNTIF($BN$3:$BN$10,BN4), RANK(BN4,$BN$3:$BN$10,0)+COUNTIF($BN$3:BN4,BN4)-1)</f>
        <v>#N/A</v>
      </c>
      <c r="BP4">
        <v>2</v>
      </c>
      <c r="BR4" t="e">
        <f t="shared" ref="BR4:BR10" si="4">INDEX($W$3:$W$10,MATCH($AB4,$Z$3:$Z$10,0))</f>
        <v>#N/A</v>
      </c>
      <c r="BS4" s="54" t="e">
        <f t="shared" ref="BS4:BS10" si="5">INDEX($BN$3:$BN$10,MATCH($BP4,$BO$3:$BO$10,0))</f>
        <v>#N/A</v>
      </c>
      <c r="BT4" s="56" t="e">
        <f>+BS3</f>
        <v>#N/A</v>
      </c>
      <c r="BX4" s="6"/>
      <c r="BY4" s="58"/>
      <c r="BZ4" s="6"/>
      <c r="CF4">
        <v>3</v>
      </c>
      <c r="CG4" t="s">
        <v>154</v>
      </c>
      <c r="CH4" t="s">
        <v>155</v>
      </c>
    </row>
    <row r="5" spans="1:86" ht="15" customHeight="1" x14ac:dyDescent="0.25">
      <c r="A5" s="6"/>
      <c r="B5" s="7"/>
      <c r="C5" s="6"/>
      <c r="M5" s="6"/>
      <c r="N5" s="8"/>
      <c r="O5" s="8"/>
      <c r="R5" s="9" t="s">
        <v>15</v>
      </c>
      <c r="S5" s="10"/>
      <c r="T5" s="10"/>
      <c r="U5" s="10"/>
      <c r="W5" s="9" t="s">
        <v>36</v>
      </c>
      <c r="X5" s="46"/>
      <c r="Y5" s="46"/>
      <c r="Z5" s="16" t="e">
        <f>IF(X5="Better Than Median", COUNT($X$3:$X$10)+COUNTIF($X$3:$X$10,X5), RANK(X5,$X$3:$X$10,0)+COUNTIF($X$3:X5,X5)-1)</f>
        <v>#N/A</v>
      </c>
      <c r="AA5" s="16" t="e">
        <f>IF(Y5="Better Than Median", COUNT($Y$3:$Y$10)+COUNTIF($Y$3:$Y$10,Y5), RANK(Y5,$Y$3:$Y$10,0)+COUNTIF($Y$3:Y5,Y5)-1)</f>
        <v>#N/A</v>
      </c>
      <c r="AB5">
        <v>3</v>
      </c>
      <c r="AC5" t="e">
        <f t="shared" si="1"/>
        <v>#N/A</v>
      </c>
      <c r="AD5" s="15" t="e">
        <f t="shared" si="0"/>
        <v>#N/A</v>
      </c>
      <c r="AE5" s="56" t="e">
        <f t="shared" ref="AE5:AE10" si="6">+AE4+AD4</f>
        <v>#N/A</v>
      </c>
      <c r="AG5" t="e">
        <f t="shared" si="2"/>
        <v>#N/A</v>
      </c>
      <c r="AH5" s="15" t="e">
        <f t="shared" ref="AH5:AH10" si="7">INDEX($Y$3:$Y$10,MATCH($AB5,$AA$3:$AA$10,0))</f>
        <v>#N/A</v>
      </c>
      <c r="AI5" s="56" t="e">
        <f t="shared" ref="AI5:AI10" si="8">+AI4+AH4</f>
        <v>#N/A</v>
      </c>
      <c r="AK5" t="s">
        <v>47</v>
      </c>
      <c r="AL5" s="17">
        <f t="shared" si="3"/>
        <v>0.22700000000000001</v>
      </c>
      <c r="AM5" s="17">
        <f t="shared" ref="AM5:AM28" si="9">+AQ5-AP5</f>
        <v>0.12499999999999997</v>
      </c>
      <c r="AN5" s="17">
        <f t="shared" ref="AN5:AN28" si="10">+AR5-AQ5</f>
        <v>0.16200000000000003</v>
      </c>
      <c r="AP5" s="1">
        <v>0.22700000000000001</v>
      </c>
      <c r="AQ5" s="1">
        <v>0.35199999999999998</v>
      </c>
      <c r="AR5" s="1">
        <v>0.51400000000000001</v>
      </c>
      <c r="AT5" s="50" t="s">
        <v>156</v>
      </c>
      <c r="AU5" s="44"/>
      <c r="AV5" s="44"/>
      <c r="AW5" s="44"/>
      <c r="AX5" s="44"/>
      <c r="AY5" s="44"/>
      <c r="AZ5" s="44"/>
      <c r="BA5" s="41"/>
      <c r="BF5" t="s">
        <v>6</v>
      </c>
      <c r="BG5" s="6"/>
      <c r="BI5" s="2" t="s">
        <v>172</v>
      </c>
      <c r="BJ5" s="6"/>
      <c r="BM5" s="9" t="s">
        <v>36</v>
      </c>
      <c r="BN5" s="46"/>
      <c r="BO5" s="16" t="e">
        <f>IF(BN5="Better Than Median", COUNT($BN$3:$BN$10)+COUNTIF($BN$3:$BN$10,BN5), RANK(BN5,$BN$3:$BN$10,0)+COUNTIF($BN$3:BN5,BN5)-1)</f>
        <v>#N/A</v>
      </c>
      <c r="BP5">
        <v>3</v>
      </c>
      <c r="BR5" t="e">
        <f t="shared" si="4"/>
        <v>#N/A</v>
      </c>
      <c r="BS5" s="54" t="e">
        <f t="shared" si="5"/>
        <v>#N/A</v>
      </c>
      <c r="BT5" s="56" t="e">
        <f t="shared" ref="BT5:BT10" si="11">+BT4+BS4</f>
        <v>#N/A</v>
      </c>
      <c r="BX5" s="6"/>
      <c r="BY5" s="58"/>
      <c r="BZ5" s="6"/>
    </row>
    <row r="6" spans="1:86" x14ac:dyDescent="0.25">
      <c r="A6" s="6"/>
      <c r="B6" s="7"/>
      <c r="C6" s="6"/>
      <c r="E6" s="1"/>
      <c r="F6" s="1"/>
      <c r="G6" s="1"/>
      <c r="H6" s="1"/>
      <c r="I6" s="1"/>
      <c r="M6" s="6"/>
      <c r="N6" s="8"/>
      <c r="O6" s="8"/>
      <c r="R6" s="9" t="s">
        <v>16</v>
      </c>
      <c r="S6" s="10"/>
      <c r="T6" s="10"/>
      <c r="U6" s="10"/>
      <c r="W6" s="9" t="s">
        <v>37</v>
      </c>
      <c r="X6" s="46"/>
      <c r="Y6" s="46"/>
      <c r="Z6" s="16" t="e">
        <f>IF(X6="Better Than Median", COUNT($X$3:$X$10)+COUNTIF($X$3:$X$10,X6), RANK(X6,$X$3:$X$10,0)+COUNTIF($X$3:X6,X6)-1)</f>
        <v>#N/A</v>
      </c>
      <c r="AA6" s="16" t="e">
        <f>IF(Y6="Better Than Median", COUNT($Y$3:$Y$10)+COUNTIF($Y$3:$Y$10,Y6), RANK(Y6,$Y$3:$Y$10,0)+COUNTIF($Y$3:Y6,Y6)-1)</f>
        <v>#N/A</v>
      </c>
      <c r="AB6">
        <v>4</v>
      </c>
      <c r="AC6" t="e">
        <f t="shared" si="1"/>
        <v>#N/A</v>
      </c>
      <c r="AD6" s="15" t="e">
        <f t="shared" si="0"/>
        <v>#N/A</v>
      </c>
      <c r="AE6" s="56" t="e">
        <f t="shared" si="6"/>
        <v>#N/A</v>
      </c>
      <c r="AG6" t="e">
        <f t="shared" si="2"/>
        <v>#N/A</v>
      </c>
      <c r="AH6" s="15" t="e">
        <f t="shared" si="7"/>
        <v>#N/A</v>
      </c>
      <c r="AI6" s="56" t="e">
        <f t="shared" si="8"/>
        <v>#N/A</v>
      </c>
      <c r="AK6" t="s">
        <v>48</v>
      </c>
      <c r="AL6" s="17">
        <f t="shared" si="3"/>
        <v>0.19900000000000001</v>
      </c>
      <c r="AM6" s="17">
        <f t="shared" si="9"/>
        <v>0.11099999999999999</v>
      </c>
      <c r="AN6" s="17">
        <f t="shared" si="10"/>
        <v>0.15999999999999998</v>
      </c>
      <c r="AP6" s="1">
        <v>0.19900000000000001</v>
      </c>
      <c r="AQ6" s="1">
        <v>0.31</v>
      </c>
      <c r="AR6" s="1">
        <v>0.47</v>
      </c>
      <c r="AT6" s="39" t="s">
        <v>150</v>
      </c>
      <c r="AU6" s="44"/>
      <c r="AV6" s="44"/>
      <c r="AW6" s="44"/>
      <c r="AX6" s="44"/>
      <c r="AY6" s="44"/>
      <c r="AZ6" s="44"/>
      <c r="BA6" s="44"/>
      <c r="BF6" t="s">
        <v>114</v>
      </c>
      <c r="BG6" s="6"/>
      <c r="BI6" s="2" t="s">
        <v>173</v>
      </c>
      <c r="BJ6" s="6"/>
      <c r="BM6" s="9" t="s">
        <v>37</v>
      </c>
      <c r="BN6" s="46"/>
      <c r="BO6" s="16" t="e">
        <f>IF(BN6="Better Than Median", COUNT($BN$3:$BN$10)+COUNTIF($BN$3:$BN$10,BN6), RANK(BN6,$BN$3:$BN$10,0)+COUNTIF($BN$3:BN6,BN6)-1)</f>
        <v>#N/A</v>
      </c>
      <c r="BP6">
        <v>4</v>
      </c>
      <c r="BR6" t="e">
        <f t="shared" si="4"/>
        <v>#N/A</v>
      </c>
      <c r="BS6" s="54" t="e">
        <f t="shared" si="5"/>
        <v>#N/A</v>
      </c>
      <c r="BT6" s="56" t="e">
        <f t="shared" si="11"/>
        <v>#N/A</v>
      </c>
      <c r="BX6" s="6"/>
      <c r="BY6" s="58"/>
      <c r="BZ6" s="6"/>
    </row>
    <row r="7" spans="1:86" x14ac:dyDescent="0.25">
      <c r="A7" s="6"/>
      <c r="B7" s="7"/>
      <c r="C7" s="6"/>
      <c r="F7" s="2"/>
      <c r="G7" s="2"/>
      <c r="M7" s="6"/>
      <c r="N7" s="8"/>
      <c r="O7" s="8"/>
      <c r="R7" s="9" t="s">
        <v>17</v>
      </c>
      <c r="S7" s="10"/>
      <c r="T7" s="10"/>
      <c r="U7" s="10"/>
      <c r="W7" s="9" t="s">
        <v>38</v>
      </c>
      <c r="X7" s="46"/>
      <c r="Y7" s="46"/>
      <c r="Z7" s="16" t="e">
        <f>IF(X7="Better Than Median", COUNT($X$3:$X$10)+COUNTIF($X$3:$X$10,X7), RANK(X7,$X$3:$X$10,0)+COUNTIF($X$3:X7,X7)-1)</f>
        <v>#N/A</v>
      </c>
      <c r="AA7" s="16" t="e">
        <f>IF(Y7="Better Than Median", COUNT($Y$3:$Y$10)+COUNTIF($Y$3:$Y$10,Y7), RANK(Y7,$Y$3:$Y$10,0)+COUNTIF($Y$3:Y7,Y7)-1)</f>
        <v>#N/A</v>
      </c>
      <c r="AB7">
        <v>5</v>
      </c>
      <c r="AC7" t="e">
        <f t="shared" si="1"/>
        <v>#N/A</v>
      </c>
      <c r="AD7" s="15" t="e">
        <f t="shared" si="0"/>
        <v>#N/A</v>
      </c>
      <c r="AE7" s="56" t="e">
        <f t="shared" si="6"/>
        <v>#N/A</v>
      </c>
      <c r="AG7" t="e">
        <f t="shared" si="2"/>
        <v>#N/A</v>
      </c>
      <c r="AH7" s="15" t="e">
        <f t="shared" si="7"/>
        <v>#N/A</v>
      </c>
      <c r="AI7" s="56" t="e">
        <f t="shared" si="8"/>
        <v>#N/A</v>
      </c>
      <c r="AK7" t="s">
        <v>49</v>
      </c>
      <c r="AL7" s="17">
        <f t="shared" si="3"/>
        <v>0.161</v>
      </c>
      <c r="AM7" s="17">
        <f t="shared" si="9"/>
        <v>0.12999999999999998</v>
      </c>
      <c r="AN7" s="17">
        <f t="shared" si="10"/>
        <v>0.23400000000000004</v>
      </c>
      <c r="AP7" s="1">
        <v>0.161</v>
      </c>
      <c r="AQ7" s="1">
        <v>0.29099999999999998</v>
      </c>
      <c r="AR7" s="1">
        <v>0.52500000000000002</v>
      </c>
      <c r="AT7" s="39" t="s">
        <v>147</v>
      </c>
      <c r="AU7" s="44"/>
      <c r="AV7" s="44"/>
      <c r="AW7" s="44"/>
      <c r="AX7" s="44"/>
      <c r="AY7" s="44"/>
      <c r="AZ7" s="44"/>
      <c r="BA7" s="44"/>
      <c r="BF7" t="s">
        <v>95</v>
      </c>
      <c r="BG7" s="6"/>
      <c r="BM7" s="9" t="s">
        <v>38</v>
      </c>
      <c r="BN7" s="46"/>
      <c r="BO7" s="16" t="e">
        <f>IF(BN7="Better Than Median", COUNT($BN$3:$BN$10)+COUNTIF($BN$3:$BN$10,BN7), RANK(BN7,$BN$3:$BN$10,0)+COUNTIF($BN$3:BN7,BN7)-1)</f>
        <v>#N/A</v>
      </c>
      <c r="BP7">
        <v>5</v>
      </c>
      <c r="BR7" t="e">
        <f t="shared" si="4"/>
        <v>#N/A</v>
      </c>
      <c r="BS7" s="54" t="e">
        <f t="shared" si="5"/>
        <v>#N/A</v>
      </c>
      <c r="BT7" s="56" t="e">
        <f t="shared" si="11"/>
        <v>#N/A</v>
      </c>
      <c r="BX7" s="6"/>
      <c r="BY7" s="58"/>
      <c r="BZ7" s="6"/>
    </row>
    <row r="8" spans="1:86" x14ac:dyDescent="0.25">
      <c r="A8" s="6"/>
      <c r="B8" s="7"/>
      <c r="C8" s="6"/>
      <c r="D8" s="4"/>
      <c r="E8" s="1"/>
      <c r="F8" s="1"/>
      <c r="G8" s="1"/>
      <c r="H8" s="1"/>
      <c r="M8" s="6"/>
      <c r="N8" s="8"/>
      <c r="O8" s="8"/>
      <c r="R8" s="9" t="s">
        <v>18</v>
      </c>
      <c r="S8" s="10"/>
      <c r="T8" s="10"/>
      <c r="U8" s="10"/>
      <c r="W8" s="9" t="s">
        <v>39</v>
      </c>
      <c r="X8" s="46"/>
      <c r="Y8" s="46"/>
      <c r="Z8" s="16" t="e">
        <f>IF(X8="Better Than Median", COUNT($X$3:$X$10)+COUNTIF($X$3:$X$10,X8), RANK(X8,$X$3:$X$10,0)+COUNTIF($X$3:X8,X8)-1)</f>
        <v>#N/A</v>
      </c>
      <c r="AA8" s="16" t="e">
        <f>IF(Y8="Better Than Median", COUNT($Y$3:$Y$10)+COUNTIF($Y$3:$Y$10,Y8), RANK(Y8,$Y$3:$Y$10,0)+COUNTIF($Y$3:Y8,Y8)-1)</f>
        <v>#N/A</v>
      </c>
      <c r="AB8">
        <v>6</v>
      </c>
      <c r="AC8" t="e">
        <f t="shared" si="1"/>
        <v>#N/A</v>
      </c>
      <c r="AD8" s="15" t="e">
        <f t="shared" si="0"/>
        <v>#N/A</v>
      </c>
      <c r="AE8" s="56" t="e">
        <f t="shared" si="6"/>
        <v>#N/A</v>
      </c>
      <c r="AG8" t="e">
        <f t="shared" si="2"/>
        <v>#N/A</v>
      </c>
      <c r="AH8" s="15" t="e">
        <f t="shared" si="7"/>
        <v>#N/A</v>
      </c>
      <c r="AI8" s="56" t="e">
        <f t="shared" si="8"/>
        <v>#N/A</v>
      </c>
      <c r="AK8" t="s">
        <v>51</v>
      </c>
      <c r="AL8" s="17">
        <f t="shared" si="3"/>
        <v>0.21</v>
      </c>
      <c r="AM8" s="17">
        <f t="shared" si="9"/>
        <v>6.6000000000000031E-2</v>
      </c>
      <c r="AN8" s="17">
        <f t="shared" si="10"/>
        <v>7.7999999999999958E-2</v>
      </c>
      <c r="AP8" s="1">
        <v>0.21</v>
      </c>
      <c r="AQ8" s="1">
        <v>0.27600000000000002</v>
      </c>
      <c r="AR8" s="1">
        <v>0.35399999999999998</v>
      </c>
      <c r="AT8" s="39" t="s">
        <v>148</v>
      </c>
      <c r="AU8" s="47"/>
      <c r="AV8" s="47"/>
      <c r="AW8" s="47"/>
      <c r="AX8" s="47"/>
      <c r="AY8" s="47"/>
      <c r="AZ8" s="47"/>
      <c r="BA8" s="44"/>
      <c r="BF8" t="s">
        <v>115</v>
      </c>
      <c r="BG8" s="6"/>
      <c r="BM8" s="9" t="s">
        <v>39</v>
      </c>
      <c r="BN8" s="46"/>
      <c r="BO8" s="16" t="e">
        <f>IF(BN8="Better Than Median", COUNT($BN$3:$BN$10)+COUNTIF($BN$3:$BN$10,BN8), RANK(BN8,$BN$3:$BN$10,0)+COUNTIF($BN$3:BN8,BN8)-1)</f>
        <v>#N/A</v>
      </c>
      <c r="BP8">
        <v>6</v>
      </c>
      <c r="BR8" t="e">
        <f t="shared" si="4"/>
        <v>#N/A</v>
      </c>
      <c r="BS8" s="54" t="e">
        <f t="shared" si="5"/>
        <v>#N/A</v>
      </c>
      <c r="BT8" s="56" t="e">
        <f t="shared" si="11"/>
        <v>#N/A</v>
      </c>
      <c r="BX8" s="6"/>
      <c r="BY8" s="58"/>
      <c r="BZ8" s="6"/>
    </row>
    <row r="9" spans="1:86" x14ac:dyDescent="0.25">
      <c r="A9" s="6"/>
      <c r="B9" s="7"/>
      <c r="C9" s="6"/>
      <c r="D9" s="4"/>
      <c r="E9" s="1"/>
      <c r="F9" s="1"/>
      <c r="G9" s="1"/>
      <c r="H9" s="1"/>
      <c r="M9" s="6"/>
      <c r="N9" s="8"/>
      <c r="O9" s="8"/>
      <c r="R9" s="9" t="s">
        <v>19</v>
      </c>
      <c r="S9" s="10"/>
      <c r="T9" s="10"/>
      <c r="U9" s="10"/>
      <c r="W9" s="9" t="s">
        <v>119</v>
      </c>
      <c r="X9" s="46"/>
      <c r="Y9" s="46"/>
      <c r="Z9" s="16" t="e">
        <f>IF(X9="Better Than Median", COUNT($X$3:$X$10)+COUNTIF($X$3:$X$10,X9), RANK(X9,$X$3:$X$10,0)+COUNTIF($X$3:X9,X9)-1)</f>
        <v>#N/A</v>
      </c>
      <c r="AA9" s="16" t="e">
        <f>IF(Y9="Better Than Median", COUNT($Y$3:$Y$10)+COUNTIF($Y$3:$Y$10,Y9), RANK(Y9,$Y$3:$Y$10,0)+COUNTIF($Y$3:Y9,Y9)-1)</f>
        <v>#N/A</v>
      </c>
      <c r="AB9">
        <v>7</v>
      </c>
      <c r="AC9" t="e">
        <f t="shared" si="1"/>
        <v>#N/A</v>
      </c>
      <c r="AD9" s="15" t="e">
        <f t="shared" si="0"/>
        <v>#N/A</v>
      </c>
      <c r="AE9" s="56" t="e">
        <f t="shared" si="6"/>
        <v>#N/A</v>
      </c>
      <c r="AG9" t="e">
        <f t="shared" si="2"/>
        <v>#N/A</v>
      </c>
      <c r="AH9" s="15" t="e">
        <f t="shared" si="7"/>
        <v>#N/A</v>
      </c>
      <c r="AI9" s="56" t="e">
        <f t="shared" si="8"/>
        <v>#N/A</v>
      </c>
      <c r="AK9" t="s">
        <v>69</v>
      </c>
      <c r="AL9" s="17">
        <f t="shared" si="3"/>
        <v>0.21099999999999999</v>
      </c>
      <c r="AM9" s="17">
        <f t="shared" si="9"/>
        <v>8.199999999999999E-2</v>
      </c>
      <c r="AN9" s="17">
        <f t="shared" si="10"/>
        <v>9.5000000000000029E-2</v>
      </c>
      <c r="AP9" s="1">
        <v>0.21099999999999999</v>
      </c>
      <c r="AQ9" s="1">
        <v>0.29299999999999998</v>
      </c>
      <c r="AR9" s="1">
        <v>0.38800000000000001</v>
      </c>
      <c r="AT9" s="40" t="s">
        <v>149</v>
      </c>
      <c r="AU9" s="48"/>
      <c r="AV9" s="48"/>
      <c r="AW9" s="48"/>
      <c r="AX9" s="48"/>
      <c r="AY9" s="48"/>
      <c r="AZ9" s="48"/>
      <c r="BA9" s="44"/>
      <c r="BF9" t="s">
        <v>116</v>
      </c>
      <c r="BG9" s="6"/>
      <c r="BM9" s="9" t="s">
        <v>119</v>
      </c>
      <c r="BN9" s="46"/>
      <c r="BO9" s="16" t="e">
        <f>IF(BN9="Better Than Median", COUNT($BN$3:$BN$10)+COUNTIF($BN$3:$BN$10,BN9), RANK(BN9,$BN$3:$BN$10,0)+COUNTIF($BN$3:BN9,BN9)-1)</f>
        <v>#N/A</v>
      </c>
      <c r="BP9">
        <v>7</v>
      </c>
      <c r="BR9" t="e">
        <f t="shared" si="4"/>
        <v>#N/A</v>
      </c>
      <c r="BS9" s="54" t="e">
        <f t="shared" si="5"/>
        <v>#N/A</v>
      </c>
      <c r="BT9" s="56" t="e">
        <f t="shared" si="11"/>
        <v>#N/A</v>
      </c>
      <c r="BX9" s="6"/>
      <c r="BY9" s="58"/>
      <c r="BZ9" s="6"/>
    </row>
    <row r="10" spans="1:86" x14ac:dyDescent="0.25">
      <c r="A10" s="6"/>
      <c r="B10" s="7"/>
      <c r="C10" s="6"/>
      <c r="M10" s="6"/>
      <c r="N10" s="8"/>
      <c r="O10" s="8"/>
      <c r="R10" s="9" t="s">
        <v>20</v>
      </c>
      <c r="S10" s="10"/>
      <c r="T10" s="10"/>
      <c r="U10" s="10"/>
      <c r="W10" s="9" t="s">
        <v>40</v>
      </c>
      <c r="X10" s="46"/>
      <c r="Y10" s="46"/>
      <c r="Z10" s="16" t="e">
        <f>IF(X10="Better Than Median", COUNT($X$3:$X$10)+COUNTIF($X$3:$X$10,X10), RANK(X10,$X$3:$X$10,0)+COUNTIF($X$3:X10,X10)-1)</f>
        <v>#N/A</v>
      </c>
      <c r="AA10" s="16" t="e">
        <f>IF(Y10="Better Than Median", COUNT($Y$3:$Y$10)+COUNTIF($Y$3:$Y$10,Y10), RANK(Y10,$Y$3:$Y$10,0)+COUNTIF($Y$3:Y10,Y10)-1)</f>
        <v>#N/A</v>
      </c>
      <c r="AB10">
        <v>8</v>
      </c>
      <c r="AC10" t="e">
        <f t="shared" si="1"/>
        <v>#N/A</v>
      </c>
      <c r="AD10" s="15" t="e">
        <f t="shared" si="0"/>
        <v>#N/A</v>
      </c>
      <c r="AE10" s="56" t="e">
        <f t="shared" si="6"/>
        <v>#N/A</v>
      </c>
      <c r="AG10" t="e">
        <f t="shared" si="2"/>
        <v>#N/A</v>
      </c>
      <c r="AH10" s="15" t="e">
        <f t="shared" si="7"/>
        <v>#N/A</v>
      </c>
      <c r="AI10" s="56" t="e">
        <f t="shared" si="8"/>
        <v>#N/A</v>
      </c>
      <c r="AK10" t="s">
        <v>50</v>
      </c>
      <c r="AL10" s="17">
        <f t="shared" si="3"/>
        <v>0.16800000000000001</v>
      </c>
      <c r="AM10" s="17">
        <f t="shared" si="9"/>
        <v>0.11499999999999996</v>
      </c>
      <c r="AN10" s="17">
        <f t="shared" si="10"/>
        <v>8.500000000000002E-2</v>
      </c>
      <c r="AP10" s="1">
        <v>0.16800000000000001</v>
      </c>
      <c r="AQ10" s="1">
        <v>0.28299999999999997</v>
      </c>
      <c r="AR10" s="1">
        <v>0.36799999999999999</v>
      </c>
      <c r="BF10" t="s">
        <v>186</v>
      </c>
      <c r="BG10" s="60" t="str">
        <f>"The following companies have been selected as peers for this benchmarking analysis, and were identified based upon their common industry classification and revenue within a relative proximity range to " &amp; CName &amp; "’s."</f>
        <v>The following companies have been selected as peers for this benchmarking analysis, and were identified based upon their common industry classification and revenue within a relative proximity range to ’s.</v>
      </c>
      <c r="BM10" s="9" t="s">
        <v>40</v>
      </c>
      <c r="BN10" s="46"/>
      <c r="BO10" s="16" t="e">
        <f>IF(BN10="Better Than Median", COUNT($BN$3:$BN$10)+COUNTIF($BN$3:$BN$10,BN10), RANK(BN10,$BN$3:$BN$10,0)+COUNTIF($BN$3:BN10,BN10)-1)</f>
        <v>#N/A</v>
      </c>
      <c r="BP10">
        <v>8</v>
      </c>
      <c r="BR10" t="e">
        <f t="shared" si="4"/>
        <v>#N/A</v>
      </c>
      <c r="BS10" s="54" t="e">
        <f t="shared" si="5"/>
        <v>#N/A</v>
      </c>
      <c r="BT10" s="56" t="e">
        <f t="shared" si="11"/>
        <v>#N/A</v>
      </c>
      <c r="BX10" s="6"/>
      <c r="BY10" s="58"/>
      <c r="BZ10" s="6"/>
    </row>
    <row r="11" spans="1:86" x14ac:dyDescent="0.25">
      <c r="A11" s="6"/>
      <c r="B11" s="7"/>
      <c r="C11" s="6"/>
      <c r="M11" s="6"/>
      <c r="N11" s="6"/>
      <c r="O11" s="6"/>
      <c r="R11" s="9"/>
      <c r="AC11" t="s">
        <v>43</v>
      </c>
      <c r="AD11" s="15" t="e">
        <f>SUM(AD3:AD10)</f>
        <v>#N/A</v>
      </c>
      <c r="AE11" s="15"/>
      <c r="AG11" t="s">
        <v>43</v>
      </c>
      <c r="AH11" s="15" t="e">
        <f>SUM(AH3:AH10)</f>
        <v>#N/A</v>
      </c>
      <c r="AK11" t="s">
        <v>52</v>
      </c>
      <c r="AL11" s="17">
        <f t="shared" si="3"/>
        <v>0.108</v>
      </c>
      <c r="AM11" s="17">
        <f t="shared" si="9"/>
        <v>0.127</v>
      </c>
      <c r="AN11" s="17">
        <f t="shared" si="10"/>
        <v>0.11699999999999999</v>
      </c>
      <c r="AP11" s="1">
        <v>0.108</v>
      </c>
      <c r="AQ11" s="1">
        <v>0.23499999999999999</v>
      </c>
      <c r="AR11" s="1">
        <v>0.35199999999999998</v>
      </c>
      <c r="BR11" t="s">
        <v>43</v>
      </c>
      <c r="BS11" s="54" t="e">
        <f>SUM(BS3:BS10)</f>
        <v>#N/A</v>
      </c>
      <c r="BT11" s="54"/>
      <c r="BX11" s="6"/>
      <c r="BY11" s="58"/>
      <c r="BZ11" s="6"/>
    </row>
    <row r="12" spans="1:86" x14ac:dyDescent="0.25">
      <c r="A12" s="6"/>
      <c r="B12" s="7"/>
      <c r="C12" s="6"/>
      <c r="M12" s="6"/>
      <c r="N12" s="6"/>
      <c r="O12" s="6"/>
      <c r="R12" s="12" t="s">
        <v>31</v>
      </c>
      <c r="AK12" t="s">
        <v>53</v>
      </c>
      <c r="AL12" s="17">
        <f t="shared" si="3"/>
        <v>0.129</v>
      </c>
      <c r="AM12" s="17">
        <f t="shared" si="9"/>
        <v>0.1</v>
      </c>
      <c r="AN12" s="17">
        <f t="shared" si="10"/>
        <v>0.10400000000000001</v>
      </c>
      <c r="AP12" s="1">
        <v>0.129</v>
      </c>
      <c r="AQ12" s="1">
        <v>0.22900000000000001</v>
      </c>
      <c r="AR12" s="1">
        <v>0.33300000000000002</v>
      </c>
      <c r="BX12" s="6"/>
      <c r="BY12" s="58"/>
      <c r="BZ12" s="6"/>
    </row>
    <row r="13" spans="1:86" x14ac:dyDescent="0.25">
      <c r="A13" s="6"/>
      <c r="B13" s="7"/>
      <c r="C13" s="6"/>
      <c r="M13" s="6"/>
      <c r="N13" s="6"/>
      <c r="O13" s="6"/>
      <c r="R13" s="9" t="s">
        <v>23</v>
      </c>
      <c r="S13" s="49"/>
      <c r="T13" s="49"/>
      <c r="U13" s="49"/>
      <c r="AK13" t="s">
        <v>54</v>
      </c>
      <c r="AL13" s="17">
        <f t="shared" si="3"/>
        <v>0.125</v>
      </c>
      <c r="AM13" s="17">
        <f t="shared" si="9"/>
        <v>8.5999999999999993E-2</v>
      </c>
      <c r="AN13" s="17">
        <f t="shared" si="10"/>
        <v>7.9999999999999988E-2</v>
      </c>
      <c r="AP13" s="1">
        <v>0.125</v>
      </c>
      <c r="AQ13" s="1">
        <v>0.21099999999999999</v>
      </c>
      <c r="AR13" s="1">
        <v>0.29099999999999998</v>
      </c>
      <c r="BX13" s="6"/>
      <c r="BY13" s="58"/>
      <c r="BZ13" s="6"/>
    </row>
    <row r="14" spans="1:86" x14ac:dyDescent="0.25">
      <c r="A14" s="6"/>
      <c r="B14" s="7"/>
      <c r="C14" s="6"/>
      <c r="M14" s="6"/>
      <c r="N14" s="6"/>
      <c r="O14" s="6"/>
      <c r="R14" s="9" t="s">
        <v>24</v>
      </c>
      <c r="S14" s="49"/>
      <c r="T14" s="49"/>
      <c r="U14" s="49"/>
      <c r="AK14" t="s">
        <v>57</v>
      </c>
      <c r="AL14" s="17">
        <f t="shared" si="3"/>
        <v>0.129</v>
      </c>
      <c r="AM14" s="17">
        <f t="shared" si="9"/>
        <v>7.7999999999999986E-2</v>
      </c>
      <c r="AN14" s="17">
        <f t="shared" si="10"/>
        <v>7.9999999999999988E-2</v>
      </c>
      <c r="AP14" s="1">
        <v>0.129</v>
      </c>
      <c r="AQ14" s="1">
        <v>0.20699999999999999</v>
      </c>
      <c r="AR14" s="1">
        <v>0.28699999999999998</v>
      </c>
      <c r="AU14" s="1"/>
      <c r="BX14" s="6"/>
      <c r="BY14" s="58"/>
      <c r="BZ14" s="6"/>
    </row>
    <row r="15" spans="1:86" x14ac:dyDescent="0.25">
      <c r="A15" s="6"/>
      <c r="B15" s="7"/>
      <c r="C15" s="6"/>
      <c r="M15" s="6"/>
      <c r="N15" s="6"/>
      <c r="O15" s="6"/>
      <c r="R15" s="9" t="s">
        <v>25</v>
      </c>
      <c r="S15" s="49"/>
      <c r="T15" s="49"/>
      <c r="U15" s="49"/>
      <c r="X15" s="46"/>
      <c r="AK15" t="s">
        <v>55</v>
      </c>
      <c r="AL15" s="17">
        <f t="shared" si="3"/>
        <v>0.124</v>
      </c>
      <c r="AM15" s="17">
        <f t="shared" si="9"/>
        <v>7.6000000000000012E-2</v>
      </c>
      <c r="AN15" s="17">
        <f t="shared" si="10"/>
        <v>3.5999999999999976E-2</v>
      </c>
      <c r="AP15" s="1">
        <v>0.124</v>
      </c>
      <c r="AQ15" s="1">
        <v>0.2</v>
      </c>
      <c r="AR15" s="1">
        <v>0.23599999999999999</v>
      </c>
      <c r="BX15" s="6"/>
      <c r="BY15" s="6"/>
      <c r="BZ15" s="6"/>
    </row>
    <row r="16" spans="1:86" x14ac:dyDescent="0.25">
      <c r="A16" s="6"/>
      <c r="B16" s="7"/>
      <c r="C16" s="6"/>
      <c r="M16" s="6"/>
      <c r="N16" s="6"/>
      <c r="O16" s="6"/>
      <c r="R16" s="9" t="s">
        <v>26</v>
      </c>
      <c r="S16" s="49"/>
      <c r="T16" s="49"/>
      <c r="U16" s="49"/>
      <c r="X16" s="46"/>
      <c r="AK16" t="s">
        <v>58</v>
      </c>
      <c r="AL16" s="17">
        <f t="shared" si="3"/>
        <v>9.2999999999999999E-2</v>
      </c>
      <c r="AM16" s="17">
        <f t="shared" si="9"/>
        <v>0.1</v>
      </c>
      <c r="AN16" s="17">
        <f t="shared" si="10"/>
        <v>8.1000000000000016E-2</v>
      </c>
      <c r="AP16" s="1">
        <v>9.2999999999999999E-2</v>
      </c>
      <c r="AQ16" s="1">
        <v>0.193</v>
      </c>
      <c r="AR16" s="1">
        <v>0.27400000000000002</v>
      </c>
      <c r="BX16" s="6"/>
      <c r="BY16" s="6"/>
      <c r="BZ16" s="6"/>
    </row>
    <row r="17" spans="1:82" x14ac:dyDescent="0.25">
      <c r="A17" s="6"/>
      <c r="B17" s="7"/>
      <c r="C17" s="6"/>
      <c r="M17" s="6"/>
      <c r="N17" s="6"/>
      <c r="O17" s="6"/>
      <c r="R17" s="9" t="s">
        <v>27</v>
      </c>
      <c r="S17" s="49"/>
      <c r="T17" s="49"/>
      <c r="U17" s="49"/>
      <c r="X17" s="46"/>
      <c r="AK17" t="s">
        <v>56</v>
      </c>
      <c r="AL17" s="17">
        <f t="shared" si="3"/>
        <v>0.11</v>
      </c>
      <c r="AM17" s="17">
        <f t="shared" si="9"/>
        <v>6.9999999999999993E-2</v>
      </c>
      <c r="AN17" s="17">
        <f t="shared" si="10"/>
        <v>0.11399999999999999</v>
      </c>
      <c r="AP17" s="1">
        <v>0.11</v>
      </c>
      <c r="AQ17" s="1">
        <v>0.18</v>
      </c>
      <c r="AR17" s="1">
        <v>0.29399999999999998</v>
      </c>
      <c r="BX17" s="6"/>
      <c r="BY17" s="6"/>
      <c r="BZ17" s="6"/>
    </row>
    <row r="18" spans="1:82" x14ac:dyDescent="0.25">
      <c r="A18" s="6"/>
      <c r="B18" s="7"/>
      <c r="C18" s="6"/>
      <c r="M18" s="6"/>
      <c r="N18" s="6"/>
      <c r="O18" s="6"/>
      <c r="R18" s="9" t="s">
        <v>28</v>
      </c>
      <c r="S18" s="49"/>
      <c r="T18" s="49"/>
      <c r="U18" s="49"/>
      <c r="X18" s="46"/>
      <c r="AK18" t="s">
        <v>70</v>
      </c>
      <c r="AL18" s="17">
        <f t="shared" si="3"/>
        <v>0.11899999999999999</v>
      </c>
      <c r="AM18" s="17">
        <f t="shared" si="9"/>
        <v>5.0000000000000017E-2</v>
      </c>
      <c r="AN18" s="17">
        <f t="shared" si="10"/>
        <v>4.0999999999999981E-2</v>
      </c>
      <c r="AP18" s="1">
        <v>0.11899999999999999</v>
      </c>
      <c r="AQ18" s="1">
        <v>0.16900000000000001</v>
      </c>
      <c r="AR18" s="1">
        <v>0.21</v>
      </c>
      <c r="BX18" s="6"/>
      <c r="BY18" s="6"/>
      <c r="BZ18" s="6"/>
    </row>
    <row r="19" spans="1:82" x14ac:dyDescent="0.25">
      <c r="A19" s="6"/>
      <c r="B19" s="7"/>
      <c r="C19" s="6"/>
      <c r="M19" s="6"/>
      <c r="N19" s="6"/>
      <c r="O19" s="6"/>
      <c r="R19" s="9" t="s">
        <v>29</v>
      </c>
      <c r="S19" s="49"/>
      <c r="T19" s="49"/>
      <c r="U19" s="49"/>
      <c r="X19" s="46"/>
      <c r="AK19" t="s">
        <v>68</v>
      </c>
      <c r="AL19" s="17">
        <f t="shared" si="3"/>
        <v>9.7000000000000003E-2</v>
      </c>
      <c r="AM19" s="17">
        <f t="shared" si="9"/>
        <v>6.5000000000000002E-2</v>
      </c>
      <c r="AN19" s="17">
        <f t="shared" si="10"/>
        <v>0.10300000000000001</v>
      </c>
      <c r="AP19" s="1">
        <v>9.7000000000000003E-2</v>
      </c>
      <c r="AQ19" s="1">
        <v>0.16200000000000001</v>
      </c>
      <c r="AR19" s="1">
        <v>0.26500000000000001</v>
      </c>
      <c r="BX19" s="6"/>
      <c r="BY19" s="6"/>
      <c r="BZ19" s="6"/>
    </row>
    <row r="20" spans="1:82" x14ac:dyDescent="0.25">
      <c r="A20" s="6"/>
      <c r="B20" s="7"/>
      <c r="C20" s="6"/>
      <c r="M20" s="6"/>
      <c r="N20" s="6"/>
      <c r="O20" s="6"/>
      <c r="R20" s="9" t="s">
        <v>30</v>
      </c>
      <c r="S20" s="49"/>
      <c r="T20" s="49"/>
      <c r="U20" s="49"/>
      <c r="X20" s="46"/>
      <c r="AK20" t="s">
        <v>60</v>
      </c>
      <c r="AL20" s="17">
        <f t="shared" si="3"/>
        <v>9.6000000000000002E-2</v>
      </c>
      <c r="AM20" s="17">
        <f t="shared" si="9"/>
        <v>0.06</v>
      </c>
      <c r="AN20" s="17">
        <f t="shared" si="10"/>
        <v>5.8999999999999997E-2</v>
      </c>
      <c r="AP20" s="1">
        <v>9.6000000000000002E-2</v>
      </c>
      <c r="AQ20" s="1">
        <v>0.156</v>
      </c>
      <c r="AR20" s="1">
        <v>0.215</v>
      </c>
    </row>
    <row r="21" spans="1:82" x14ac:dyDescent="0.25">
      <c r="A21" s="6"/>
      <c r="B21" s="7"/>
      <c r="C21" s="6"/>
      <c r="M21" s="6"/>
      <c r="N21" s="6"/>
      <c r="O21" s="6"/>
      <c r="X21" s="46"/>
      <c r="AK21" t="s">
        <v>59</v>
      </c>
      <c r="AL21" s="17">
        <f t="shared" si="3"/>
        <v>9.4E-2</v>
      </c>
      <c r="AM21" s="17">
        <f t="shared" si="9"/>
        <v>6.0999999999999999E-2</v>
      </c>
      <c r="AN21" s="17">
        <f t="shared" si="10"/>
        <v>7.7000000000000013E-2</v>
      </c>
      <c r="AP21" s="1">
        <v>9.4E-2</v>
      </c>
      <c r="AQ21" s="1">
        <v>0.155</v>
      </c>
      <c r="AR21" s="1">
        <v>0.23200000000000001</v>
      </c>
    </row>
    <row r="22" spans="1:82" x14ac:dyDescent="0.25">
      <c r="A22" s="6"/>
      <c r="B22" s="7"/>
      <c r="C22" s="6"/>
      <c r="M22" s="6"/>
      <c r="N22" s="6"/>
      <c r="O22" s="6"/>
      <c r="X22" s="46"/>
      <c r="AK22" t="s">
        <v>63</v>
      </c>
      <c r="AL22" s="17">
        <f t="shared" si="3"/>
        <v>0.05</v>
      </c>
      <c r="AM22" s="17">
        <f t="shared" si="9"/>
        <v>5.3999999999999992E-2</v>
      </c>
      <c r="AN22" s="17">
        <f t="shared" si="10"/>
        <v>6.3000000000000014E-2</v>
      </c>
      <c r="AP22" s="1">
        <v>0.05</v>
      </c>
      <c r="AQ22" s="1">
        <v>0.104</v>
      </c>
      <c r="AR22" s="1">
        <v>0.16700000000000001</v>
      </c>
    </row>
    <row r="23" spans="1:82" x14ac:dyDescent="0.25">
      <c r="A23" s="6"/>
      <c r="B23" s="7"/>
      <c r="C23" s="6"/>
      <c r="M23" s="6"/>
      <c r="N23" s="6"/>
      <c r="O23" s="6"/>
      <c r="AK23" t="s">
        <v>61</v>
      </c>
      <c r="AL23" s="17">
        <f t="shared" si="3"/>
        <v>5.5E-2</v>
      </c>
      <c r="AM23" s="17">
        <f t="shared" si="9"/>
        <v>3.5999999999999997E-2</v>
      </c>
      <c r="AN23" s="17">
        <f t="shared" si="10"/>
        <v>6.0999999999999999E-2</v>
      </c>
      <c r="AP23" s="1">
        <v>5.5E-2</v>
      </c>
      <c r="AQ23" s="1">
        <v>9.0999999999999998E-2</v>
      </c>
      <c r="AR23" s="1">
        <v>0.152</v>
      </c>
    </row>
    <row r="24" spans="1:82" x14ac:dyDescent="0.25">
      <c r="A24" s="6"/>
      <c r="B24" s="7"/>
      <c r="C24" s="6"/>
      <c r="M24" s="6"/>
      <c r="N24" s="6"/>
      <c r="O24" s="6"/>
      <c r="AK24" t="s">
        <v>62</v>
      </c>
      <c r="AL24" s="17">
        <f t="shared" si="3"/>
        <v>6.5000000000000002E-2</v>
      </c>
      <c r="AM24" s="17">
        <f t="shared" si="9"/>
        <v>1.4999999999999999E-2</v>
      </c>
      <c r="AN24" s="17">
        <f t="shared" si="10"/>
        <v>4.5999999999999999E-2</v>
      </c>
      <c r="AP24" s="1">
        <v>6.5000000000000002E-2</v>
      </c>
      <c r="AQ24" s="1">
        <v>0.08</v>
      </c>
      <c r="AR24" s="1">
        <v>0.126</v>
      </c>
    </row>
    <row r="25" spans="1:82" x14ac:dyDescent="0.25">
      <c r="A25" s="6" t="s">
        <v>175</v>
      </c>
      <c r="B25" s="7"/>
      <c r="C25" s="6"/>
      <c r="M25" s="6"/>
      <c r="N25" s="6"/>
      <c r="O25" s="6"/>
      <c r="AK25" t="s">
        <v>64</v>
      </c>
      <c r="AL25" s="17">
        <f t="shared" si="3"/>
        <v>4.7E-2</v>
      </c>
      <c r="AM25" s="17">
        <f t="shared" si="9"/>
        <v>2.4999999999999994E-2</v>
      </c>
      <c r="AN25" s="17">
        <f t="shared" si="10"/>
        <v>4.0000000000000008E-2</v>
      </c>
      <c r="AP25" s="1">
        <v>4.7E-2</v>
      </c>
      <c r="AQ25" s="1">
        <v>7.1999999999999995E-2</v>
      </c>
      <c r="AR25" s="1">
        <v>0.112</v>
      </c>
    </row>
    <row r="26" spans="1:82" x14ac:dyDescent="0.25">
      <c r="A26" s="6" t="s">
        <v>175</v>
      </c>
      <c r="B26" s="7"/>
      <c r="C26" s="6"/>
      <c r="M26" s="6"/>
      <c r="N26" s="6"/>
      <c r="O26" s="6"/>
      <c r="AK26" t="s">
        <v>65</v>
      </c>
      <c r="AL26" s="17">
        <f t="shared" si="3"/>
        <v>3.7999999999999999E-2</v>
      </c>
      <c r="AM26" s="17">
        <f t="shared" si="9"/>
        <v>1.7000000000000001E-2</v>
      </c>
      <c r="AN26" s="17">
        <f t="shared" si="10"/>
        <v>7.5000000000000011E-2</v>
      </c>
      <c r="AP26" s="1">
        <v>3.7999999999999999E-2</v>
      </c>
      <c r="AQ26" s="1">
        <v>5.5E-2</v>
      </c>
      <c r="AR26" s="1">
        <v>0.13</v>
      </c>
    </row>
    <row r="27" spans="1:82" x14ac:dyDescent="0.25">
      <c r="A27" s="6"/>
      <c r="B27" s="7"/>
      <c r="C27" s="6"/>
      <c r="M27" s="6"/>
      <c r="N27" s="6"/>
      <c r="O27" s="6"/>
      <c r="AK27" t="s">
        <v>66</v>
      </c>
      <c r="AL27" s="17">
        <f t="shared" si="3"/>
        <v>1.8000000000000002E-2</v>
      </c>
      <c r="AM27" s="17">
        <f t="shared" si="9"/>
        <v>3.7999999999999999E-2</v>
      </c>
      <c r="AN27" s="17">
        <f t="shared" si="10"/>
        <v>8.8999999999999996E-2</v>
      </c>
      <c r="AP27" s="1">
        <v>1.8000000000000002E-2</v>
      </c>
      <c r="AQ27" s="1">
        <v>5.6000000000000001E-2</v>
      </c>
      <c r="AR27" s="1">
        <v>0.14499999999999999</v>
      </c>
    </row>
    <row r="28" spans="1:82" x14ac:dyDescent="0.25">
      <c r="A28" s="63" t="s">
        <v>188</v>
      </c>
      <c r="B28" s="64"/>
      <c r="C28" s="64"/>
      <c r="D28" s="64"/>
      <c r="E28" s="64"/>
      <c r="F28" s="64"/>
      <c r="G28" s="64"/>
      <c r="H28" s="64"/>
      <c r="I28" s="64"/>
      <c r="J28" s="64"/>
      <c r="K28" s="64"/>
      <c r="M28" s="6"/>
      <c r="N28" s="6"/>
      <c r="O28" s="6"/>
      <c r="AK28" t="s">
        <v>67</v>
      </c>
      <c r="AL28" s="17">
        <f t="shared" si="3"/>
        <v>8.900000000000001E-2</v>
      </c>
      <c r="AM28" s="17">
        <f t="shared" si="9"/>
        <v>8.4000000000000005E-2</v>
      </c>
      <c r="AN28" s="17">
        <f t="shared" si="10"/>
        <v>0.12499999999999997</v>
      </c>
      <c r="AP28" s="1">
        <v>8.900000000000001E-2</v>
      </c>
      <c r="AQ28" s="1">
        <v>0.17300000000000001</v>
      </c>
      <c r="AR28" s="1">
        <v>0.29799999999999999</v>
      </c>
    </row>
    <row r="29" spans="1:82" x14ac:dyDescent="0.25">
      <c r="A29" s="61" t="s">
        <v>189</v>
      </c>
      <c r="B29" s="62" t="s">
        <v>190</v>
      </c>
      <c r="C29" s="61" t="s">
        <v>191</v>
      </c>
      <c r="D29" t="s">
        <v>192</v>
      </c>
      <c r="E29" t="s">
        <v>193</v>
      </c>
      <c r="F29" t="s">
        <v>194</v>
      </c>
      <c r="G29" t="s">
        <v>195</v>
      </c>
      <c r="H29" t="s">
        <v>196</v>
      </c>
      <c r="I29" t="s">
        <v>197</v>
      </c>
      <c r="J29" t="s">
        <v>187</v>
      </c>
      <c r="K29" t="s">
        <v>198</v>
      </c>
      <c r="L29" t="s">
        <v>199</v>
      </c>
      <c r="M29" s="6"/>
      <c r="N29" s="6"/>
      <c r="O29" s="6"/>
    </row>
    <row r="30" spans="1:82" ht="15" customHeight="1" x14ac:dyDescent="0.25">
      <c r="A30" s="61" t="s">
        <v>201</v>
      </c>
      <c r="B30" s="62" t="s">
        <v>202</v>
      </c>
      <c r="C30" s="61" t="s">
        <v>201</v>
      </c>
      <c r="D30" t="s">
        <v>203</v>
      </c>
      <c r="E30">
        <v>0</v>
      </c>
      <c r="F30">
        <v>1000000</v>
      </c>
      <c r="G30" t="s">
        <v>204</v>
      </c>
      <c r="H30" t="s">
        <v>205</v>
      </c>
      <c r="I30">
        <v>2</v>
      </c>
      <c r="J30">
        <v>1</v>
      </c>
      <c r="K30">
        <v>1</v>
      </c>
      <c r="M30" s="6"/>
      <c r="N30" s="6"/>
      <c r="O30" s="6"/>
      <c r="BX30" s="59" t="s">
        <v>176</v>
      </c>
      <c r="BY30" s="59" t="s">
        <v>177</v>
      </c>
      <c r="BZ30" s="59" t="s">
        <v>178</v>
      </c>
      <c r="CA30" s="59" t="s">
        <v>179</v>
      </c>
      <c r="CB30" s="59" t="s">
        <v>181</v>
      </c>
      <c r="CC30" s="59" t="s">
        <v>180</v>
      </c>
      <c r="CD30" s="59"/>
    </row>
    <row r="31" spans="1:82" x14ac:dyDescent="0.25">
      <c r="A31" s="6"/>
      <c r="B31" s="7"/>
      <c r="C31" s="6"/>
      <c r="M31" s="6"/>
      <c r="N31" s="6"/>
      <c r="O31" s="6"/>
      <c r="BX31" s="6"/>
      <c r="BY31" s="58"/>
      <c r="BZ31" s="6"/>
      <c r="CA31" s="6"/>
      <c r="CB31" s="6"/>
      <c r="CC31" s="6"/>
      <c r="CD31" s="6"/>
    </row>
    <row r="32" spans="1:82" x14ac:dyDescent="0.25">
      <c r="A32" s="6"/>
      <c r="B32" s="7"/>
      <c r="C32" s="6"/>
      <c r="M32" s="6"/>
      <c r="N32" s="6"/>
      <c r="O32" s="6"/>
      <c r="BX32" s="6"/>
      <c r="BY32" s="58"/>
      <c r="BZ32" s="6"/>
      <c r="CA32" s="6"/>
      <c r="CB32" s="6"/>
      <c r="CC32" s="6"/>
      <c r="CD32" s="6"/>
    </row>
    <row r="33" spans="1:82" x14ac:dyDescent="0.25">
      <c r="A33" s="6"/>
      <c r="B33" s="7"/>
      <c r="C33" s="6"/>
      <c r="M33" s="6"/>
      <c r="N33" s="6"/>
      <c r="O33" s="6"/>
      <c r="BX33" s="6"/>
      <c r="BY33" s="58"/>
      <c r="BZ33" s="6"/>
      <c r="CA33" s="6"/>
      <c r="CB33" s="6"/>
      <c r="CC33" s="6"/>
      <c r="CD33" s="6"/>
    </row>
    <row r="34" spans="1:82" x14ac:dyDescent="0.25">
      <c r="A34" s="6"/>
      <c r="B34" s="7"/>
      <c r="C34" s="6"/>
      <c r="M34" s="6"/>
      <c r="N34" s="6"/>
      <c r="O34" s="6"/>
      <c r="BX34" s="6"/>
      <c r="BY34" s="58"/>
      <c r="BZ34" s="6"/>
      <c r="CA34" s="6"/>
      <c r="CB34" s="6"/>
      <c r="CC34" s="6"/>
      <c r="CD34" s="6"/>
    </row>
    <row r="35" spans="1:82" x14ac:dyDescent="0.25">
      <c r="A35" s="6"/>
      <c r="B35" s="7"/>
      <c r="C35" s="6"/>
      <c r="M35" s="6"/>
      <c r="N35" s="6"/>
      <c r="O35" s="6"/>
      <c r="BX35" s="6"/>
      <c r="BY35" s="58"/>
      <c r="BZ35" s="6"/>
      <c r="CA35" s="6"/>
      <c r="CB35" s="6"/>
      <c r="CC35" s="6"/>
      <c r="CD35" s="6"/>
    </row>
    <row r="36" spans="1:82" x14ac:dyDescent="0.25">
      <c r="A36" s="6"/>
      <c r="B36" s="7"/>
      <c r="C36" s="6"/>
      <c r="M36" s="6"/>
      <c r="N36" s="6"/>
      <c r="O36" s="6"/>
      <c r="BX36" s="6"/>
      <c r="BY36" s="58"/>
      <c r="BZ36" s="6"/>
      <c r="CA36" s="6"/>
      <c r="CB36" s="6"/>
      <c r="CC36" s="6"/>
      <c r="CD36" s="6"/>
    </row>
    <row r="37" spans="1:82" x14ac:dyDescent="0.25">
      <c r="A37" s="6"/>
      <c r="B37" s="7"/>
      <c r="C37" s="6"/>
      <c r="M37" s="6"/>
      <c r="N37" s="6"/>
      <c r="O37" s="6"/>
      <c r="BX37" s="6"/>
      <c r="BY37" s="58"/>
      <c r="BZ37" s="6"/>
      <c r="CA37" s="6"/>
      <c r="CB37" s="6"/>
      <c r="CC37" s="6"/>
      <c r="CD37" s="6"/>
    </row>
    <row r="38" spans="1:82" x14ac:dyDescent="0.25">
      <c r="A38" s="6"/>
      <c r="B38" s="7"/>
      <c r="C38" s="6"/>
      <c r="M38" s="6"/>
      <c r="N38" s="6"/>
      <c r="O38" s="6"/>
      <c r="BX38" s="6"/>
      <c r="BY38" s="58"/>
      <c r="BZ38" s="6"/>
      <c r="CA38" s="6"/>
      <c r="CB38" s="6"/>
      <c r="CC38" s="6"/>
      <c r="CD38" s="6"/>
    </row>
    <row r="39" spans="1:82" x14ac:dyDescent="0.25">
      <c r="A39" s="6"/>
      <c r="B39" s="7"/>
      <c r="C39" s="6"/>
      <c r="M39" s="6"/>
      <c r="N39" s="6"/>
      <c r="O39" s="6"/>
      <c r="BX39" s="6"/>
      <c r="BY39" s="58"/>
      <c r="BZ39" s="6"/>
      <c r="CA39" s="6"/>
      <c r="CB39" s="6"/>
      <c r="CC39" s="6"/>
      <c r="CD39" s="6"/>
    </row>
    <row r="40" spans="1:82" x14ac:dyDescent="0.25">
      <c r="A40" s="6"/>
      <c r="B40" s="7"/>
      <c r="C40" s="6"/>
      <c r="M40" s="6"/>
      <c r="N40" s="6"/>
      <c r="O40" s="6"/>
      <c r="BX40" s="6"/>
      <c r="BY40" s="58"/>
      <c r="BZ40" s="6"/>
      <c r="CA40" s="6"/>
      <c r="CB40" s="6"/>
      <c r="CC40" s="6"/>
      <c r="CD40" s="6"/>
    </row>
    <row r="41" spans="1:82" x14ac:dyDescent="0.25">
      <c r="A41" s="6"/>
      <c r="B41" s="7"/>
      <c r="C41" s="6"/>
      <c r="M41" s="6"/>
      <c r="N41" s="6"/>
      <c r="O41" s="6"/>
      <c r="BX41" s="6"/>
      <c r="BY41" s="58"/>
      <c r="BZ41" s="6"/>
      <c r="CA41" s="6"/>
      <c r="CB41" s="6"/>
      <c r="CC41" s="6"/>
      <c r="CD41" s="6"/>
    </row>
    <row r="42" spans="1:82" x14ac:dyDescent="0.25">
      <c r="A42" s="6"/>
      <c r="B42" s="7"/>
      <c r="C42" s="6"/>
      <c r="M42" s="6"/>
      <c r="N42" s="6"/>
      <c r="O42" s="6"/>
      <c r="BX42" s="6"/>
      <c r="BY42" s="58"/>
      <c r="BZ42" s="6"/>
      <c r="CA42" s="6"/>
      <c r="CB42" s="6"/>
      <c r="CC42" s="6"/>
      <c r="CD42" s="6"/>
    </row>
    <row r="43" spans="1:82" x14ac:dyDescent="0.25">
      <c r="A43" s="6"/>
      <c r="B43" s="7"/>
      <c r="C43" s="6"/>
      <c r="M43" s="6"/>
      <c r="N43" s="6"/>
      <c r="O43" s="6"/>
      <c r="BX43" s="6"/>
      <c r="BY43" s="6"/>
      <c r="BZ43" s="6"/>
      <c r="CA43" s="6"/>
      <c r="CB43" s="6"/>
      <c r="CC43" s="6"/>
      <c r="CD43" s="6"/>
    </row>
    <row r="44" spans="1:82" x14ac:dyDescent="0.25">
      <c r="A44" s="6"/>
      <c r="B44" s="7"/>
      <c r="C44" s="6"/>
      <c r="M44" s="6"/>
      <c r="N44" s="6"/>
      <c r="O44" s="6"/>
      <c r="BX44" s="6"/>
      <c r="BY44" s="6"/>
      <c r="BZ44" s="6"/>
      <c r="CA44" s="6"/>
      <c r="CB44" s="6"/>
      <c r="CC44" s="6"/>
      <c r="CD44" s="6"/>
    </row>
    <row r="45" spans="1:82" x14ac:dyDescent="0.25">
      <c r="A45" s="6"/>
      <c r="B45" s="7"/>
      <c r="C45" s="6"/>
      <c r="M45" s="6"/>
      <c r="N45" s="6"/>
      <c r="O45" s="6"/>
      <c r="BX45" s="6"/>
      <c r="BY45" s="6"/>
      <c r="BZ45" s="6"/>
      <c r="CA45" s="6"/>
      <c r="CB45" s="6"/>
      <c r="CC45" s="6"/>
      <c r="CD45" s="6"/>
    </row>
    <row r="46" spans="1:82" x14ac:dyDescent="0.25">
      <c r="A46" s="6"/>
      <c r="B46" s="7"/>
      <c r="C46" s="6"/>
      <c r="M46" s="6"/>
      <c r="N46" s="6"/>
      <c r="O46" s="6"/>
      <c r="BX46" s="6"/>
      <c r="BY46" s="6"/>
      <c r="BZ46" s="6"/>
      <c r="CA46" s="6"/>
      <c r="CB46" s="6"/>
      <c r="CC46" s="6"/>
      <c r="CD46" s="6"/>
    </row>
    <row r="47" spans="1:82" x14ac:dyDescent="0.25">
      <c r="A47" s="6"/>
      <c r="B47" s="7"/>
      <c r="C47" s="6"/>
      <c r="M47" s="6"/>
      <c r="N47" s="6"/>
      <c r="O47" s="6"/>
      <c r="BX47" s="6"/>
      <c r="BY47" s="6"/>
      <c r="BZ47" s="6"/>
      <c r="CA47" s="6"/>
      <c r="CB47" s="6"/>
      <c r="CC47" s="6"/>
      <c r="CD47" s="6"/>
    </row>
    <row r="48" spans="1:82" x14ac:dyDescent="0.25">
      <c r="A48" s="6"/>
      <c r="B48" s="7"/>
      <c r="C48" s="6"/>
      <c r="M48" s="6"/>
      <c r="N48" s="6"/>
      <c r="O48" s="6"/>
    </row>
    <row r="49" spans="1:15" x14ac:dyDescent="0.25">
      <c r="A49" s="6"/>
      <c r="B49" s="7"/>
      <c r="C49" s="6"/>
      <c r="M49" s="6"/>
      <c r="N49" s="6"/>
      <c r="O49" s="6"/>
    </row>
    <row r="50" spans="1:15" x14ac:dyDescent="0.25">
      <c r="A50" s="6"/>
      <c r="B50" s="7"/>
      <c r="C50" s="6"/>
      <c r="M50" s="6"/>
      <c r="N50" s="6"/>
      <c r="O50" s="6"/>
    </row>
    <row r="51" spans="1:15" x14ac:dyDescent="0.25">
      <c r="A51" s="6"/>
      <c r="B51" s="7"/>
      <c r="C51" s="6"/>
      <c r="M51" s="6"/>
      <c r="N51" s="6"/>
      <c r="O51" s="6"/>
    </row>
    <row r="52" spans="1:15" x14ac:dyDescent="0.25">
      <c r="A52" s="6"/>
      <c r="B52" s="7"/>
      <c r="C52" s="6"/>
      <c r="M52" s="6"/>
      <c r="N52" s="6"/>
      <c r="O52" s="6"/>
    </row>
    <row r="53" spans="1:15" x14ac:dyDescent="0.25">
      <c r="A53" s="6"/>
      <c r="B53" s="7"/>
      <c r="C53" s="6"/>
      <c r="M53" s="6"/>
      <c r="N53" s="6"/>
      <c r="O53" s="6"/>
    </row>
    <row r="54" spans="1:15" x14ac:dyDescent="0.25">
      <c r="A54" s="6"/>
      <c r="B54" s="7"/>
      <c r="C54" s="6"/>
      <c r="M54" s="6"/>
      <c r="N54" s="6"/>
      <c r="O54" s="6"/>
    </row>
    <row r="55" spans="1:15" x14ac:dyDescent="0.25">
      <c r="A55" s="6"/>
      <c r="B55" s="7"/>
      <c r="C55" s="6"/>
      <c r="M55" s="6"/>
      <c r="N55" s="6"/>
      <c r="O55" s="6"/>
    </row>
    <row r="56" spans="1:15" x14ac:dyDescent="0.25">
      <c r="A56" s="6"/>
      <c r="B56" s="7"/>
      <c r="C56" s="6"/>
      <c r="M56" s="6"/>
      <c r="N56" s="6"/>
      <c r="O56" s="6"/>
    </row>
    <row r="57" spans="1:15" x14ac:dyDescent="0.25">
      <c r="A57" s="6"/>
      <c r="B57" s="7"/>
      <c r="C57" s="6"/>
      <c r="M57" s="6"/>
      <c r="N57" s="6"/>
      <c r="O57" s="6"/>
    </row>
    <row r="58" spans="1:15" x14ac:dyDescent="0.25">
      <c r="A58" s="6"/>
      <c r="B58" s="7"/>
      <c r="C58" s="6"/>
      <c r="M58" s="6"/>
      <c r="N58" s="6"/>
      <c r="O58" s="6"/>
    </row>
    <row r="59" spans="1:15" x14ac:dyDescent="0.25">
      <c r="A59" s="6"/>
      <c r="B59" s="7"/>
      <c r="C59" s="6"/>
      <c r="M59" s="6"/>
      <c r="N59" s="6"/>
      <c r="O59" s="6"/>
    </row>
    <row r="60" spans="1:15" x14ac:dyDescent="0.25">
      <c r="A60" s="6"/>
      <c r="B60" s="7"/>
      <c r="C60" s="6"/>
      <c r="M60" s="6"/>
      <c r="N60" s="6"/>
      <c r="O60" s="6"/>
    </row>
    <row r="61" spans="1:15" x14ac:dyDescent="0.25">
      <c r="A61" s="6"/>
      <c r="B61" s="7"/>
      <c r="C61" s="6"/>
      <c r="M61" s="6"/>
      <c r="N61" s="6"/>
      <c r="O61" s="6"/>
    </row>
    <row r="62" spans="1:15" x14ac:dyDescent="0.25">
      <c r="A62" s="6"/>
      <c r="B62" s="7"/>
      <c r="C62" s="6"/>
      <c r="M62" s="6"/>
      <c r="N62" s="6"/>
      <c r="O62" s="6"/>
    </row>
    <row r="63" spans="1:15" x14ac:dyDescent="0.25">
      <c r="A63" s="6"/>
      <c r="B63" s="7"/>
      <c r="C63" s="6"/>
      <c r="M63" s="6"/>
      <c r="N63" s="6"/>
      <c r="O63" s="6"/>
    </row>
    <row r="64" spans="1:15" x14ac:dyDescent="0.25">
      <c r="A64" s="6"/>
      <c r="B64" s="7"/>
      <c r="C64" s="6"/>
      <c r="M64" s="6"/>
      <c r="N64" s="6"/>
      <c r="O64" s="6"/>
    </row>
    <row r="65" spans="1:15" x14ac:dyDescent="0.25">
      <c r="A65" s="6"/>
      <c r="B65" s="7"/>
      <c r="C65" s="6"/>
      <c r="M65" s="6"/>
      <c r="N65" s="6"/>
      <c r="O65" s="6"/>
    </row>
    <row r="66" spans="1:15" x14ac:dyDescent="0.25">
      <c r="A66" s="6"/>
      <c r="B66" s="7"/>
      <c r="C66" s="6"/>
      <c r="M66" s="6"/>
      <c r="N66" s="6"/>
      <c r="O66" s="6"/>
    </row>
    <row r="67" spans="1:15" x14ac:dyDescent="0.25">
      <c r="A67" s="6"/>
      <c r="B67" s="7"/>
      <c r="C67" s="6"/>
      <c r="M67" s="6"/>
      <c r="N67" s="6"/>
      <c r="O67" s="6"/>
    </row>
    <row r="68" spans="1:15" x14ac:dyDescent="0.25">
      <c r="A68" s="6"/>
      <c r="B68" s="7"/>
      <c r="C68" s="6"/>
      <c r="M68" s="6"/>
      <c r="N68" s="6"/>
      <c r="O68" s="6"/>
    </row>
    <row r="69" spans="1:15" x14ac:dyDescent="0.25">
      <c r="A69" s="6"/>
      <c r="B69" s="7"/>
      <c r="C69" s="6"/>
      <c r="M69" s="6"/>
      <c r="N69" s="6"/>
      <c r="O69" s="6"/>
    </row>
    <row r="70" spans="1:15" x14ac:dyDescent="0.25">
      <c r="A70" s="6"/>
      <c r="B70" s="7"/>
      <c r="C70" s="6"/>
      <c r="M70" s="6"/>
      <c r="N70" s="6"/>
      <c r="O70" s="6"/>
    </row>
    <row r="71" spans="1:15" x14ac:dyDescent="0.25">
      <c r="A71" s="6"/>
      <c r="B71" s="7"/>
      <c r="C71" s="6"/>
      <c r="M71" s="6"/>
      <c r="N71" s="6"/>
      <c r="O71" s="6"/>
    </row>
    <row r="72" spans="1:15" x14ac:dyDescent="0.25">
      <c r="A72" s="6"/>
      <c r="B72" s="7"/>
      <c r="C72" s="6"/>
      <c r="M72" s="6"/>
      <c r="N72" s="6"/>
      <c r="O72" s="6"/>
    </row>
    <row r="73" spans="1:15" x14ac:dyDescent="0.25">
      <c r="A73" s="6"/>
      <c r="B73" s="7"/>
      <c r="C73" s="6"/>
      <c r="M73" s="6"/>
      <c r="N73" s="6"/>
      <c r="O73" s="6"/>
    </row>
    <row r="74" spans="1:15" x14ac:dyDescent="0.25">
      <c r="A74" s="6"/>
      <c r="B74" s="7"/>
      <c r="C74" s="6"/>
      <c r="M74" s="6"/>
      <c r="N74" s="6"/>
      <c r="O74" s="6"/>
    </row>
    <row r="75" spans="1:15" x14ac:dyDescent="0.25">
      <c r="A75" s="6"/>
      <c r="B75" s="7"/>
      <c r="C75" s="6"/>
      <c r="M75" s="6"/>
      <c r="N75" s="6"/>
      <c r="O75" s="6"/>
    </row>
    <row r="76" spans="1:15" x14ac:dyDescent="0.25">
      <c r="A76" s="6"/>
      <c r="B76" s="7"/>
      <c r="C76" s="6"/>
      <c r="M76" s="6"/>
      <c r="N76" s="6"/>
      <c r="O76" s="6"/>
    </row>
    <row r="77" spans="1:15" x14ac:dyDescent="0.25">
      <c r="A77" s="6"/>
      <c r="B77" s="7"/>
      <c r="C77" s="6"/>
      <c r="M77" s="6"/>
      <c r="N77" s="6"/>
      <c r="O77" s="6"/>
    </row>
    <row r="78" spans="1:15" x14ac:dyDescent="0.25">
      <c r="A78" s="6"/>
      <c r="B78" s="7"/>
      <c r="C78" s="6"/>
      <c r="M78" s="6"/>
      <c r="N78" s="6"/>
      <c r="O78" s="6"/>
    </row>
    <row r="79" spans="1:15" x14ac:dyDescent="0.25">
      <c r="A79" s="6"/>
      <c r="B79" s="7"/>
      <c r="C79" s="6"/>
      <c r="M79" s="6"/>
      <c r="N79" s="6"/>
      <c r="O79" s="6"/>
    </row>
    <row r="80" spans="1:15" x14ac:dyDescent="0.25">
      <c r="A80" s="6"/>
      <c r="B80" s="7"/>
      <c r="C80" s="6"/>
      <c r="M80" s="6"/>
      <c r="N80" s="6"/>
      <c r="O80" s="6"/>
    </row>
    <row r="81" spans="1:15" x14ac:dyDescent="0.25">
      <c r="A81" s="6"/>
      <c r="B81" s="7"/>
      <c r="C81" s="6"/>
      <c r="M81" s="6"/>
      <c r="N81" s="6"/>
      <c r="O81" s="6"/>
    </row>
    <row r="82" spans="1:15" x14ac:dyDescent="0.25">
      <c r="A82" s="6"/>
      <c r="B82" s="7"/>
      <c r="C82" s="6"/>
      <c r="M82" s="6"/>
      <c r="N82" s="6"/>
      <c r="O82" s="6"/>
    </row>
    <row r="83" spans="1:15" x14ac:dyDescent="0.25">
      <c r="A83" s="6"/>
      <c r="B83" s="7"/>
      <c r="C83" s="6"/>
      <c r="M83" s="6"/>
      <c r="N83" s="6"/>
      <c r="O83" s="6"/>
    </row>
    <row r="84" spans="1:15" x14ac:dyDescent="0.25">
      <c r="A84" s="6"/>
      <c r="B84" s="7"/>
      <c r="C84" s="6"/>
      <c r="M84" s="6"/>
      <c r="N84" s="6"/>
      <c r="O84" s="6"/>
    </row>
    <row r="85" spans="1:15" x14ac:dyDescent="0.25">
      <c r="A85" s="6"/>
      <c r="B85" s="7"/>
      <c r="C85" s="6"/>
      <c r="M85" s="6"/>
      <c r="N85" s="6"/>
      <c r="O85" s="6"/>
    </row>
    <row r="86" spans="1:15" x14ac:dyDescent="0.25">
      <c r="A86" s="6"/>
      <c r="B86" s="7"/>
      <c r="C86" s="6"/>
      <c r="M86" s="6"/>
      <c r="N86" s="6"/>
      <c r="O86" s="6"/>
    </row>
    <row r="87" spans="1:15" x14ac:dyDescent="0.25">
      <c r="A87" s="6"/>
      <c r="B87" s="7"/>
      <c r="C87" s="6"/>
      <c r="M87" s="6"/>
      <c r="N87" s="6"/>
      <c r="O87" s="6"/>
    </row>
    <row r="88" spans="1:15" x14ac:dyDescent="0.25">
      <c r="A88" s="6"/>
      <c r="B88" s="7"/>
      <c r="C88" s="6"/>
      <c r="M88" s="6"/>
      <c r="N88" s="6"/>
      <c r="O88" s="6"/>
    </row>
    <row r="89" spans="1:15" x14ac:dyDescent="0.25">
      <c r="A89" s="6"/>
      <c r="B89" s="7"/>
      <c r="C89" s="6"/>
      <c r="M89" s="6"/>
      <c r="N89" s="6"/>
      <c r="O89" s="6"/>
    </row>
    <row r="90" spans="1:15" x14ac:dyDescent="0.25">
      <c r="A90" s="6"/>
      <c r="B90" s="7"/>
      <c r="C90" s="6"/>
      <c r="M90" s="6"/>
      <c r="N90" s="6"/>
      <c r="O90" s="6"/>
    </row>
    <row r="91" spans="1:15" x14ac:dyDescent="0.25">
      <c r="A91" s="6"/>
      <c r="B91" s="7"/>
      <c r="C91" s="6"/>
      <c r="M91" s="6"/>
      <c r="N91" s="6"/>
      <c r="O91" s="6"/>
    </row>
    <row r="92" spans="1:15" x14ac:dyDescent="0.25">
      <c r="A92" s="6"/>
      <c r="B92" s="7"/>
      <c r="C92" s="6"/>
      <c r="M92" s="6"/>
      <c r="N92" s="6"/>
      <c r="O92" s="6"/>
    </row>
    <row r="93" spans="1:15" x14ac:dyDescent="0.25">
      <c r="A93" s="6"/>
      <c r="B93" s="7"/>
      <c r="C93" s="6"/>
      <c r="M93" s="6"/>
      <c r="N93" s="6"/>
      <c r="O93" s="6"/>
    </row>
    <row r="94" spans="1:15" x14ac:dyDescent="0.25">
      <c r="A94" s="6"/>
      <c r="B94" s="7"/>
      <c r="C94" s="6"/>
      <c r="M94" s="6"/>
      <c r="N94" s="6"/>
      <c r="O94" s="6"/>
    </row>
    <row r="95" spans="1:15" x14ac:dyDescent="0.25">
      <c r="A95" s="6"/>
      <c r="B95" s="7"/>
      <c r="C95" s="6"/>
      <c r="M95" s="6"/>
      <c r="N95" s="6"/>
      <c r="O95" s="6"/>
    </row>
    <row r="96" spans="1:15" x14ac:dyDescent="0.25">
      <c r="A96" s="6"/>
      <c r="B96" s="7"/>
      <c r="C96" s="6"/>
      <c r="M96" s="6"/>
      <c r="N96" s="6"/>
      <c r="O96" s="6"/>
    </row>
    <row r="97" spans="1:15" x14ac:dyDescent="0.25">
      <c r="A97" s="6"/>
      <c r="B97" s="7"/>
      <c r="C97" s="6"/>
      <c r="M97" s="6"/>
      <c r="N97" s="6"/>
      <c r="O97" s="6"/>
    </row>
    <row r="98" spans="1:15" x14ac:dyDescent="0.25">
      <c r="A98" s="6"/>
      <c r="B98" s="7"/>
      <c r="C98" s="6"/>
      <c r="M98" s="6"/>
      <c r="N98" s="6"/>
      <c r="O98" s="6"/>
    </row>
    <row r="99" spans="1:15" x14ac:dyDescent="0.25">
      <c r="A99" s="6"/>
      <c r="B99" s="7"/>
      <c r="C99" s="6"/>
      <c r="M99" s="6"/>
      <c r="N99" s="6"/>
      <c r="O99" s="6"/>
    </row>
    <row r="100" spans="1:15" x14ac:dyDescent="0.25">
      <c r="A100" s="6"/>
      <c r="B100" s="7"/>
      <c r="C100" s="6"/>
      <c r="M100" s="6"/>
      <c r="N100" s="6"/>
      <c r="O100" s="6"/>
    </row>
  </sheetData>
  <sortState xmlns:xlrd2="http://schemas.microsoft.com/office/spreadsheetml/2017/richdata2" ref="A3:C13">
    <sortCondition ref="B3:B13"/>
  </sortState>
  <mergeCells count="1">
    <mergeCell ref="A28:K28"/>
  </mergeCell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U46"/>
  <sheetViews>
    <sheetView workbookViewId="0">
      <selection activeCell="L44" sqref="L44"/>
    </sheetView>
  </sheetViews>
  <sheetFormatPr defaultRowHeight="15" x14ac:dyDescent="0.25"/>
  <cols>
    <col min="1" max="1" width="1.7109375" customWidth="1"/>
    <col min="2" max="4" width="11.85546875" customWidth="1"/>
    <col min="5" max="5" width="26.85546875" customWidth="1"/>
    <col min="6" max="6" width="13.85546875" customWidth="1"/>
    <col min="7" max="7" width="80.28515625" bestFit="1" customWidth="1"/>
    <col min="8" max="11" width="9" customWidth="1"/>
  </cols>
  <sheetData>
    <row r="1" spans="2:12" x14ac:dyDescent="0.25">
      <c r="B1" s="19" t="s">
        <v>73</v>
      </c>
      <c r="C1" s="20"/>
      <c r="D1" s="20"/>
      <c r="E1" s="20"/>
      <c r="F1" s="20"/>
      <c r="G1" s="20"/>
      <c r="H1" s="20"/>
      <c r="I1" s="20"/>
      <c r="J1" s="20"/>
      <c r="K1" s="20"/>
    </row>
    <row r="2" spans="2:12" x14ac:dyDescent="0.25">
      <c r="B2" s="20"/>
      <c r="C2" s="20"/>
      <c r="D2" s="20"/>
      <c r="E2" s="20"/>
      <c r="F2" s="20"/>
      <c r="G2" s="20"/>
      <c r="H2" s="20"/>
      <c r="I2" s="20"/>
      <c r="J2" s="20"/>
      <c r="K2" s="20"/>
    </row>
    <row r="3" spans="2:12" x14ac:dyDescent="0.25">
      <c r="B3" s="21">
        <v>2</v>
      </c>
      <c r="C3" s="21">
        <f>B3+1</f>
        <v>3</v>
      </c>
      <c r="D3" s="21">
        <f>C3+1</f>
        <v>4</v>
      </c>
      <c r="E3" s="21">
        <f>D3+1</f>
        <v>5</v>
      </c>
      <c r="F3" s="21">
        <f t="shared" ref="F3:L3" si="0">E3+1</f>
        <v>6</v>
      </c>
      <c r="G3" s="21">
        <f t="shared" si="0"/>
        <v>7</v>
      </c>
      <c r="H3" s="21">
        <f t="shared" si="0"/>
        <v>8</v>
      </c>
      <c r="I3" s="21">
        <f t="shared" si="0"/>
        <v>9</v>
      </c>
      <c r="J3" s="21">
        <f t="shared" si="0"/>
        <v>10</v>
      </c>
      <c r="K3" s="21">
        <f t="shared" si="0"/>
        <v>11</v>
      </c>
      <c r="L3" s="21">
        <f t="shared" si="0"/>
        <v>12</v>
      </c>
    </row>
    <row r="4" spans="2:12" x14ac:dyDescent="0.25">
      <c r="B4" s="22" t="s">
        <v>74</v>
      </c>
      <c r="C4" s="22" t="s">
        <v>75</v>
      </c>
      <c r="D4" s="23" t="s">
        <v>76</v>
      </c>
      <c r="E4" s="22" t="s">
        <v>77</v>
      </c>
      <c r="F4" s="22" t="s">
        <v>78</v>
      </c>
      <c r="G4" s="22" t="s">
        <v>79</v>
      </c>
      <c r="H4" s="24" t="s">
        <v>80</v>
      </c>
      <c r="I4" s="24" t="s">
        <v>81</v>
      </c>
      <c r="J4" s="24" t="s">
        <v>82</v>
      </c>
      <c r="K4" s="24" t="s">
        <v>83</v>
      </c>
      <c r="L4" s="24" t="s">
        <v>182</v>
      </c>
    </row>
    <row r="5" spans="2:12" x14ac:dyDescent="0.25">
      <c r="B5" s="20"/>
      <c r="C5" s="20"/>
      <c r="D5" s="25"/>
      <c r="E5" s="20"/>
      <c r="F5" s="20"/>
      <c r="G5" s="20"/>
      <c r="H5" s="26"/>
      <c r="I5" s="26"/>
      <c r="J5" s="26"/>
      <c r="K5" s="26"/>
    </row>
    <row r="6" spans="2:12" x14ac:dyDescent="0.25">
      <c r="B6" s="20" t="s">
        <v>84</v>
      </c>
      <c r="C6" s="20" t="b">
        <v>1</v>
      </c>
      <c r="D6" s="25" t="s">
        <v>85</v>
      </c>
      <c r="E6" s="20" t="s">
        <v>84</v>
      </c>
      <c r="F6" s="20"/>
      <c r="G6" s="20"/>
      <c r="H6" s="26"/>
      <c r="I6" s="26"/>
      <c r="J6" s="26"/>
      <c r="K6" s="26"/>
      <c r="L6" s="20" t="b">
        <v>1</v>
      </c>
    </row>
    <row r="7" spans="2:12" x14ac:dyDescent="0.25">
      <c r="B7" s="20" t="s">
        <v>120</v>
      </c>
      <c r="C7" s="20" t="b">
        <v>1</v>
      </c>
      <c r="D7" s="25" t="s">
        <v>85</v>
      </c>
      <c r="E7" s="20" t="s">
        <v>121</v>
      </c>
      <c r="F7" s="20"/>
      <c r="G7" s="20"/>
      <c r="H7" s="26"/>
      <c r="I7" s="26"/>
      <c r="J7" s="26"/>
      <c r="K7" s="26"/>
      <c r="L7" s="20" t="b">
        <v>1</v>
      </c>
    </row>
    <row r="8" spans="2:12" x14ac:dyDescent="0.25">
      <c r="B8" s="20" t="s">
        <v>137</v>
      </c>
      <c r="C8" s="20" t="b">
        <v>1</v>
      </c>
      <c r="D8" s="25" t="s">
        <v>85</v>
      </c>
      <c r="E8" s="20" t="s">
        <v>122</v>
      </c>
      <c r="F8" s="20"/>
      <c r="G8" s="20"/>
      <c r="H8" s="26"/>
      <c r="I8" s="26"/>
      <c r="J8" s="26"/>
      <c r="K8" s="26"/>
      <c r="L8" s="20" t="b">
        <v>1</v>
      </c>
    </row>
    <row r="9" spans="2:12" ht="22.5" customHeight="1" x14ac:dyDescent="0.25">
      <c r="B9" s="20" t="s">
        <v>138</v>
      </c>
      <c r="C9" s="20" t="b">
        <v>1</v>
      </c>
      <c r="D9" s="25" t="s">
        <v>85</v>
      </c>
      <c r="E9" s="20" t="s">
        <v>123</v>
      </c>
      <c r="F9" s="20"/>
      <c r="G9" s="20"/>
      <c r="H9" s="26"/>
      <c r="I9" s="26"/>
      <c r="J9" s="26"/>
      <c r="K9" s="26"/>
      <c r="L9" s="20" t="b">
        <v>1</v>
      </c>
    </row>
    <row r="10" spans="2:12" x14ac:dyDescent="0.25">
      <c r="B10" s="20" t="s">
        <v>139</v>
      </c>
      <c r="C10" s="20" t="b">
        <v>1</v>
      </c>
      <c r="D10" s="25" t="s">
        <v>85</v>
      </c>
      <c r="E10" s="20" t="s">
        <v>124</v>
      </c>
      <c r="F10" s="20"/>
      <c r="G10" s="20"/>
      <c r="H10" s="26"/>
      <c r="I10" s="26"/>
      <c r="J10" s="26"/>
      <c r="K10" s="26"/>
      <c r="L10" s="20" t="b">
        <v>1</v>
      </c>
    </row>
    <row r="11" spans="2:12" x14ac:dyDescent="0.25">
      <c r="B11" s="20" t="s">
        <v>90</v>
      </c>
      <c r="C11" s="20" t="b">
        <v>1</v>
      </c>
      <c r="D11" s="25" t="s">
        <v>85</v>
      </c>
      <c r="E11" s="20" t="s">
        <v>125</v>
      </c>
      <c r="F11" s="20" t="s">
        <v>131</v>
      </c>
      <c r="G11" s="20"/>
      <c r="H11" s="26"/>
      <c r="I11" s="26"/>
      <c r="J11" s="26"/>
      <c r="K11" s="26"/>
      <c r="L11" s="20" t="b">
        <v>1</v>
      </c>
    </row>
    <row r="12" spans="2:12" x14ac:dyDescent="0.25">
      <c r="B12" s="27" t="s">
        <v>90</v>
      </c>
      <c r="C12" s="27" t="b">
        <v>1</v>
      </c>
      <c r="D12" s="28" t="s">
        <v>86</v>
      </c>
      <c r="E12" s="27" t="s">
        <v>92</v>
      </c>
      <c r="F12" s="27" t="s">
        <v>87</v>
      </c>
      <c r="G12" s="27" t="s">
        <v>100</v>
      </c>
      <c r="H12" s="29"/>
      <c r="I12" s="29"/>
      <c r="J12" s="29"/>
      <c r="K12" s="29"/>
      <c r="L12" s="20" t="b">
        <v>1</v>
      </c>
    </row>
    <row r="13" spans="2:12" x14ac:dyDescent="0.25">
      <c r="B13" s="20"/>
      <c r="C13" s="20"/>
      <c r="D13" s="25"/>
      <c r="E13" s="20"/>
      <c r="F13" s="20" t="s">
        <v>88</v>
      </c>
      <c r="G13" s="45" t="str">
        <f>IF('Charts Data'!BG4="","",'Charts Data'!BG4)</f>
        <v>The gold star on each demographic characteristic bar represents 's performance relative to the span of the peer group.</v>
      </c>
      <c r="H13" s="26"/>
      <c r="I13" s="26"/>
      <c r="J13" s="26"/>
      <c r="K13" s="26"/>
    </row>
    <row r="14" spans="2:12" x14ac:dyDescent="0.25">
      <c r="B14" s="20"/>
      <c r="C14" s="20"/>
      <c r="D14" s="25"/>
      <c r="E14" s="20"/>
      <c r="F14" s="20" t="s">
        <v>89</v>
      </c>
      <c r="G14" s="31" t="s">
        <v>132</v>
      </c>
      <c r="H14" s="32">
        <v>8.3740000000000006</v>
      </c>
      <c r="I14" s="32">
        <v>0.73199999999999998</v>
      </c>
      <c r="J14" s="26"/>
      <c r="K14" s="26"/>
    </row>
    <row r="15" spans="2:12" x14ac:dyDescent="0.25">
      <c r="B15" s="20"/>
      <c r="C15" s="20"/>
      <c r="D15" s="25"/>
      <c r="E15" s="20"/>
      <c r="F15" s="20" t="s">
        <v>89</v>
      </c>
      <c r="G15" s="31" t="s">
        <v>107</v>
      </c>
      <c r="H15" s="32">
        <v>0.92390000000000005</v>
      </c>
      <c r="I15" s="32">
        <v>1.778</v>
      </c>
      <c r="J15" s="32"/>
      <c r="K15" s="32"/>
    </row>
    <row r="16" spans="2:12" x14ac:dyDescent="0.25">
      <c r="B16" s="20"/>
      <c r="C16" s="20"/>
      <c r="D16" s="25"/>
      <c r="E16" s="20"/>
      <c r="F16" s="20"/>
      <c r="G16" s="20"/>
      <c r="H16" s="26"/>
      <c r="I16" s="26"/>
      <c r="J16" s="26"/>
      <c r="K16" s="26"/>
    </row>
    <row r="17" spans="2:21" x14ac:dyDescent="0.25">
      <c r="B17" s="27" t="s">
        <v>123</v>
      </c>
      <c r="C17" s="27" t="b">
        <v>1</v>
      </c>
      <c r="D17" s="28" t="s">
        <v>86</v>
      </c>
      <c r="E17" s="27" t="s">
        <v>92</v>
      </c>
      <c r="F17" s="27" t="s">
        <v>87</v>
      </c>
      <c r="G17" s="27" t="s">
        <v>159</v>
      </c>
      <c r="H17" s="29"/>
      <c r="I17" s="29"/>
      <c r="J17" s="29"/>
      <c r="K17" s="29"/>
      <c r="L17" s="20" t="b">
        <v>1</v>
      </c>
      <c r="P17" s="43" t="e">
        <f>INDEX('Charts Data'!$N:$N,MATCH(CName,'Charts Data'!$M:$M,0))</f>
        <v>#N/A</v>
      </c>
      <c r="Q17" s="43" t="e">
        <f>MEDIAN('Charts Data'!$N$3:$N$1048576)</f>
        <v>#NUM!</v>
      </c>
      <c r="R17" s="43" t="e">
        <f>PERCENTILE('Charts Data'!$N$3:$N$1048576,75%)</f>
        <v>#NUM!</v>
      </c>
      <c r="S17" t="e">
        <f>INDEX('Charts Data'!$O:$O,MATCH(CName,'Charts Data'!$M:$M,0))</f>
        <v>#N/A</v>
      </c>
      <c r="T17" s="43" t="e">
        <f>MEDIAN('Charts Data'!$O$3:$O$1048576)</f>
        <v>#NUM!</v>
      </c>
      <c r="U17" s="43" t="e">
        <f>PERCENTILE('Charts Data'!$O$3:$O$1048576,75%)</f>
        <v>#NUM!</v>
      </c>
    </row>
    <row r="18" spans="2:21" x14ac:dyDescent="0.25">
      <c r="B18" s="20"/>
      <c r="C18" s="20"/>
      <c r="D18" s="25"/>
      <c r="E18" s="20"/>
      <c r="F18" s="20" t="s">
        <v>88</v>
      </c>
      <c r="G18" s="51">
        <f>'Charts Data'!BG5</f>
        <v>0</v>
      </c>
      <c r="H18" s="26"/>
      <c r="I18" s="26"/>
      <c r="J18" s="26"/>
      <c r="K18" s="26"/>
      <c r="M18" s="42" t="s">
        <v>108</v>
      </c>
      <c r="N18" t="s">
        <v>111</v>
      </c>
      <c r="O18">
        <f>CName</f>
        <v>0</v>
      </c>
      <c r="P18" s="42" t="s">
        <v>109</v>
      </c>
      <c r="Q18" t="str">
        <f>IFERROR(IF(AND(ISNUMBER(P17),ISNUMBER(Q17)),IF(P17&gt;Q17,"lower than median",IF(AND(P17&lt;=Q17,S17&gt;T17),"better than median",IF(AND(P17&lt;=R17,S17&gt;=U17),"amongst the top performers",""))),""),"")</f>
        <v/>
      </c>
      <c r="R18" s="42" t="s">
        <v>110</v>
      </c>
    </row>
    <row r="19" spans="2:21" x14ac:dyDescent="0.25">
      <c r="B19" s="20"/>
      <c r="C19" s="20"/>
      <c r="D19" s="25"/>
      <c r="E19" s="20"/>
      <c r="F19" s="20" t="s">
        <v>89</v>
      </c>
      <c r="G19" s="31" t="s">
        <v>93</v>
      </c>
      <c r="H19" s="32">
        <v>0.59699999999999998</v>
      </c>
      <c r="I19" s="32">
        <v>1.83</v>
      </c>
      <c r="J19" s="32"/>
      <c r="K19" s="32"/>
    </row>
    <row r="20" spans="2:21" x14ac:dyDescent="0.25">
      <c r="B20" s="20"/>
      <c r="C20" s="20"/>
      <c r="D20" s="25"/>
      <c r="E20" s="20"/>
      <c r="F20" s="20"/>
      <c r="G20" s="20"/>
      <c r="H20" s="26"/>
      <c r="I20" s="26"/>
      <c r="J20" s="26"/>
      <c r="K20" s="26"/>
      <c r="M20" t="str">
        <f>IF(N18&lt;&gt;"",M18&amp;" "&amp;N18,"")&amp;IF(Q18&lt;&gt;"",O18&amp;" "&amp;P18&amp;" "&amp;Q18&amp;" "&amp;R18, "")</f>
        <v xml:space="preserve">Topmost right hand quadrant is top performance space, Tsingtao is the best in class performer, </v>
      </c>
    </row>
    <row r="21" spans="2:21" x14ac:dyDescent="0.25">
      <c r="B21" s="27" t="s">
        <v>124</v>
      </c>
      <c r="C21" s="27" t="b">
        <v>1</v>
      </c>
      <c r="D21" s="28" t="s">
        <v>86</v>
      </c>
      <c r="E21" s="27" t="s">
        <v>92</v>
      </c>
      <c r="F21" s="27" t="s">
        <v>87</v>
      </c>
      <c r="G21" s="27" t="str">
        <f>"Overall SG&amp;A Performance: " &amp; CName &amp; " vs. Peers"</f>
        <v>Overall SG&amp;A Performance:  vs. Peers</v>
      </c>
      <c r="H21" s="29"/>
      <c r="I21" s="29"/>
      <c r="J21" s="29"/>
      <c r="K21" s="29"/>
      <c r="L21" s="20" t="b">
        <v>1</v>
      </c>
    </row>
    <row r="22" spans="2:21" ht="32.25" customHeight="1" x14ac:dyDescent="0.25">
      <c r="B22" s="20"/>
      <c r="C22" s="20"/>
      <c r="D22" s="25"/>
      <c r="E22" s="20"/>
      <c r="F22" s="20" t="s">
        <v>88</v>
      </c>
      <c r="G22" s="30">
        <f>'Charts Data'!BG6</f>
        <v>0</v>
      </c>
      <c r="H22" s="26"/>
      <c r="I22" s="26"/>
      <c r="J22" s="26"/>
      <c r="K22" s="26"/>
    </row>
    <row r="23" spans="2:21" x14ac:dyDescent="0.25">
      <c r="B23" s="20"/>
      <c r="C23" s="20"/>
      <c r="D23" s="25"/>
      <c r="E23" s="20"/>
      <c r="F23" s="20" t="s">
        <v>89</v>
      </c>
      <c r="G23" s="20" t="s">
        <v>94</v>
      </c>
      <c r="H23" s="32">
        <v>250</v>
      </c>
      <c r="I23" s="32">
        <v>150</v>
      </c>
      <c r="J23" s="32"/>
      <c r="K23" s="32"/>
    </row>
    <row r="24" spans="2:21" x14ac:dyDescent="0.25">
      <c r="B24" s="20"/>
      <c r="C24" s="20"/>
      <c r="D24" s="25"/>
      <c r="E24" s="20"/>
      <c r="F24" s="20"/>
      <c r="G24" s="20"/>
      <c r="H24" s="26"/>
      <c r="I24" s="26"/>
      <c r="J24" s="26"/>
      <c r="K24" s="26"/>
    </row>
    <row r="25" spans="2:21" x14ac:dyDescent="0.25">
      <c r="B25" s="27" t="s">
        <v>126</v>
      </c>
      <c r="C25" s="27" t="b">
        <v>1</v>
      </c>
      <c r="D25" s="28" t="s">
        <v>86</v>
      </c>
      <c r="E25" s="27" t="s">
        <v>92</v>
      </c>
      <c r="F25" s="27" t="s">
        <v>87</v>
      </c>
      <c r="G25" s="27" t="s">
        <v>95</v>
      </c>
      <c r="H25" s="29"/>
      <c r="I25" s="29"/>
      <c r="J25" s="29"/>
      <c r="K25" s="29"/>
      <c r="L25" s="20" t="b">
        <v>1</v>
      </c>
    </row>
    <row r="26" spans="2:21" x14ac:dyDescent="0.25">
      <c r="B26" s="20"/>
      <c r="C26" s="20"/>
      <c r="D26" s="25"/>
      <c r="E26" s="20"/>
      <c r="F26" s="20" t="s">
        <v>88</v>
      </c>
      <c r="G26" s="51">
        <f>'Charts Data'!BG7</f>
        <v>0</v>
      </c>
      <c r="H26" s="26"/>
      <c r="I26" s="26"/>
      <c r="J26" s="26"/>
      <c r="K26" s="26"/>
    </row>
    <row r="27" spans="2:21" x14ac:dyDescent="0.25">
      <c r="B27" s="20"/>
      <c r="C27" s="20"/>
      <c r="D27" s="25"/>
      <c r="E27" s="20"/>
      <c r="F27" s="20" t="s">
        <v>89</v>
      </c>
      <c r="G27" s="20" t="s">
        <v>96</v>
      </c>
      <c r="H27" s="32">
        <v>0.49</v>
      </c>
      <c r="I27" s="32">
        <v>1.5569999999999999</v>
      </c>
      <c r="J27" s="32"/>
      <c r="K27" s="32"/>
    </row>
    <row r="28" spans="2:21" x14ac:dyDescent="0.25">
      <c r="B28" s="20"/>
      <c r="C28" s="20"/>
      <c r="D28" s="25"/>
      <c r="E28" s="20"/>
      <c r="F28" s="20"/>
      <c r="G28" s="20"/>
      <c r="H28" s="26"/>
      <c r="I28" s="26"/>
      <c r="J28" s="26"/>
      <c r="K28" s="26"/>
    </row>
    <row r="29" spans="2:21" x14ac:dyDescent="0.25">
      <c r="B29" s="27" t="s">
        <v>127</v>
      </c>
      <c r="C29" s="27" t="b">
        <v>1</v>
      </c>
      <c r="D29" s="28" t="s">
        <v>86</v>
      </c>
      <c r="E29" s="27" t="s">
        <v>92</v>
      </c>
      <c r="F29" s="27" t="s">
        <v>87</v>
      </c>
      <c r="G29" s="27" t="str">
        <f>CName &amp; ": Estimated Opportunity Waterfall1"</f>
        <v>: Estimated Opportunity Waterfall1</v>
      </c>
      <c r="H29" s="29"/>
      <c r="I29" s="29"/>
      <c r="J29" s="29"/>
      <c r="K29" s="29"/>
      <c r="L29" s="20" t="b">
        <v>1</v>
      </c>
    </row>
    <row r="30" spans="2:21" ht="45.75" customHeight="1" x14ac:dyDescent="0.25">
      <c r="B30" s="20"/>
      <c r="C30" s="20"/>
      <c r="D30" s="25"/>
      <c r="E30" s="20"/>
      <c r="F30" s="20" t="s">
        <v>88</v>
      </c>
      <c r="G30" s="30">
        <f>'Charts Data'!BG8</f>
        <v>0</v>
      </c>
      <c r="H30" s="26"/>
      <c r="I30" s="26"/>
      <c r="J30" s="26"/>
      <c r="K30" s="26" t="s">
        <v>143</v>
      </c>
    </row>
    <row r="31" spans="2:21" x14ac:dyDescent="0.25">
      <c r="B31" s="20"/>
      <c r="C31" s="20"/>
      <c r="D31" s="25"/>
      <c r="E31" s="20"/>
      <c r="F31" s="20" t="s">
        <v>89</v>
      </c>
      <c r="G31" s="20" t="s">
        <v>97</v>
      </c>
      <c r="H31" s="32">
        <v>0.83</v>
      </c>
      <c r="I31" s="32">
        <v>2.5739999999999998</v>
      </c>
      <c r="J31" s="32"/>
      <c r="K31" s="32"/>
    </row>
    <row r="32" spans="2:21" x14ac:dyDescent="0.25">
      <c r="B32" s="20"/>
      <c r="C32" s="20"/>
      <c r="D32" s="25"/>
      <c r="E32" s="20"/>
      <c r="F32" s="20"/>
      <c r="G32" s="20"/>
      <c r="H32" s="26"/>
      <c r="I32" s="26"/>
      <c r="J32" s="26"/>
      <c r="K32" s="26"/>
    </row>
    <row r="33" spans="2:13" x14ac:dyDescent="0.25">
      <c r="B33" s="27" t="s">
        <v>128</v>
      </c>
      <c r="C33" s="27" t="b">
        <v>1</v>
      </c>
      <c r="D33" s="28" t="s">
        <v>86</v>
      </c>
      <c r="E33" s="27" t="s">
        <v>92</v>
      </c>
      <c r="F33" s="27" t="s">
        <v>87</v>
      </c>
      <c r="G33" s="27" t="s">
        <v>158</v>
      </c>
      <c r="H33" s="29"/>
      <c r="I33" s="29"/>
      <c r="J33" s="29"/>
      <c r="K33" s="29"/>
      <c r="L33" s="20" t="b">
        <v>1</v>
      </c>
    </row>
    <row r="34" spans="2:13" x14ac:dyDescent="0.25">
      <c r="B34" s="20"/>
      <c r="C34" s="20"/>
      <c r="D34" s="25"/>
      <c r="E34" s="20"/>
      <c r="F34" s="20" t="s">
        <v>88</v>
      </c>
      <c r="G34" s="30">
        <f>'Charts Data'!BG9</f>
        <v>0</v>
      </c>
      <c r="H34" s="26"/>
      <c r="I34" s="26"/>
      <c r="J34" s="26"/>
      <c r="K34" s="26"/>
    </row>
    <row r="35" spans="2:13" x14ac:dyDescent="0.25">
      <c r="B35" s="20"/>
      <c r="C35" s="20"/>
      <c r="D35" s="25"/>
      <c r="E35" s="20"/>
      <c r="F35" s="20" t="s">
        <v>89</v>
      </c>
      <c r="G35" s="20" t="s">
        <v>98</v>
      </c>
      <c r="H35" s="32">
        <v>0.35</v>
      </c>
      <c r="I35" s="32">
        <v>1.43</v>
      </c>
      <c r="J35" s="32"/>
      <c r="K35" s="32"/>
    </row>
    <row r="36" spans="2:13" x14ac:dyDescent="0.25">
      <c r="B36" s="27" t="s">
        <v>139</v>
      </c>
      <c r="C36" s="27" t="b">
        <v>1</v>
      </c>
      <c r="D36" s="28" t="s">
        <v>86</v>
      </c>
      <c r="E36" s="27" t="s">
        <v>92</v>
      </c>
      <c r="F36" s="20"/>
      <c r="G36" s="20"/>
      <c r="H36" s="26"/>
      <c r="I36" s="26"/>
      <c r="J36" s="26"/>
      <c r="K36" s="26"/>
      <c r="L36" s="20" t="b">
        <v>1</v>
      </c>
    </row>
    <row r="37" spans="2:13" x14ac:dyDescent="0.25">
      <c r="B37" s="27" t="s">
        <v>121</v>
      </c>
      <c r="C37" s="27" t="b">
        <v>1</v>
      </c>
      <c r="D37" s="28" t="s">
        <v>86</v>
      </c>
      <c r="E37" s="27" t="s">
        <v>92</v>
      </c>
      <c r="F37" s="20"/>
      <c r="G37" s="20"/>
      <c r="H37" s="26"/>
      <c r="I37" s="26"/>
      <c r="J37" s="26"/>
      <c r="K37" s="26"/>
      <c r="L37" s="20" t="b">
        <v>1</v>
      </c>
    </row>
    <row r="38" spans="2:13" x14ac:dyDescent="0.25">
      <c r="B38" s="20" t="s">
        <v>127</v>
      </c>
      <c r="C38" s="20" t="b">
        <v>1</v>
      </c>
      <c r="D38" s="25" t="s">
        <v>85</v>
      </c>
      <c r="E38" s="20" t="s">
        <v>126</v>
      </c>
      <c r="F38" s="20"/>
      <c r="G38" s="20"/>
      <c r="H38" s="33"/>
      <c r="I38" s="33"/>
      <c r="J38" s="33"/>
      <c r="K38" s="33"/>
      <c r="L38" s="20" t="b">
        <v>1</v>
      </c>
      <c r="M38" t="s">
        <v>200</v>
      </c>
    </row>
    <row r="39" spans="2:13" x14ac:dyDescent="0.25">
      <c r="B39" s="20" t="s">
        <v>140</v>
      </c>
      <c r="C39" s="20" t="b">
        <v>1</v>
      </c>
      <c r="D39" s="25" t="s">
        <v>85</v>
      </c>
      <c r="E39" s="20" t="s">
        <v>128</v>
      </c>
      <c r="F39" s="20"/>
      <c r="G39" s="20"/>
      <c r="H39" s="33"/>
      <c r="I39" s="33"/>
      <c r="J39" s="33"/>
      <c r="K39" s="33"/>
      <c r="L39" s="20" t="b">
        <v>1</v>
      </c>
    </row>
    <row r="40" spans="2:13" x14ac:dyDescent="0.25">
      <c r="B40" s="20" t="s">
        <v>141</v>
      </c>
      <c r="C40" s="20" t="b">
        <v>1</v>
      </c>
      <c r="D40" s="25" t="s">
        <v>85</v>
      </c>
      <c r="E40" s="20" t="s">
        <v>127</v>
      </c>
      <c r="F40" s="20"/>
      <c r="G40" s="20"/>
      <c r="H40" s="33"/>
      <c r="I40" s="33"/>
      <c r="J40" s="33"/>
      <c r="K40" s="33"/>
      <c r="L40" s="20" t="b">
        <v>1</v>
      </c>
    </row>
    <row r="41" spans="2:13" x14ac:dyDescent="0.25">
      <c r="B41" s="20" t="s">
        <v>142</v>
      </c>
      <c r="C41" s="20" t="b">
        <v>1</v>
      </c>
      <c r="D41" s="25" t="s">
        <v>86</v>
      </c>
      <c r="E41" s="20" t="s">
        <v>90</v>
      </c>
      <c r="F41" s="20" t="s">
        <v>86</v>
      </c>
      <c r="G41" s="20"/>
      <c r="H41" s="33"/>
      <c r="I41" s="33"/>
      <c r="J41" s="33"/>
      <c r="K41" s="33"/>
      <c r="L41" s="20" t="b">
        <v>1</v>
      </c>
    </row>
    <row r="42" spans="2:13" x14ac:dyDescent="0.25">
      <c r="B42" s="20" t="s">
        <v>174</v>
      </c>
      <c r="C42" s="20" t="b">
        <v>1</v>
      </c>
      <c r="D42" s="25" t="s">
        <v>85</v>
      </c>
      <c r="E42" s="20"/>
      <c r="F42" s="20"/>
      <c r="G42" s="20"/>
      <c r="H42" s="33"/>
      <c r="I42" s="33"/>
      <c r="J42" s="33"/>
      <c r="K42" s="33"/>
      <c r="L42" s="20" t="b">
        <v>1</v>
      </c>
    </row>
    <row r="43" spans="2:13" x14ac:dyDescent="0.25">
      <c r="B43" s="20" t="s">
        <v>184</v>
      </c>
      <c r="C43" s="20" t="b">
        <v>1</v>
      </c>
      <c r="D43" s="25"/>
      <c r="E43" s="20"/>
      <c r="F43" s="20"/>
      <c r="G43" s="20"/>
      <c r="H43" s="33"/>
      <c r="I43" s="33"/>
      <c r="J43" s="33"/>
      <c r="K43" s="33"/>
      <c r="L43" s="20" t="b">
        <v>1</v>
      </c>
    </row>
    <row r="44" spans="2:13" x14ac:dyDescent="0.25">
      <c r="B44" s="20" t="s">
        <v>185</v>
      </c>
      <c r="C44" s="20" t="b">
        <v>1</v>
      </c>
      <c r="D44" s="25"/>
      <c r="E44" s="20"/>
      <c r="F44" s="20"/>
      <c r="G44" s="20"/>
      <c r="H44" s="33"/>
      <c r="I44" s="33"/>
      <c r="J44" s="33"/>
      <c r="K44" s="33"/>
      <c r="L44" s="20" t="b">
        <v>1</v>
      </c>
    </row>
    <row r="45" spans="2:13" x14ac:dyDescent="0.25">
      <c r="B45" s="20" t="s">
        <v>183</v>
      </c>
      <c r="C45" s="20" t="b">
        <v>1</v>
      </c>
      <c r="D45" s="25" t="s">
        <v>85</v>
      </c>
      <c r="E45" s="20" t="s">
        <v>183</v>
      </c>
      <c r="F45" s="20"/>
      <c r="G45" s="20"/>
      <c r="H45" s="33"/>
      <c r="I45" s="33"/>
      <c r="J45" s="33"/>
      <c r="K45" s="20"/>
      <c r="L45" s="20" t="b">
        <v>1</v>
      </c>
    </row>
    <row r="46" spans="2:13" x14ac:dyDescent="0.25">
      <c r="B46" s="34" t="s">
        <v>91</v>
      </c>
      <c r="C46" s="34"/>
      <c r="D46" s="35"/>
      <c r="E46" s="34"/>
      <c r="F46" s="34"/>
      <c r="G46" s="34"/>
      <c r="H46" s="34"/>
      <c r="I46" s="34"/>
      <c r="J46" s="34"/>
      <c r="K46" s="34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O17"/>
  <sheetViews>
    <sheetView workbookViewId="0">
      <selection activeCell="K12" sqref="K12:O15"/>
    </sheetView>
  </sheetViews>
  <sheetFormatPr defaultRowHeight="15" x14ac:dyDescent="0.25"/>
  <cols>
    <col min="11" max="11" width="24.140625" bestFit="1" customWidth="1"/>
    <col min="12" max="12" width="14" bestFit="1" customWidth="1"/>
    <col min="13" max="13" width="9.5703125" bestFit="1" customWidth="1"/>
    <col min="14" max="14" width="19" bestFit="1" customWidth="1"/>
    <col min="15" max="15" width="14.42578125" bestFit="1" customWidth="1"/>
  </cols>
  <sheetData>
    <row r="1" spans="1:15" x14ac:dyDescent="0.25">
      <c r="A1" s="58"/>
      <c r="B1" s="6"/>
      <c r="K1">
        <f>'Charts Data'!BX3</f>
        <v>0</v>
      </c>
      <c r="L1">
        <f>'Charts Data'!BX4</f>
        <v>0</v>
      </c>
      <c r="M1">
        <f>'Charts Data'!BX5</f>
        <v>0</v>
      </c>
      <c r="N1">
        <f>'Charts Data'!BX6</f>
        <v>0</v>
      </c>
      <c r="O1">
        <f>'Charts Data'!BX7</f>
        <v>0</v>
      </c>
    </row>
    <row r="2" spans="1:15" x14ac:dyDescent="0.25">
      <c r="A2" s="58"/>
      <c r="B2" s="6"/>
      <c r="K2" t="str">
        <f>IF('Charts Data'!BX8="","",'Charts Data'!BX8)</f>
        <v/>
      </c>
      <c r="L2" t="str">
        <f>IF('Charts Data'!BX9="","",'Charts Data'!BX9)</f>
        <v/>
      </c>
      <c r="M2" t="str">
        <f>IF('Charts Data'!BX10="","",'Charts Data'!BX10)</f>
        <v/>
      </c>
      <c r="N2" t="str">
        <f>IF('Charts Data'!BX11="","",'Charts Data'!BX11)</f>
        <v/>
      </c>
      <c r="O2" t="str">
        <f>IF('Charts Data'!BX12="","",'Charts Data'!BX12)</f>
        <v/>
      </c>
    </row>
    <row r="3" spans="1:15" x14ac:dyDescent="0.25">
      <c r="A3" s="58"/>
      <c r="B3" s="6"/>
      <c r="K3" t="str">
        <f>IF('Charts Data'!BX13="","",'Charts Data'!BX13)</f>
        <v/>
      </c>
      <c r="L3" t="str">
        <f>IF('Charts Data'!BX14="","",'Charts Data'!BX14)</f>
        <v/>
      </c>
      <c r="M3" t="str">
        <f>IF('Charts Data'!BX15="","",'Charts Data'!BX15)</f>
        <v/>
      </c>
      <c r="N3" t="str">
        <f>IF('Charts Data'!BX16="","",'Charts Data'!BX16)</f>
        <v/>
      </c>
      <c r="O3" t="str">
        <f>IF('Charts Data'!BX17="","",'Charts Data'!BX17)</f>
        <v/>
      </c>
    </row>
    <row r="4" spans="1:15" x14ac:dyDescent="0.25">
      <c r="A4" s="58"/>
      <c r="B4" s="6"/>
      <c r="K4" t="str">
        <f>IF('Charts Data'!BX18="","",'Charts Data'!BX18)</f>
        <v/>
      </c>
      <c r="L4" t="str">
        <f>IF('Charts Data'!BX19="","",'Charts Data'!BX19)</f>
        <v/>
      </c>
    </row>
    <row r="5" spans="1:15" x14ac:dyDescent="0.25">
      <c r="A5" s="58"/>
      <c r="B5" s="6"/>
    </row>
    <row r="6" spans="1:15" x14ac:dyDescent="0.25">
      <c r="A6" s="58"/>
      <c r="B6" s="6"/>
    </row>
    <row r="7" spans="1:15" x14ac:dyDescent="0.25">
      <c r="A7" s="58"/>
      <c r="B7" s="6"/>
    </row>
    <row r="8" spans="1:15" x14ac:dyDescent="0.25">
      <c r="A8" s="58"/>
      <c r="B8" s="6"/>
    </row>
    <row r="9" spans="1:15" x14ac:dyDescent="0.25">
      <c r="A9" s="58"/>
      <c r="B9" s="6"/>
    </row>
    <row r="10" spans="1:15" x14ac:dyDescent="0.25">
      <c r="A10" s="58"/>
      <c r="B10" s="6"/>
    </row>
    <row r="11" spans="1:15" x14ac:dyDescent="0.25">
      <c r="A11" s="58"/>
      <c r="B11" s="6"/>
    </row>
    <row r="12" spans="1:15" x14ac:dyDescent="0.25">
      <c r="A12" s="58"/>
      <c r="B12" s="6"/>
      <c r="K12" t="s">
        <v>160</v>
      </c>
      <c r="L12" t="s">
        <v>162</v>
      </c>
      <c r="M12" t="s">
        <v>163</v>
      </c>
      <c r="N12" t="s">
        <v>164</v>
      </c>
      <c r="O12" t="s">
        <v>165</v>
      </c>
    </row>
    <row r="13" spans="1:15" x14ac:dyDescent="0.25">
      <c r="A13" s="6"/>
      <c r="B13" s="6"/>
      <c r="K13" t="s">
        <v>166</v>
      </c>
      <c r="L13" t="s">
        <v>167</v>
      </c>
      <c r="M13" t="s">
        <v>168</v>
      </c>
      <c r="N13" t="s">
        <v>169</v>
      </c>
      <c r="O13" t="s">
        <v>170</v>
      </c>
    </row>
    <row r="14" spans="1:15" x14ac:dyDescent="0.25">
      <c r="A14" s="6"/>
      <c r="B14" s="6"/>
      <c r="K14" t="s">
        <v>161</v>
      </c>
      <c r="L14" t="s">
        <v>171</v>
      </c>
      <c r="M14" t="s">
        <v>157</v>
      </c>
      <c r="N14" t="s">
        <v>157</v>
      </c>
      <c r="O14" t="s">
        <v>157</v>
      </c>
    </row>
    <row r="15" spans="1:15" x14ac:dyDescent="0.25">
      <c r="A15" s="6"/>
      <c r="B15" s="6"/>
      <c r="K15" t="s">
        <v>157</v>
      </c>
      <c r="L15" t="s">
        <v>157</v>
      </c>
    </row>
    <row r="16" spans="1:15" x14ac:dyDescent="0.25">
      <c r="A16" s="6"/>
      <c r="B16" s="6"/>
    </row>
    <row r="17" spans="1:2" x14ac:dyDescent="0.25">
      <c r="A17" s="6"/>
      <c r="B17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19</vt:i4>
      </vt:variant>
    </vt:vector>
  </HeadingPairs>
  <TitlesOfParts>
    <vt:vector size="23" baseType="lpstr">
      <vt:lpstr>Charts</vt:lpstr>
      <vt:lpstr>Charts Data</vt:lpstr>
      <vt:lpstr>Export PPT</vt:lpstr>
      <vt:lpstr>Temp</vt:lpstr>
      <vt:lpstr>AnalysisPeriod</vt:lpstr>
      <vt:lpstr>CName</vt:lpstr>
      <vt:lpstr>EBITDA_Percentile</vt:lpstr>
      <vt:lpstr>eStart</vt:lpstr>
      <vt:lpstr>FileName</vt:lpstr>
      <vt:lpstr>FolderName</vt:lpstr>
      <vt:lpstr>FullCompanyName</vt:lpstr>
      <vt:lpstr>Industry</vt:lpstr>
      <vt:lpstr>IndustryGroup</vt:lpstr>
      <vt:lpstr>ReportName</vt:lpstr>
      <vt:lpstr>Revenue</vt:lpstr>
      <vt:lpstr>Score_Chart</vt:lpstr>
      <vt:lpstr>SectorSeries</vt:lpstr>
      <vt:lpstr>SGA_Chart</vt:lpstr>
      <vt:lpstr>SGA_Percentile</vt:lpstr>
      <vt:lpstr>SGAIndustryGroupProfileMessage</vt:lpstr>
      <vt:lpstr>SGATopQ</vt:lpstr>
      <vt:lpstr>SubIndustryGroup</vt:lpstr>
      <vt:lpstr>SubIndustryGroupName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SKhanvilkar</dc:creator>
  <cp:lastModifiedBy>Summers, Rick</cp:lastModifiedBy>
  <dcterms:created xsi:type="dcterms:W3CDTF">2018-12-18T04:04:18Z</dcterms:created>
  <dcterms:modified xsi:type="dcterms:W3CDTF">2024-06-17T13:52:07Z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ackup">
    <vt:i4>0</vt:i4>
  </property>
  <property fmtid="{D5CDD505-2E9C-101B-9397-08002B2CF9AE}" pid="3" name="WorkbookGuid">
    <vt:lpwstr>0303e972-1d55-44d1-a2e1-fb80832cf85a</vt:lpwstr>
  </property>
</Properties>
</file>