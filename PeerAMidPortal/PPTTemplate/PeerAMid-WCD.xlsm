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drawings/drawing6.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drawings/drawing8.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harts/chart4.xml" ContentType="application/vnd.openxmlformats-officedocument.drawingml.chart+xml"/>
  <Override PartName="/xl/drawings/drawing9.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charts/chart5.xml" ContentType="application/vnd.openxmlformats-officedocument.drawingml.chart+xml"/>
  <Override PartName="/xl/drawings/drawing10.xml" ContentType="application/vnd.openxmlformats-officedocument.drawing+xml"/>
  <Override PartName="/xl/ctrlProps/ctrlProp7.xml" ContentType="application/vnd.ms-excel.controlproperties+xml"/>
  <Override PartName="/xl/charts/chart6.xml" ContentType="application/vnd.openxmlformats-officedocument.drawingml.chart+xml"/>
  <Override PartName="/xl/drawings/drawing11.xml" ContentType="application/vnd.openxmlformats-officedocument.drawing+xml"/>
  <Override PartName="/xl/ctrlProps/ctrlProp8.xml" ContentType="application/vnd.ms-excel.controlproperties+xml"/>
  <Override PartName="/xl/charts/chart7.xml" ContentType="application/vnd.openxmlformats-officedocument.drawingml.chart+xml"/>
  <Override PartName="/xl/drawings/drawing12.xml" ContentType="application/vnd.openxmlformats-officedocument.drawing+xml"/>
  <Override PartName="/xl/ctrlProps/ctrlProp9.xml" ContentType="application/vnd.ms-excel.controlproperties+xml"/>
  <Override PartName="/xl/drawings/drawing13.xml" ContentType="application/vnd.openxmlformats-officedocument.drawing+xml"/>
  <Override PartName="/xl/ctrlProps/ctrlProp10.xml" ContentType="application/vnd.ms-excel.controlproperties+xml"/>
  <Override PartName="/xl/charts/chart8.xml" ContentType="application/vnd.openxmlformats-officedocument.drawingml.chart+xml"/>
  <Override PartName="/xl/drawings/drawing14.xml" ContentType="application/vnd.openxmlformats-officedocument.drawing+xml"/>
  <Override PartName="/xl/ctrlProps/ctrlProp11.xml" ContentType="application/vnd.ms-excel.controlproperties+xml"/>
  <Override PartName="/xl/drawings/drawing15.xml" ContentType="application/vnd.openxmlformats-officedocument.drawing+xml"/>
  <Override PartName="/xl/ctrlProps/ctrlProp12.xml" ContentType="application/vnd.ms-excel.controlproperties+xml"/>
  <Override PartName="/xl/charts/chart9.xml" ContentType="application/vnd.openxmlformats-officedocument.drawingml.chart+xml"/>
  <Override PartName="/xl/drawings/drawing16.xml" ContentType="application/vnd.openxmlformats-officedocument.drawing+xml"/>
  <Override PartName="/xl/ctrlProps/ctrlProp13.xml" ContentType="application/vnd.ms-excel.controlproperties+xml"/>
  <Override PartName="/xl/drawings/drawing17.xml" ContentType="application/vnd.openxmlformats-officedocument.drawing+xml"/>
  <Override PartName="/xl/ctrlProps/ctrlProp14.xml" ContentType="application/vnd.ms-excel.controlproperties+xml"/>
  <Override PartName="/xl/charts/chart10.xml" ContentType="application/vnd.openxmlformats-officedocument.drawingml.chart+xml"/>
  <Override PartName="/xl/drawings/drawing18.xml" ContentType="application/vnd.openxmlformats-officedocument.drawing+xml"/>
  <Override PartName="/xl/ctrlProps/ctrlProp15.xml" ContentType="application/vnd.ms-excel.controlproperties+xml"/>
  <Override PartName="/xl/drawings/drawing19.xml" ContentType="application/vnd.openxmlformats-officedocument.drawing+xml"/>
  <Override PartName="/xl/ctrlProps/ctrlProp16.xml" ContentType="application/vnd.ms-excel.controlproperties+xml"/>
  <Override PartName="/xl/charts/chart11.xml" ContentType="application/vnd.openxmlformats-officedocument.drawingml.chart+xml"/>
  <Override PartName="/xl/drawings/drawing20.xml" ContentType="application/vnd.openxmlformats-officedocument.drawing+xml"/>
  <Override PartName="/xl/ctrlProps/ctrlProp17.xml" ContentType="application/vnd.ms-excel.controlproperties+xml"/>
  <Override PartName="/xl/charts/chart12.xml" ContentType="application/vnd.openxmlformats-officedocument.drawingml.chart+xml"/>
  <Override PartName="/xl/theme/themeOverride1.xml" ContentType="application/vnd.openxmlformats-officedocument.themeOverride+xml"/>
  <Override PartName="/xl/charts/chart13.xml" ContentType="application/vnd.openxmlformats-officedocument.drawingml.chart+xml"/>
  <Override PartName="/xl/theme/themeOverride2.xml" ContentType="application/vnd.openxmlformats-officedocument.themeOverride+xml"/>
  <Override PartName="/xl/charts/chart14.xml" ContentType="application/vnd.openxmlformats-officedocument.drawingml.chart+xml"/>
  <Override PartName="/xl/theme/themeOverride3.xml" ContentType="application/vnd.openxmlformats-officedocument.themeOverride+xml"/>
  <Override PartName="/xl/charts/chart15.xml" ContentType="application/vnd.openxmlformats-officedocument.drawingml.chart+xml"/>
  <Override PartName="/xl/theme/themeOverride4.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PeerAMid\PeerAMid\PeerAMidPortal\PPTTemplate\"/>
    </mc:Choice>
  </mc:AlternateContent>
  <xr:revisionPtr revIDLastSave="0" documentId="13_ncr:1_{DEC501E6-E75A-433E-A6DC-27EF43F4C29E}" xr6:coauthVersionLast="47" xr6:coauthVersionMax="47" xr10:uidLastSave="{00000000-0000-0000-0000-000000000000}"/>
  <bookViews>
    <workbookView xWindow="4965" yWindow="3255" windowWidth="28800" windowHeight="15555" tabRatio="902" activeTab="3" xr2:uid="{00000000-000D-0000-FFFF-FFFF00000000}"/>
  </bookViews>
  <sheets>
    <sheet name="Export PPT" sheetId="3" r:id="rId1"/>
    <sheet name="Data" sheetId="20" r:id="rId2"/>
    <sheet name="Phrases" sheetId="44" r:id="rId3"/>
    <sheet name="ExecutiveSummaryFirstPage" sheetId="24" r:id="rId4"/>
    <sheet name="CashConversionByIndustryPage" sheetId="35" r:id="rId5"/>
    <sheet name="PeerOverviewPage" sheetId="25" r:id="rId6"/>
    <sheet name="PeerDemographicsPage" sheetId="22" r:id="rId7"/>
    <sheet name="CccPage" sheetId="19" r:id="rId8"/>
    <sheet name="DsoPage" sheetId="29" r:id="rId9"/>
    <sheet name="DioPage" sheetId="30" r:id="rId10"/>
    <sheet name="DpoPage" sheetId="31" r:id="rId11"/>
    <sheet name="BenefitSummaryPage" sheetId="37" r:id="rId12"/>
    <sheet name="TwoArrowPage" sheetId="38" r:id="rId13"/>
    <sheet name="LiquidityDriversPage" sheetId="13" r:id="rId14"/>
    <sheet name="LiquidityTwoArrowPage" sheetId="40" r:id="rId15"/>
    <sheet name="ProfitabilityDriversPage" sheetId="32" r:id="rId16"/>
    <sheet name="ProfitabilityTwoArrowPage" sheetId="41" r:id="rId17"/>
    <sheet name="LeverageDriversPage" sheetId="33" r:id="rId18"/>
    <sheet name="LeverageTwoArrowPage" sheetId="42" r:id="rId19"/>
    <sheet name="TurnoverDriversPage" sheetId="34" r:id="rId20"/>
    <sheet name="TurnoverTwoArrowPage" sheetId="43" r:id="rId21"/>
    <sheet name="TrendingPage" sheetId="36" r:id="rId22"/>
    <sheet name="AssumptionsPage" sheetId="39" r:id="rId23"/>
    <sheet name="Temp" sheetId="4" state="hidden" r:id="rId24"/>
  </sheets>
  <functionGroups builtInGroupCount="19"/>
  <definedNames>
    <definedName name="BDNAMES1">Data!$A$37:$A$87</definedName>
    <definedName name="BDNAMES2">Data!$L$37:$L$87</definedName>
    <definedName name="BenefitSummaryPage_CCC">BenefitSummaryPage!$B$41</definedName>
    <definedName name="CCCOpportunity">ExecutiveSummaryFirstPage!$F$20</definedName>
    <definedName name="CccPage_CCC">CccPage!$B$61</definedName>
    <definedName name="CompanyCount">Data!$B$21</definedName>
    <definedName name="DioOpportunity">ExecutiveSummaryFirstPage!$F$18</definedName>
    <definedName name="DioPage_DIO">DioPage!$B$61</definedName>
    <definedName name="DIOUQ_AY71">Data!$F$27</definedName>
    <definedName name="DpoOpportunity">ExecutiveSummaryFirstPage!$F$19</definedName>
    <definedName name="DpoPage_DPO">DpoPage!$B$61</definedName>
    <definedName name="DPOUQ_AZ73">Data!$F$28</definedName>
    <definedName name="DsoOpportunity">ExecutiveSummaryFirstPage!$F$17</definedName>
    <definedName name="DsoPage_DSO">DsoPage!$B$61</definedName>
    <definedName name="DSOUQ_AX71">Data!$F$26</definedName>
    <definedName name="eStart">'Export PPT'!$B$4</definedName>
    <definedName name="ExecutiveSummaryFirstPage_CCC">ExecutiveSummaryFirstPage!$B$41</definedName>
    <definedName name="ExecutiveSummaryFirstPage_Drivers">ExecutiveSummaryFirstPage!$B$41</definedName>
    <definedName name="FirstCompanyDataRow">Data!$B$22</definedName>
    <definedName name="LeverageDriversPage_DebttoEquityRatio">LeverageDriversPage!$B$36</definedName>
    <definedName name="LeverageDriversPage_FinancialLeverageMultiplier">LeverageDriversPage!$B$38</definedName>
    <definedName name="LeverageDriversPage_LeverageScore">LeverageDriversPage!$B$41</definedName>
    <definedName name="LiquidityDriversPage_CashRatio">LiquidityDriversPage!$B$37</definedName>
    <definedName name="LiquidityDriversPage_CurrentRatio">LiquidityDriversPage!$B$40</definedName>
    <definedName name="LiquidityDriversPage_LiquidityScore">LiquidityDriversPage!$B$46</definedName>
    <definedName name="LiquidityDriversPage_WCTA">LiquidityDriversPage!$B$36</definedName>
    <definedName name="LiquidityScore">LiquidityDriversPage!$E$13</definedName>
    <definedName name="ProfitabilityDriversPage_ProfitabilityScore">ProfitabilityDriversPage!$B$42</definedName>
    <definedName name="ProfitabilityDriversPage_ROA">ProfitabilityDriversPage!$B$35</definedName>
    <definedName name="ProfitabilityDriversPage_SGAMargin">ProfitabilityDriversPage!$B$41</definedName>
    <definedName name="RANK_0">Phrases!#REF!</definedName>
    <definedName name="RANK_1">Phrases!#REF!</definedName>
    <definedName name="RANK_2">Phrases!#REF!</definedName>
    <definedName name="RANK_3">Phrases!#REF!</definedName>
    <definedName name="RANK_4">Phrases!#REF!</definedName>
    <definedName name="RANK_5">Phrases!#REF!</definedName>
    <definedName name="RANK_6">Phrases!#REF!</definedName>
    <definedName name="SKCOLNAMES">Data!$A$1:$EZ$1</definedName>
    <definedName name="TurnoverDriversPage_EquityTurnover">TurnoverDriversPage!$K$40</definedName>
    <definedName name="TurnoverDriversPage_InventoryTurnover">TurnoverDriversPage!$K$37</definedName>
    <definedName name="TurnoverDriversPage_ReceivableTurnover">TurnoverDriversPage!$K$42</definedName>
    <definedName name="TurnoverDriversPage_SalestoWorkingCapital">TurnoverDriversPage!$K1048572</definedName>
    <definedName name="TurnoverDriversPage_TotalAssetsTurnover">TurnoverDriversPage!$K$39</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 i="25" l="1"/>
  <c r="G2" i="25"/>
  <c r="F2" i="25"/>
  <c r="E2" i="25"/>
  <c r="D2" i="25"/>
  <c r="C2" i="25"/>
  <c r="B2" i="25"/>
  <c r="A17" i="31"/>
  <c r="A16" i="31"/>
  <c r="A15" i="31"/>
  <c r="A14" i="31"/>
  <c r="A13" i="31"/>
  <c r="A12" i="31"/>
  <c r="A11" i="31"/>
  <c r="A10" i="31"/>
  <c r="A9" i="31"/>
  <c r="A8" i="31"/>
  <c r="A7" i="31"/>
  <c r="A6" i="31"/>
  <c r="A5" i="31"/>
  <c r="A4" i="31"/>
  <c r="A3" i="31"/>
  <c r="B17" i="31"/>
  <c r="B16" i="31"/>
  <c r="B15" i="31"/>
  <c r="B14" i="31"/>
  <c r="B13" i="31"/>
  <c r="B12" i="31"/>
  <c r="B11" i="31"/>
  <c r="B10" i="31"/>
  <c r="B9" i="31"/>
  <c r="B8" i="31"/>
  <c r="B7" i="31"/>
  <c r="B6" i="31"/>
  <c r="B5" i="31"/>
  <c r="B4" i="31"/>
  <c r="B3" i="31"/>
  <c r="B2" i="31"/>
  <c r="B17" i="30"/>
  <c r="B16" i="30"/>
  <c r="B15" i="30"/>
  <c r="B14" i="30"/>
  <c r="B13" i="30"/>
  <c r="B12" i="30"/>
  <c r="B11" i="30"/>
  <c r="B10" i="30"/>
  <c r="B9" i="30"/>
  <c r="B8" i="30"/>
  <c r="B7" i="30"/>
  <c r="B6" i="30"/>
  <c r="B5" i="30"/>
  <c r="B4" i="30"/>
  <c r="B3" i="30"/>
  <c r="B2" i="30"/>
  <c r="A17" i="29"/>
  <c r="A16" i="29"/>
  <c r="A15" i="29"/>
  <c r="A14" i="29"/>
  <c r="A13" i="29"/>
  <c r="A12" i="29"/>
  <c r="A11" i="29"/>
  <c r="A10" i="29"/>
  <c r="A9" i="29"/>
  <c r="A8" i="29"/>
  <c r="A7" i="29"/>
  <c r="A6" i="29"/>
  <c r="A5" i="29"/>
  <c r="A4" i="29"/>
  <c r="A3" i="29"/>
  <c r="B17" i="29"/>
  <c r="B16" i="29"/>
  <c r="B15" i="29"/>
  <c r="B14" i="29"/>
  <c r="B13" i="29"/>
  <c r="B12" i="29"/>
  <c r="B11" i="29"/>
  <c r="B10" i="29"/>
  <c r="B9" i="29"/>
  <c r="B8" i="29"/>
  <c r="B7" i="29"/>
  <c r="B6" i="29"/>
  <c r="B5" i="29"/>
  <c r="B4" i="29"/>
  <c r="B3" i="29"/>
  <c r="B2" i="29"/>
  <c r="B16" i="19"/>
  <c r="B15" i="19"/>
  <c r="B14" i="19"/>
  <c r="B13" i="19"/>
  <c r="B12" i="19"/>
  <c r="B11" i="19"/>
  <c r="B10" i="19"/>
  <c r="B9" i="19"/>
  <c r="B8" i="19"/>
  <c r="B7" i="19"/>
  <c r="B6" i="19"/>
  <c r="B5" i="19"/>
  <c r="B4" i="19"/>
  <c r="B3" i="19"/>
  <c r="B2" i="19"/>
  <c r="B17" i="19"/>
  <c r="H37" i="19"/>
  <c r="H38" i="19" s="1"/>
  <c r="H39" i="19" s="1"/>
  <c r="H40" i="19" s="1"/>
  <c r="H41" i="19" s="1"/>
  <c r="H42" i="19" s="1"/>
  <c r="H43" i="19" s="1"/>
  <c r="H44" i="19" s="1"/>
  <c r="H45" i="19" s="1"/>
  <c r="H46" i="19" s="1"/>
  <c r="H47" i="19" s="1"/>
  <c r="H48" i="19" s="1"/>
  <c r="H49" i="19" s="1"/>
  <c r="H50" i="19" s="1"/>
  <c r="H51" i="19" s="1"/>
  <c r="A67" i="31"/>
  <c r="A68" i="31" s="1"/>
  <c r="A67" i="30"/>
  <c r="A68" i="30" s="1"/>
  <c r="A69" i="30" s="1"/>
  <c r="A70" i="30" s="1"/>
  <c r="A67" i="29"/>
  <c r="A68" i="29" s="1"/>
  <c r="A67" i="19"/>
  <c r="A29" i="22"/>
  <c r="A19" i="22"/>
  <c r="A18" i="22"/>
  <c r="A17" i="22"/>
  <c r="A16" i="22"/>
  <c r="A15" i="22"/>
  <c r="A14" i="22"/>
  <c r="A13" i="22"/>
  <c r="C30" i="37"/>
  <c r="E34" i="37"/>
  <c r="B66" i="29" a="1"/>
  <c r="B28" i="22" a="1"/>
  <c r="B66" i="31" a="1"/>
  <c r="B68" i="29" a="1"/>
  <c r="B29" i="22" a="1"/>
  <c r="B66" i="19" a="1"/>
  <c r="B67" i="19" a="1"/>
  <c r="B66" i="30" a="1"/>
  <c r="B68" i="31" a="1"/>
  <c r="B70" i="30" a="1"/>
  <c r="C3" i="25" a="1"/>
  <c r="F3" i="25" a="1"/>
  <c r="H3" i="25" a="1"/>
  <c r="B29" i="20" a="1"/>
  <c r="G3" i="25" a="1"/>
  <c r="B68" i="31" l="1"/>
  <c r="B66" i="31"/>
  <c r="B70" i="30"/>
  <c r="B66" i="30"/>
  <c r="B68" i="29"/>
  <c r="B66" i="29"/>
  <c r="B67" i="19"/>
  <c r="B66" i="19"/>
  <c r="B29" i="20"/>
  <c r="H3" i="25"/>
  <c r="G3" i="25"/>
  <c r="C3" i="25"/>
  <c r="F3" i="25"/>
  <c r="A30" i="22"/>
  <c r="A69" i="31"/>
  <c r="A71" i="30"/>
  <c r="A69" i="29"/>
  <c r="A68" i="19"/>
  <c r="B29" i="22"/>
  <c r="B28" i="22"/>
  <c r="E35" i="37"/>
  <c r="B68" i="30" a="1"/>
  <c r="B67" i="30" a="1"/>
  <c r="B67" i="31" a="1"/>
  <c r="B68" i="19" a="1"/>
  <c r="B69" i="30" a="1"/>
  <c r="B67" i="29" a="1"/>
  <c r="B69" i="29" a="1"/>
  <c r="B69" i="31" a="1"/>
  <c r="B71" i="30" a="1"/>
  <c r="B69" i="31" l="1"/>
  <c r="B67" i="31"/>
  <c r="B69" i="30"/>
  <c r="B68" i="30"/>
  <c r="B71" i="30"/>
  <c r="B67" i="30"/>
  <c r="B67" i="29"/>
  <c r="B69" i="29"/>
  <c r="B68" i="19"/>
  <c r="D5" i="30"/>
  <c r="D5" i="31"/>
  <c r="D5" i="19"/>
  <c r="D5" i="29"/>
  <c r="A31" i="22"/>
  <c r="A70" i="31"/>
  <c r="A72" i="30"/>
  <c r="A70" i="29"/>
  <c r="A69" i="19"/>
  <c r="E36" i="37"/>
  <c r="B72" i="30" a="1"/>
  <c r="B70" i="29" a="1"/>
  <c r="B30" i="22" a="1"/>
  <c r="B69" i="19" a="1"/>
  <c r="B70" i="31" a="1"/>
  <c r="B70" i="31" l="1"/>
  <c r="B72" i="30"/>
  <c r="B70" i="29"/>
  <c r="B69" i="19"/>
  <c r="B30" i="22"/>
  <c r="A32" i="22"/>
  <c r="A71" i="31"/>
  <c r="A73" i="30"/>
  <c r="A71" i="29"/>
  <c r="A70" i="19"/>
  <c r="E37" i="37"/>
  <c r="B71" i="29" a="1"/>
  <c r="B31" i="22" a="1"/>
  <c r="B71" i="31" a="1"/>
  <c r="B70" i="19" a="1"/>
  <c r="B73" i="30" a="1"/>
  <c r="B71" i="31" l="1"/>
  <c r="B73" i="30"/>
  <c r="B71" i="29"/>
  <c r="B70" i="19"/>
  <c r="B31" i="22"/>
  <c r="A33" i="22"/>
  <c r="A72" i="31"/>
  <c r="A74" i="30"/>
  <c r="A72" i="29"/>
  <c r="A71" i="19"/>
  <c r="E38" i="37"/>
  <c r="E39" i="37"/>
  <c r="C28" i="20"/>
  <c r="E28" i="20" s="1"/>
  <c r="C27" i="20"/>
  <c r="E27" i="20" s="1"/>
  <c r="C26" i="20"/>
  <c r="E26" i="20" s="1"/>
  <c r="B39" i="20"/>
  <c r="C39" i="20" s="1"/>
  <c r="A20" i="13"/>
  <c r="B20" i="13" s="1"/>
  <c r="A21" i="13"/>
  <c r="B21" i="13" s="1"/>
  <c r="A22" i="13"/>
  <c r="B22" i="13" s="1"/>
  <c r="A23" i="13"/>
  <c r="B23" i="13" s="1"/>
  <c r="A24" i="13"/>
  <c r="B24" i="13" s="1"/>
  <c r="A25" i="13"/>
  <c r="A41" i="13" s="1"/>
  <c r="B26" i="13"/>
  <c r="A27" i="13"/>
  <c r="B27" i="13" s="1"/>
  <c r="A28" i="13"/>
  <c r="B28" i="13" s="1"/>
  <c r="A29" i="13"/>
  <c r="A45" i="13" s="1"/>
  <c r="B30" i="13"/>
  <c r="A42" i="13"/>
  <c r="B87" i="20"/>
  <c r="B86" i="20"/>
  <c r="B85" i="20"/>
  <c r="B84" i="20"/>
  <c r="B83" i="20"/>
  <c r="C83" i="20" s="1"/>
  <c r="B82" i="20"/>
  <c r="C82" i="20" s="1"/>
  <c r="B81" i="20"/>
  <c r="B80" i="20"/>
  <c r="C80" i="20" s="1"/>
  <c r="B79" i="20"/>
  <c r="B78" i="20"/>
  <c r="B77" i="20"/>
  <c r="B76" i="20"/>
  <c r="B75" i="20"/>
  <c r="C75" i="20" s="1"/>
  <c r="B74" i="20"/>
  <c r="C74" i="20" s="1"/>
  <c r="B73" i="20"/>
  <c r="B72" i="20"/>
  <c r="C72" i="20" s="1"/>
  <c r="B71" i="20"/>
  <c r="B70" i="20"/>
  <c r="B69" i="20"/>
  <c r="B68" i="20"/>
  <c r="B67" i="20"/>
  <c r="C67" i="20" s="1"/>
  <c r="B66" i="20"/>
  <c r="C66" i="20" s="1"/>
  <c r="B65" i="20"/>
  <c r="B64" i="20"/>
  <c r="C64" i="20" s="1"/>
  <c r="B63" i="20"/>
  <c r="B62" i="20"/>
  <c r="B61" i="20"/>
  <c r="B60" i="20"/>
  <c r="B59" i="20"/>
  <c r="C59" i="20" s="1"/>
  <c r="B58" i="20"/>
  <c r="C58" i="20" s="1"/>
  <c r="B57" i="20"/>
  <c r="B56" i="20"/>
  <c r="C56" i="20" s="1"/>
  <c r="B55" i="20"/>
  <c r="B54" i="20"/>
  <c r="C54" i="20" s="1"/>
  <c r="B53" i="20"/>
  <c r="B52" i="20"/>
  <c r="B51" i="20"/>
  <c r="C51" i="20" s="1"/>
  <c r="B50" i="20"/>
  <c r="C50" i="20" s="1"/>
  <c r="B49" i="20"/>
  <c r="B48" i="20"/>
  <c r="C48" i="20" s="1"/>
  <c r="B47" i="20"/>
  <c r="C47" i="20" s="1"/>
  <c r="B46" i="20"/>
  <c r="C46" i="20" s="1"/>
  <c r="B45" i="20"/>
  <c r="B44" i="20"/>
  <c r="B43" i="20"/>
  <c r="C43" i="20" s="1"/>
  <c r="B42" i="20"/>
  <c r="C42" i="20" s="1"/>
  <c r="B41" i="20"/>
  <c r="B40" i="20"/>
  <c r="C40" i="20" s="1"/>
  <c r="B38" i="20"/>
  <c r="C38" i="20" s="1"/>
  <c r="B37" i="20"/>
  <c r="C37" i="20" s="1"/>
  <c r="B35" i="20"/>
  <c r="C35" i="20" s="1"/>
  <c r="D35" i="20" s="1"/>
  <c r="E35" i="20" s="1"/>
  <c r="F35" i="20" s="1"/>
  <c r="G35" i="20" s="1"/>
  <c r="H35" i="20" s="1"/>
  <c r="I35" i="20" s="1"/>
  <c r="J35" i="20" s="1"/>
  <c r="K35" i="20" s="1"/>
  <c r="L35" i="20" s="1"/>
  <c r="M35" i="20" s="1"/>
  <c r="N35" i="20" s="1"/>
  <c r="O35" i="20" s="1"/>
  <c r="P35" i="20" s="1"/>
  <c r="Q35" i="20" s="1"/>
  <c r="R35" i="20" s="1"/>
  <c r="S35" i="20" s="1"/>
  <c r="T35" i="20" s="1"/>
  <c r="U35" i="20" s="1"/>
  <c r="V35" i="20" s="1"/>
  <c r="W35" i="20" s="1"/>
  <c r="X35" i="20" s="1"/>
  <c r="Y35" i="20" s="1"/>
  <c r="Z35" i="20" s="1"/>
  <c r="AA35" i="20" s="1"/>
  <c r="AB35" i="20" s="1"/>
  <c r="AC35" i="20" s="1"/>
  <c r="AD35" i="20" s="1"/>
  <c r="AE35" i="20" s="1"/>
  <c r="AF35" i="20" s="1"/>
  <c r="AG35" i="20" s="1"/>
  <c r="AH35" i="20" s="1"/>
  <c r="AI35" i="20" s="1"/>
  <c r="AJ35" i="20" s="1"/>
  <c r="AK35" i="20" s="1"/>
  <c r="AL35" i="20" s="1"/>
  <c r="AM35" i="20" s="1"/>
  <c r="AN35" i="20" s="1"/>
  <c r="AO35" i="20" s="1"/>
  <c r="AP35" i="20" s="1"/>
  <c r="AQ35" i="20" s="1"/>
  <c r="AR35" i="20" s="1"/>
  <c r="AS35" i="20" s="1"/>
  <c r="AT35" i="20" s="1"/>
  <c r="AU35" i="20" s="1"/>
  <c r="AV35" i="20" s="1"/>
  <c r="AW35" i="20" s="1"/>
  <c r="AX35" i="20" s="1"/>
  <c r="AY35" i="20" s="1"/>
  <c r="AZ35" i="20" s="1"/>
  <c r="BA35" i="20" s="1"/>
  <c r="BB35" i="20" s="1"/>
  <c r="BC35" i="20" s="1"/>
  <c r="BD35" i="20" s="1"/>
  <c r="BE35" i="20" s="1"/>
  <c r="BF35" i="20" s="1"/>
  <c r="BG35" i="20" s="1"/>
  <c r="BH35" i="20" s="1"/>
  <c r="BI35" i="20" s="1"/>
  <c r="BJ35" i="20" s="1"/>
  <c r="BK35" i="20" s="1"/>
  <c r="BL35" i="20" s="1"/>
  <c r="BM35" i="20" s="1"/>
  <c r="BN35" i="20" s="1"/>
  <c r="BO35" i="20" s="1"/>
  <c r="BP35" i="20" s="1"/>
  <c r="BQ35" i="20" s="1"/>
  <c r="BR35" i="20" s="1"/>
  <c r="BS35" i="20" s="1"/>
  <c r="BT35" i="20" s="1"/>
  <c r="BU35" i="20" s="1"/>
  <c r="BV35" i="20" s="1"/>
  <c r="BW35" i="20" s="1"/>
  <c r="BX35" i="20" s="1"/>
  <c r="BY35" i="20" s="1"/>
  <c r="BZ35" i="20" s="1"/>
  <c r="CA35" i="20" s="1"/>
  <c r="CB35" i="20" s="1"/>
  <c r="CC35" i="20" s="1"/>
  <c r="CD35" i="20" s="1"/>
  <c r="CE35" i="20" s="1"/>
  <c r="CF35" i="20" s="1"/>
  <c r="CG35" i="20" s="1"/>
  <c r="CH35" i="20" s="1"/>
  <c r="CI35" i="20" s="1"/>
  <c r="CJ35" i="20" s="1"/>
  <c r="CK35" i="20" s="1"/>
  <c r="CL35" i="20" s="1"/>
  <c r="CM35" i="20" s="1"/>
  <c r="CN35" i="20" s="1"/>
  <c r="CO35" i="20" s="1"/>
  <c r="CP35" i="20" s="1"/>
  <c r="CQ35" i="20" s="1"/>
  <c r="CR35" i="20" s="1"/>
  <c r="CS35" i="20" s="1"/>
  <c r="CT35" i="20" s="1"/>
  <c r="CU35" i="20" s="1"/>
  <c r="CV35" i="20" s="1"/>
  <c r="CW35" i="20" s="1"/>
  <c r="CX35" i="20" s="1"/>
  <c r="CY35" i="20" s="1"/>
  <c r="CZ35" i="20" s="1"/>
  <c r="DA35" i="20" s="1"/>
  <c r="DB35" i="20" s="1"/>
  <c r="DC35" i="20" s="1"/>
  <c r="DD35" i="20" s="1"/>
  <c r="DE35" i="20" s="1"/>
  <c r="DF35" i="20" s="1"/>
  <c r="DG35" i="20" s="1"/>
  <c r="DH35" i="20" s="1"/>
  <c r="DI35" i="20" s="1"/>
  <c r="DJ35" i="20" s="1"/>
  <c r="DK35" i="20" s="1"/>
  <c r="DL35" i="20" s="1"/>
  <c r="DM35" i="20" s="1"/>
  <c r="DN35" i="20" s="1"/>
  <c r="B32" i="22" a="1"/>
  <c r="B74" i="30" a="1"/>
  <c r="B72" i="29" a="1"/>
  <c r="B71" i="19" a="1"/>
  <c r="B72" i="31" a="1"/>
  <c r="J42" i="20" a="1"/>
  <c r="B72" i="31" l="1"/>
  <c r="B74" i="30"/>
  <c r="B72" i="29"/>
  <c r="B71" i="19"/>
  <c r="J42" i="20"/>
  <c r="A39" i="13"/>
  <c r="A43" i="13"/>
  <c r="B29" i="13"/>
  <c r="B25" i="13"/>
  <c r="B32" i="22"/>
  <c r="A44" i="13"/>
  <c r="A34" i="22"/>
  <c r="A73" i="31"/>
  <c r="A75" i="30"/>
  <c r="A73" i="29"/>
  <c r="A72" i="19"/>
  <c r="C78" i="20"/>
  <c r="C57" i="20"/>
  <c r="C65" i="20"/>
  <c r="C70" i="20"/>
  <c r="C49" i="20"/>
  <c r="C86" i="20"/>
  <c r="C41" i="20"/>
  <c r="C62" i="20"/>
  <c r="C73" i="20"/>
  <c r="C45" i="20"/>
  <c r="C53" i="20"/>
  <c r="C61" i="20"/>
  <c r="C69" i="20"/>
  <c r="C77" i="20"/>
  <c r="C85" i="20"/>
  <c r="C81" i="20"/>
  <c r="C44" i="20"/>
  <c r="C52" i="20"/>
  <c r="C60" i="20"/>
  <c r="C68" i="20"/>
  <c r="C76" i="20"/>
  <c r="C84" i="20"/>
  <c r="C55" i="20"/>
  <c r="C63" i="20"/>
  <c r="C71" i="20"/>
  <c r="C79" i="20"/>
  <c r="C87" i="20"/>
  <c r="B73" i="31" a="1"/>
  <c r="B33" i="22" a="1"/>
  <c r="B73" i="29" a="1"/>
  <c r="B72" i="19" a="1"/>
  <c r="B75" i="30" a="1"/>
  <c r="B73" i="31" l="1"/>
  <c r="B75" i="30"/>
  <c r="B73" i="29"/>
  <c r="B72" i="19"/>
  <c r="B33" i="22"/>
  <c r="A35" i="22"/>
  <c r="A74" i="31"/>
  <c r="A76" i="30"/>
  <c r="A74" i="29"/>
  <c r="A73" i="19"/>
  <c r="B74" i="29" a="1"/>
  <c r="B73" i="19" a="1"/>
  <c r="B34" i="22" a="1"/>
  <c r="B74" i="31" a="1"/>
  <c r="B76" i="30" a="1"/>
  <c r="B74" i="31" l="1"/>
  <c r="B76" i="30"/>
  <c r="B74" i="29"/>
  <c r="B73" i="19"/>
  <c r="B34" i="22"/>
  <c r="A36" i="22"/>
  <c r="A75" i="31"/>
  <c r="A77" i="30"/>
  <c r="A75" i="29"/>
  <c r="A74" i="19"/>
  <c r="B75" i="29" a="1"/>
  <c r="B74" i="19" a="1"/>
  <c r="B77" i="30" a="1"/>
  <c r="B35" i="22" a="1"/>
  <c r="B75" i="31" a="1"/>
  <c r="B75" i="31" l="1"/>
  <c r="B77" i="30"/>
  <c r="B75" i="29"/>
  <c r="B74" i="19"/>
  <c r="B35" i="22"/>
  <c r="A37" i="22"/>
  <c r="A76" i="31"/>
  <c r="A78" i="30"/>
  <c r="A76" i="29"/>
  <c r="A75" i="19"/>
  <c r="B76" i="29" a="1"/>
  <c r="B36" i="22" a="1"/>
  <c r="B76" i="31" a="1"/>
  <c r="B78" i="30" a="1"/>
  <c r="B75" i="19" a="1"/>
  <c r="B76" i="31" l="1"/>
  <c r="B78" i="30"/>
  <c r="B76" i="29"/>
  <c r="B75" i="19"/>
  <c r="B36" i="22"/>
  <c r="A38" i="22"/>
  <c r="A77" i="31"/>
  <c r="A79" i="30"/>
  <c r="A77" i="29"/>
  <c r="A76" i="19"/>
  <c r="A29" i="34"/>
  <c r="A45" i="34" s="1"/>
  <c r="A28" i="34"/>
  <c r="A44" i="34" s="1"/>
  <c r="A27" i="34"/>
  <c r="B27" i="34" s="1"/>
  <c r="A26" i="34"/>
  <c r="B26" i="34" s="1"/>
  <c r="A25" i="34"/>
  <c r="B25" i="34" s="1"/>
  <c r="A24" i="34"/>
  <c r="A23" i="34"/>
  <c r="A22" i="34"/>
  <c r="B22" i="34" s="1"/>
  <c r="A21" i="34"/>
  <c r="B21" i="34" s="1"/>
  <c r="A20" i="34"/>
  <c r="B20" i="34" s="1"/>
  <c r="A19" i="33"/>
  <c r="B19" i="33" s="1"/>
  <c r="A20" i="33"/>
  <c r="B20" i="33" s="1"/>
  <c r="A21" i="33"/>
  <c r="B21" i="33" s="1"/>
  <c r="A22" i="33"/>
  <c r="B22" i="33" s="1"/>
  <c r="A23" i="33"/>
  <c r="B23" i="33" s="1"/>
  <c r="A24" i="33"/>
  <c r="B24" i="33" s="1"/>
  <c r="B2" i="24"/>
  <c r="B40" i="43"/>
  <c r="A39" i="43"/>
  <c r="B39" i="43" s="1"/>
  <c r="B28" i="43"/>
  <c r="A5" i="43"/>
  <c r="A6" i="43" s="1"/>
  <c r="D3" i="43"/>
  <c r="C3" i="43"/>
  <c r="B3" i="43"/>
  <c r="B40" i="42"/>
  <c r="A39" i="42"/>
  <c r="B39" i="42" s="1"/>
  <c r="B28" i="42"/>
  <c r="A5" i="42"/>
  <c r="A6" i="42" s="1"/>
  <c r="D3" i="42"/>
  <c r="C3" i="42"/>
  <c r="B3" i="42"/>
  <c r="B40" i="41"/>
  <c r="A39" i="41"/>
  <c r="B39" i="41" s="1"/>
  <c r="B28" i="41"/>
  <c r="A5" i="41"/>
  <c r="A6" i="41" s="1"/>
  <c r="D3" i="41"/>
  <c r="C3" i="41"/>
  <c r="B3" i="41"/>
  <c r="B40" i="40"/>
  <c r="A39" i="40"/>
  <c r="B39" i="40" s="1"/>
  <c r="B28" i="40"/>
  <c r="A5" i="40"/>
  <c r="A6" i="40" s="1"/>
  <c r="D3" i="40"/>
  <c r="C3" i="40"/>
  <c r="B3" i="40"/>
  <c r="A39" i="38"/>
  <c r="B39" i="38" s="1"/>
  <c r="B40" i="38"/>
  <c r="A25" i="32"/>
  <c r="B77" i="29" a="1"/>
  <c r="B77" i="31" a="1"/>
  <c r="B79" i="30" a="1"/>
  <c r="B76" i="19" a="1"/>
  <c r="B37" i="22" a="1"/>
  <c r="B77" i="31" l="1"/>
  <c r="B79" i="30"/>
  <c r="B77" i="29"/>
  <c r="B76" i="19"/>
  <c r="A43" i="34"/>
  <c r="B37" i="22"/>
  <c r="A37" i="33"/>
  <c r="A39" i="33"/>
  <c r="B28" i="34"/>
  <c r="A40" i="33"/>
  <c r="B29" i="34"/>
  <c r="A39" i="22"/>
  <c r="A78" i="31"/>
  <c r="A80" i="30"/>
  <c r="A78" i="29"/>
  <c r="A77" i="19"/>
  <c r="B23" i="34"/>
  <c r="A41" i="34"/>
  <c r="A38" i="34"/>
  <c r="B24" i="34"/>
  <c r="A7" i="43"/>
  <c r="A7" i="42"/>
  <c r="A7" i="41"/>
  <c r="A7" i="40"/>
  <c r="B28" i="38"/>
  <c r="A5" i="38"/>
  <c r="A6" i="38" s="1"/>
  <c r="A7" i="38" s="1"/>
  <c r="A8" i="38" s="1"/>
  <c r="A9" i="38" s="1"/>
  <c r="A10" i="38" s="1"/>
  <c r="A11" i="38" s="1"/>
  <c r="A12" i="38" s="1"/>
  <c r="A13" i="38" s="1"/>
  <c r="A14" i="38" s="1"/>
  <c r="A15" i="38" s="1"/>
  <c r="A16" i="38" s="1"/>
  <c r="A17" i="38" s="1"/>
  <c r="A18" i="38" s="1"/>
  <c r="A19" i="38" s="1"/>
  <c r="A20" i="38" s="1"/>
  <c r="A21" i="38" s="1"/>
  <c r="A22" i="38" s="1"/>
  <c r="A23" i="38" s="1"/>
  <c r="D3" i="38"/>
  <c r="C3" i="38"/>
  <c r="B3" i="38"/>
  <c r="E25" i="37"/>
  <c r="B9" i="22"/>
  <c r="B8" i="22"/>
  <c r="B6" i="22"/>
  <c r="B5" i="22"/>
  <c r="B4" i="22"/>
  <c r="B3" i="22"/>
  <c r="B7" i="22"/>
  <c r="E24" i="37"/>
  <c r="B29" i="36"/>
  <c r="B25" i="36"/>
  <c r="B22" i="36"/>
  <c r="B2" i="35"/>
  <c r="B15" i="35"/>
  <c r="B14" i="35"/>
  <c r="B13" i="35"/>
  <c r="B12" i="35"/>
  <c r="B11" i="35"/>
  <c r="B10" i="35"/>
  <c r="B9" i="35"/>
  <c r="B8" i="35"/>
  <c r="B7" i="35"/>
  <c r="B6" i="35"/>
  <c r="B5" i="35"/>
  <c r="B4" i="35"/>
  <c r="B3" i="35"/>
  <c r="C15" i="35"/>
  <c r="C14" i="35"/>
  <c r="C13" i="35"/>
  <c r="C12" i="35"/>
  <c r="C11" i="35"/>
  <c r="C10" i="35"/>
  <c r="C9" i="35"/>
  <c r="C8" i="35"/>
  <c r="C7" i="35"/>
  <c r="C6" i="35"/>
  <c r="C5" i="35"/>
  <c r="C4" i="35"/>
  <c r="C3" i="35"/>
  <c r="C2" i="35"/>
  <c r="A2" i="35"/>
  <c r="A12" i="35"/>
  <c r="A11" i="35"/>
  <c r="A9" i="35"/>
  <c r="A8" i="35"/>
  <c r="A7" i="35"/>
  <c r="A4" i="35"/>
  <c r="A3" i="35"/>
  <c r="B78" i="31" a="1"/>
  <c r="B38" i="22" a="1"/>
  <c r="B77" i="19" a="1"/>
  <c r="B80" i="30" a="1"/>
  <c r="B78" i="29" a="1"/>
  <c r="B78" i="31" l="1"/>
  <c r="B80" i="30"/>
  <c r="B78" i="29"/>
  <c r="B77" i="19"/>
  <c r="B38" i="22"/>
  <c r="B13" i="22"/>
  <c r="B16" i="22"/>
  <c r="B18" i="22"/>
  <c r="B14" i="22"/>
  <c r="B19" i="22"/>
  <c r="B15" i="22"/>
  <c r="A40" i="22"/>
  <c r="B17" i="22"/>
  <c r="A79" i="31"/>
  <c r="A81" i="30"/>
  <c r="A79" i="29"/>
  <c r="A78" i="19"/>
  <c r="A8" i="43"/>
  <c r="A8" i="42"/>
  <c r="A8" i="41"/>
  <c r="A8" i="40"/>
  <c r="B22" i="38" a="1"/>
  <c r="B22" i="38" s="1"/>
  <c r="B21" i="38" a="1"/>
  <c r="B21" i="38" s="1"/>
  <c r="B20" i="38" a="1"/>
  <c r="B20" i="38" s="1"/>
  <c r="B23" i="38" a="1"/>
  <c r="B23" i="38" s="1"/>
  <c r="DO35" i="20"/>
  <c r="DP35" i="20" s="1"/>
  <c r="DQ35" i="20" s="1"/>
  <c r="DR35" i="20" s="1"/>
  <c r="DS35" i="20" s="1"/>
  <c r="DT35" i="20" s="1"/>
  <c r="DU35" i="20" s="1"/>
  <c r="DV35" i="20" s="1"/>
  <c r="DW35" i="20" s="1"/>
  <c r="DX35" i="20" s="1"/>
  <c r="DY35" i="20" s="1"/>
  <c r="DZ35" i="20" s="1"/>
  <c r="EA35" i="20" s="1"/>
  <c r="EB35" i="20" s="1"/>
  <c r="EC35" i="20" s="1"/>
  <c r="ED35" i="20" s="1"/>
  <c r="EE35" i="20" s="1"/>
  <c r="EF35" i="20" s="1"/>
  <c r="B25" i="32"/>
  <c r="B26" i="32"/>
  <c r="A24" i="32"/>
  <c r="A23" i="32"/>
  <c r="A22" i="32"/>
  <c r="A21" i="32"/>
  <c r="A20" i="32"/>
  <c r="A19" i="32"/>
  <c r="B19" i="32" s="1"/>
  <c r="B33" i="24"/>
  <c r="H38" i="31"/>
  <c r="H39" i="31" s="1"/>
  <c r="H40" i="31" s="1"/>
  <c r="H41" i="31" s="1"/>
  <c r="H42" i="31" s="1"/>
  <c r="H43" i="31" s="1"/>
  <c r="H44" i="31" s="1"/>
  <c r="H45" i="31" s="1"/>
  <c r="H46" i="31" s="1"/>
  <c r="H47" i="31" s="1"/>
  <c r="H48" i="31" s="1"/>
  <c r="H49" i="31" s="1"/>
  <c r="H50" i="31" s="1"/>
  <c r="H51" i="31" s="1"/>
  <c r="G35" i="31"/>
  <c r="F35" i="31"/>
  <c r="E35" i="31"/>
  <c r="D35" i="31"/>
  <c r="C35" i="31"/>
  <c r="B34" i="31"/>
  <c r="B33" i="31"/>
  <c r="C33" i="31" s="1"/>
  <c r="B32" i="31"/>
  <c r="A2" i="31"/>
  <c r="H37" i="30"/>
  <c r="H38" i="30" s="1"/>
  <c r="H39" i="30" s="1"/>
  <c r="H40" i="30" s="1"/>
  <c r="H41" i="30" s="1"/>
  <c r="H42" i="30" s="1"/>
  <c r="H43" i="30" s="1"/>
  <c r="H44" i="30" s="1"/>
  <c r="H45" i="30" s="1"/>
  <c r="H46" i="30" s="1"/>
  <c r="H47" i="30" s="1"/>
  <c r="H48" i="30" s="1"/>
  <c r="H49" i="30" s="1"/>
  <c r="H50" i="30" s="1"/>
  <c r="H51" i="30" s="1"/>
  <c r="G35" i="30"/>
  <c r="F35" i="30"/>
  <c r="E35" i="30"/>
  <c r="D35" i="30"/>
  <c r="C35" i="30"/>
  <c r="B34" i="30"/>
  <c r="B33" i="30"/>
  <c r="C33" i="30" s="1"/>
  <c r="B32" i="30"/>
  <c r="A17" i="30"/>
  <c r="A16" i="30"/>
  <c r="A15" i="30"/>
  <c r="A14" i="30"/>
  <c r="A13" i="30"/>
  <c r="A12" i="30"/>
  <c r="A11" i="30"/>
  <c r="A10" i="30"/>
  <c r="A9" i="30"/>
  <c r="A8" i="30"/>
  <c r="A7" i="30"/>
  <c r="A6" i="30"/>
  <c r="A5" i="30"/>
  <c r="A4" i="30"/>
  <c r="A3" i="30"/>
  <c r="A2" i="30"/>
  <c r="H37" i="29"/>
  <c r="H38" i="29" s="1"/>
  <c r="H39" i="29" s="1"/>
  <c r="H40" i="29" s="1"/>
  <c r="H41" i="29" s="1"/>
  <c r="H42" i="29" s="1"/>
  <c r="H43" i="29" s="1"/>
  <c r="H44" i="29" s="1"/>
  <c r="H45" i="29" s="1"/>
  <c r="H46" i="29" s="1"/>
  <c r="H47" i="29" s="1"/>
  <c r="H48" i="29" s="1"/>
  <c r="H49" i="29" s="1"/>
  <c r="H50" i="29" s="1"/>
  <c r="H51" i="29" s="1"/>
  <c r="G35" i="29"/>
  <c r="F35" i="29"/>
  <c r="E35" i="29"/>
  <c r="D35" i="29"/>
  <c r="C35" i="29"/>
  <c r="B34" i="29"/>
  <c r="B33" i="29"/>
  <c r="C33" i="29" s="1"/>
  <c r="B32" i="29"/>
  <c r="A2" i="29"/>
  <c r="B33" i="19"/>
  <c r="B32" i="19"/>
  <c r="G35" i="19"/>
  <c r="F35" i="19"/>
  <c r="E35" i="19"/>
  <c r="D35" i="19"/>
  <c r="C35" i="19"/>
  <c r="B78" i="19" a="1"/>
  <c r="B39" i="22" a="1"/>
  <c r="B81" i="30" a="1"/>
  <c r="B79" i="29" a="1"/>
  <c r="B79" i="31" a="1"/>
  <c r="B79" i="31" l="1"/>
  <c r="B81" i="30"/>
  <c r="B79" i="29"/>
  <c r="B78" i="19"/>
  <c r="B39" i="22"/>
  <c r="B21" i="32"/>
  <c r="A37" i="32"/>
  <c r="B20" i="32"/>
  <c r="A36" i="32"/>
  <c r="B22" i="32"/>
  <c r="A38" i="32"/>
  <c r="A41" i="22"/>
  <c r="B23" i="32"/>
  <c r="A39" i="32"/>
  <c r="B24" i="32"/>
  <c r="A40" i="32"/>
  <c r="A80" i="31"/>
  <c r="A80" i="29"/>
  <c r="A79" i="19"/>
  <c r="A9" i="43"/>
  <c r="A9" i="42"/>
  <c r="A9" i="41"/>
  <c r="A9" i="40"/>
  <c r="B80" i="31" a="1"/>
  <c r="B80" i="29" a="1"/>
  <c r="B79" i="19" a="1"/>
  <c r="B40" i="22" a="1"/>
  <c r="B80" i="31" l="1"/>
  <c r="B80" i="29"/>
  <c r="B79" i="19"/>
  <c r="B40" i="22"/>
  <c r="A42" i="22"/>
  <c r="A81" i="31"/>
  <c r="A81" i="29"/>
  <c r="A80" i="19"/>
  <c r="A10" i="43"/>
  <c r="A10" i="42"/>
  <c r="A10" i="41"/>
  <c r="A10" i="40"/>
  <c r="A17" i="19"/>
  <c r="A16" i="19"/>
  <c r="A15" i="19"/>
  <c r="A14" i="19"/>
  <c r="A13" i="19"/>
  <c r="A12" i="19"/>
  <c r="A11" i="19"/>
  <c r="A10" i="19"/>
  <c r="A9" i="19"/>
  <c r="A8" i="19"/>
  <c r="A7" i="19"/>
  <c r="A6" i="19"/>
  <c r="A5" i="19"/>
  <c r="A4" i="19"/>
  <c r="A3" i="19"/>
  <c r="A2" i="19"/>
  <c r="C33" i="19"/>
  <c r="B34" i="19"/>
  <c r="B81" i="31" a="1"/>
  <c r="B80" i="19" a="1"/>
  <c r="B81" i="29" a="1"/>
  <c r="B41" i="22" a="1"/>
  <c r="B81" i="31" l="1"/>
  <c r="B81" i="29"/>
  <c r="B80" i="19"/>
  <c r="B41" i="22"/>
  <c r="A43" i="22"/>
  <c r="A81" i="19"/>
  <c r="A11" i="43"/>
  <c r="A11" i="42"/>
  <c r="A11" i="41"/>
  <c r="A11" i="40"/>
  <c r="D1" i="22"/>
  <c r="E1" i="22" s="1"/>
  <c r="F1" i="22" s="1"/>
  <c r="B39" i="24"/>
  <c r="B38" i="24"/>
  <c r="B35" i="24"/>
  <c r="B34" i="24"/>
  <c r="B29" i="24"/>
  <c r="B28" i="24"/>
  <c r="A4" i="25"/>
  <c r="B6" i="3"/>
  <c r="B7" i="3" s="1"/>
  <c r="B8" i="3" s="1"/>
  <c r="B9" i="3" s="1"/>
  <c r="B10" i="3" s="1"/>
  <c r="B11" i="3" s="1"/>
  <c r="B12" i="3" s="1"/>
  <c r="B13" i="3" s="1"/>
  <c r="B14" i="3" s="1"/>
  <c r="B15" i="3" s="1"/>
  <c r="B16" i="3" s="1"/>
  <c r="B17" i="3" s="1"/>
  <c r="B18" i="3" s="1"/>
  <c r="B19" i="3" s="1"/>
  <c r="B20" i="3" s="1"/>
  <c r="R183" i="22"/>
  <c r="B81" i="19" a="1"/>
  <c r="B42" i="22" a="1"/>
  <c r="B81" i="19" l="1"/>
  <c r="A5" i="25"/>
  <c r="B42" i="22"/>
  <c r="A44" i="22"/>
  <c r="E82" i="30"/>
  <c r="A12" i="43"/>
  <c r="A12" i="42"/>
  <c r="A12" i="41"/>
  <c r="A12" i="40"/>
  <c r="G1" i="22"/>
  <c r="B21" i="3"/>
  <c r="B22" i="3" s="1"/>
  <c r="B23" i="3" s="1"/>
  <c r="B24" i="3" s="1"/>
  <c r="B25" i="3" s="1"/>
  <c r="B26" i="3" s="1"/>
  <c r="B27" i="3" s="1"/>
  <c r="B28" i="3" s="1"/>
  <c r="B43" i="22" a="1"/>
  <c r="A6" i="25" l="1"/>
  <c r="B43" i="22"/>
  <c r="F44" i="22" a="1"/>
  <c r="F44" i="22" s="1"/>
  <c r="I44" i="22" a="1"/>
  <c r="I44" i="22" s="1"/>
  <c r="D44" i="22" a="1"/>
  <c r="D44" i="22" s="1"/>
  <c r="G44" i="22" a="1"/>
  <c r="G44" i="22" s="1"/>
  <c r="H44" i="22" a="1"/>
  <c r="H44" i="22" s="1"/>
  <c r="J44" i="22" a="1"/>
  <c r="J44" i="22" s="1"/>
  <c r="E44" i="22" a="1"/>
  <c r="E44" i="22" s="1"/>
  <c r="A13" i="43"/>
  <c r="A13" i="42"/>
  <c r="A13" i="41"/>
  <c r="A13" i="40"/>
  <c r="B29" i="3"/>
  <c r="B30" i="3" s="1"/>
  <c r="B31" i="3" s="1"/>
  <c r="B32" i="3" s="1"/>
  <c r="H1" i="22"/>
  <c r="O2" i="4"/>
  <c r="N2" i="4"/>
  <c r="M2" i="4"/>
  <c r="L2" i="4"/>
  <c r="K2" i="4"/>
  <c r="L4" i="4"/>
  <c r="K4" i="4"/>
  <c r="O3" i="4"/>
  <c r="N3" i="4"/>
  <c r="M3" i="4"/>
  <c r="L3" i="4"/>
  <c r="K3" i="4"/>
  <c r="O1" i="4"/>
  <c r="N1" i="4"/>
  <c r="M1" i="4"/>
  <c r="L1" i="4"/>
  <c r="K1" i="4"/>
  <c r="B44" i="22" a="1"/>
  <c r="A7" i="25" l="1"/>
  <c r="B44" i="22"/>
  <c r="K44" i="22"/>
  <c r="L44" i="22" s="1"/>
  <c r="E82" i="19"/>
  <c r="E82" i="31"/>
  <c r="E82" i="29"/>
  <c r="A14" i="43"/>
  <c r="A14" i="42"/>
  <c r="A14" i="41"/>
  <c r="A14" i="40"/>
  <c r="B33" i="3"/>
  <c r="C3" i="3"/>
  <c r="D3" i="3" s="1"/>
  <c r="E3" i="3" s="1"/>
  <c r="F3" i="3" s="1"/>
  <c r="A8" i="25" l="1"/>
  <c r="B34" i="3"/>
  <c r="B35" i="3" s="1"/>
  <c r="B36" i="3" s="1"/>
  <c r="B37" i="3" s="1"/>
  <c r="B38" i="3" s="1"/>
  <c r="B39" i="3" s="1"/>
  <c r="B40" i="3" s="1"/>
  <c r="B41" i="3" s="1"/>
  <c r="A15" i="43"/>
  <c r="A15" i="42"/>
  <c r="A15" i="41"/>
  <c r="A15" i="40"/>
  <c r="A9" i="25" l="1"/>
  <c r="A16" i="43"/>
  <c r="A16" i="42"/>
  <c r="A16" i="41"/>
  <c r="A16" i="40"/>
  <c r="A10" i="25" l="1"/>
  <c r="A17" i="43"/>
  <c r="A17" i="42"/>
  <c r="A17" i="41"/>
  <c r="A17" i="40"/>
  <c r="A11" i="25" l="1"/>
  <c r="A18" i="43"/>
  <c r="A18" i="42"/>
  <c r="A18" i="41"/>
  <c r="A18" i="40"/>
  <c r="B3" i="25" a="1"/>
  <c r="D12" i="43" a="1"/>
  <c r="AL65" i="20" a="1"/>
  <c r="AG50" i="20" a="1"/>
  <c r="AE69" i="20" a="1"/>
  <c r="AH47" i="20" a="1"/>
  <c r="W43" i="20" a="1"/>
  <c r="AJ77" i="20" a="1"/>
  <c r="AB86" i="20" a="1"/>
  <c r="F44" i="20" a="1"/>
  <c r="G5" i="25" a="1"/>
  <c r="AG82" i="20" a="1"/>
  <c r="E54" i="20" a="1"/>
  <c r="G41" i="20" a="1"/>
  <c r="AH59" i="20" a="1"/>
  <c r="F64" i="20" a="1"/>
  <c r="Y51" i="20" a="1"/>
  <c r="Z62" i="20" a="1"/>
  <c r="AL54" i="20" a="1"/>
  <c r="Y78" i="20" a="1"/>
  <c r="AH75" i="20" a="1"/>
  <c r="AA53" i="20" a="1"/>
  <c r="AB38" i="20" a="1"/>
  <c r="AJ50" i="20" a="1"/>
  <c r="AI75" i="20" a="1"/>
  <c r="AB53" i="20" a="1"/>
  <c r="AE66" i="20" a="1"/>
  <c r="Y70" i="20" a="1"/>
  <c r="J77" i="20" a="1"/>
  <c r="J71" i="20" a="1"/>
  <c r="AA78" i="20" a="1"/>
  <c r="E82" i="20" a="1"/>
  <c r="H56" i="20" a="1"/>
  <c r="W40" i="20" a="1"/>
  <c r="X52" i="20" a="1"/>
  <c r="AA38" i="20" a="1"/>
  <c r="X50" i="20" a="1"/>
  <c r="D45" i="20" a="1"/>
  <c r="H38" i="20" a="1"/>
  <c r="AK68" i="20" a="1"/>
  <c r="AK43" i="20" a="1"/>
  <c r="H53" i="20" a="1"/>
  <c r="G38" i="20" a="1"/>
  <c r="AC73" i="20" a="1"/>
  <c r="E68" i="20" a="1"/>
  <c r="AI61" i="20" a="1"/>
  <c r="AD66" i="20" a="1"/>
  <c r="F73" i="20" a="1"/>
  <c r="AH66" i="20" a="1"/>
  <c r="K52" i="20" a="1"/>
  <c r="AL67" i="20" a="1"/>
  <c r="E45" i="20" a="1"/>
  <c r="AG51" i="20" a="1"/>
  <c r="C4" i="38" a="1"/>
  <c r="C9" i="42" a="1"/>
  <c r="AH56" i="20" a="1"/>
  <c r="D13" i="43" a="1"/>
  <c r="AJ54" i="20" a="1"/>
  <c r="I65" i="20" a="1"/>
  <c r="AL81" i="20" a="1"/>
  <c r="B5" i="40" a="1"/>
  <c r="AD51" i="20" a="1"/>
  <c r="A56" i="31" a="1"/>
  <c r="K78" i="20" a="1"/>
  <c r="AI78" i="20" a="1"/>
  <c r="C10" i="41" a="1"/>
  <c r="E85" i="20" a="1"/>
  <c r="AA56" i="20" a="1"/>
  <c r="X82" i="20" a="1"/>
  <c r="Z51" i="20" a="1"/>
  <c r="AE48" i="20" a="1"/>
  <c r="AD65" i="20" a="1"/>
  <c r="D44" i="20" a="1"/>
  <c r="G74" i="20" a="1"/>
  <c r="AL61" i="20" a="1"/>
  <c r="AM49" i="20" a="1"/>
  <c r="AD56" i="20" a="1"/>
  <c r="B5" i="43" a="1"/>
  <c r="AB66" i="20" a="1"/>
  <c r="K60" i="20" a="1"/>
  <c r="J52" i="20" a="1"/>
  <c r="W69" i="20" a="1"/>
  <c r="C4" i="40" a="1"/>
  <c r="B14" i="38" a="1"/>
  <c r="AJ49" i="20" a="1"/>
  <c r="K75" i="20" a="1"/>
  <c r="AH71" i="20" a="1"/>
  <c r="AA70" i="20" a="1"/>
  <c r="D55" i="20" a="1"/>
  <c r="B10" i="38" a="1"/>
  <c r="AI38" i="20" a="1"/>
  <c r="AE50" i="20" a="1"/>
  <c r="AM71" i="20" a="1"/>
  <c r="D65" i="20" a="1"/>
  <c r="AF48" i="20" a="1"/>
  <c r="D63" i="20" a="1"/>
  <c r="E86" i="20" a="1"/>
  <c r="D12" i="41" a="1"/>
  <c r="AF68" i="20" a="1"/>
  <c r="H81" i="20" a="1"/>
  <c r="AL39" i="20" a="1"/>
  <c r="AC81" i="20" a="1"/>
  <c r="AG66" i="20" a="1"/>
  <c r="B16" i="38" a="1"/>
  <c r="AH85" i="20" a="1"/>
  <c r="AH55" i="20" a="1"/>
  <c r="C5" i="38" a="1"/>
  <c r="AB70" i="20" a="1"/>
  <c r="AE46" i="20" a="1"/>
  <c r="AB55" i="20" a="1"/>
  <c r="AJ40" i="20" a="1"/>
  <c r="C8" i="25" a="1"/>
  <c r="AE41" i="20" a="1"/>
  <c r="X62" i="20" a="1"/>
  <c r="E59" i="20" a="1"/>
  <c r="D5" i="43" a="1"/>
  <c r="G79" i="20" a="1"/>
  <c r="Z58" i="20" a="1"/>
  <c r="B10" i="42" a="1"/>
  <c r="W78" i="20" a="1"/>
  <c r="AI53" i="20" a="1"/>
  <c r="J54" i="20" a="1"/>
  <c r="B14" i="41" a="1"/>
  <c r="H44" i="20" a="1"/>
  <c r="C5" i="43" a="1"/>
  <c r="X75" i="20" a="1"/>
  <c r="K40" i="20" a="1"/>
  <c r="Z73" i="20" a="1"/>
  <c r="Y63" i="20" a="1"/>
  <c r="Z54" i="20" a="1"/>
  <c r="D6" i="41" a="1"/>
  <c r="W79" i="20" a="1"/>
  <c r="G4" i="25" a="1"/>
  <c r="D7" i="38" a="1"/>
  <c r="AE62" i="20" a="1"/>
  <c r="AG75" i="20" a="1"/>
  <c r="AB81" i="20" a="1"/>
  <c r="D8" i="40" a="1"/>
  <c r="AC56" i="20" a="1"/>
  <c r="F2" i="22" a="1"/>
  <c r="AE58" i="20" a="1"/>
  <c r="F77" i="20" a="1"/>
  <c r="AA74" i="20" a="1"/>
  <c r="AG80" i="20" a="1"/>
  <c r="B5" i="38" a="1"/>
  <c r="G51" i="20" a="1"/>
  <c r="D60" i="20" a="1"/>
  <c r="C4" i="25" a="1"/>
  <c r="AI58" i="20" a="1"/>
  <c r="AC62" i="20" a="1"/>
  <c r="AL82" i="20" a="1"/>
  <c r="AG58" i="20" a="1"/>
  <c r="AE67" i="20" a="1"/>
  <c r="Y75" i="20" a="1"/>
  <c r="Y67" i="20" a="1"/>
  <c r="Y40" i="20" a="1"/>
  <c r="D64" i="20" a="1"/>
  <c r="C17" i="38" a="1"/>
  <c r="AB45" i="20" a="1"/>
  <c r="G81" i="20" a="1"/>
  <c r="AM79" i="20" a="1"/>
  <c r="AK64" i="20" a="1"/>
  <c r="B8" i="42" a="1"/>
  <c r="F85" i="20" a="1"/>
  <c r="B7" i="43" a="1"/>
  <c r="G73" i="20" a="1"/>
  <c r="I55" i="20" a="1"/>
  <c r="W54" i="20" a="1"/>
  <c r="E66" i="20" a="1"/>
  <c r="AL71" i="20" a="1"/>
  <c r="AI69" i="20" a="1"/>
  <c r="AC84" i="20" a="1"/>
  <c r="C13" i="40" a="1"/>
  <c r="I69" i="20" a="1"/>
  <c r="K48" i="20" a="1"/>
  <c r="H87" i="20" a="1"/>
  <c r="D39" i="20" a="1"/>
  <c r="D51" i="20" a="1"/>
  <c r="AJ81" i="20" a="1"/>
  <c r="F66" i="20" a="1"/>
  <c r="I63" i="20" a="1"/>
  <c r="AM72" i="20" a="1"/>
  <c r="AM46" i="20" a="1"/>
  <c r="AG44" i="20" a="1"/>
  <c r="I83" i="20" a="1"/>
  <c r="J69" i="20" a="1"/>
  <c r="F65" i="20" a="1"/>
  <c r="D19" i="38" a="1"/>
  <c r="C14" i="42" a="1"/>
  <c r="AD80" i="20" a="1"/>
  <c r="X43" i="20" a="1"/>
  <c r="D72" i="20" a="1"/>
  <c r="AM60" i="20" a="1"/>
  <c r="AJ67" i="20" a="1"/>
  <c r="K39" i="20" a="1"/>
  <c r="AA45" i="20" a="1"/>
  <c r="AI49" i="20" a="1"/>
  <c r="J59" i="20" a="1"/>
  <c r="AI84" i="20" a="1"/>
  <c r="I74" i="20" a="1"/>
  <c r="AK63" i="20" a="1"/>
  <c r="AI81" i="20" a="1"/>
  <c r="AG84" i="20" a="1"/>
  <c r="W63" i="20" a="1"/>
  <c r="E64" i="20" a="1"/>
  <c r="D3" i="25" a="1"/>
  <c r="B7" i="40" a="1"/>
  <c r="AK55" i="20" a="1"/>
  <c r="I78" i="20" a="1"/>
  <c r="D80" i="20" a="1"/>
  <c r="H42" i="20" a="1"/>
  <c r="C7" i="38" a="1"/>
  <c r="D5" i="40" a="1"/>
  <c r="AG49" i="20" a="1"/>
  <c r="AB64" i="20" a="1"/>
  <c r="G60" i="20" a="1"/>
  <c r="AJ84" i="20" a="1"/>
  <c r="F75" i="20" a="1"/>
  <c r="AL41" i="20" a="1"/>
  <c r="X40" i="20" a="1"/>
  <c r="W71" i="20" a="1"/>
  <c r="D12" i="42" a="1"/>
  <c r="AE71" i="20" a="1"/>
  <c r="AA39" i="20" a="1"/>
  <c r="AG68" i="20" a="1"/>
  <c r="I87" i="20" a="1"/>
  <c r="AF47" i="20" a="1"/>
  <c r="AE43" i="20" a="1"/>
  <c r="X78" i="20" a="1"/>
  <c r="C33" i="24" a="1"/>
  <c r="Z48" i="20" a="1"/>
  <c r="W83" i="20" a="1"/>
  <c r="D2" i="22" a="1"/>
  <c r="Y48" i="20" a="1"/>
  <c r="G69" i="20" a="1"/>
  <c r="K65" i="20" a="1"/>
  <c r="J68" i="20" a="1"/>
  <c r="E67" i="20" a="1"/>
  <c r="E40" i="20" a="1"/>
  <c r="K49" i="20" a="1"/>
  <c r="AK60" i="20" a="1"/>
  <c r="AG45" i="20" a="1"/>
  <c r="AL38" i="20" a="1"/>
  <c r="F39" i="20" a="1"/>
  <c r="AB77" i="20" a="1"/>
  <c r="E53" i="20" a="1"/>
  <c r="C6" i="43" a="1"/>
  <c r="AK56" i="20" a="1"/>
  <c r="J61" i="20" a="1"/>
  <c r="AD48" i="20" a="1"/>
  <c r="AI57" i="20" a="1"/>
  <c r="W57" i="20" a="1"/>
  <c r="K83" i="20" a="1"/>
  <c r="C16" i="38" a="1"/>
  <c r="AG38" i="20" a="1"/>
  <c r="AK75" i="20" a="1"/>
  <c r="C22" i="38" a="1"/>
  <c r="Z40" i="20" a="1"/>
  <c r="K70" i="20" a="1"/>
  <c r="Y43" i="20" a="1"/>
  <c r="H60" i="20" a="1"/>
  <c r="AH39" i="20" a="1"/>
  <c r="I85" i="20" a="1"/>
  <c r="W74" i="20" a="1"/>
  <c r="AL73" i="20" a="1"/>
  <c r="AJ64" i="20" a="1"/>
  <c r="AH50" i="20" a="1"/>
  <c r="B11" i="38" a="1"/>
  <c r="AH51" i="20" a="1"/>
  <c r="Y72" i="20" a="1"/>
  <c r="D5" i="38" a="1"/>
  <c r="AK54" i="20" a="1"/>
  <c r="AK66" i="20" a="1"/>
  <c r="AK58" i="20" a="1"/>
  <c r="C10" i="42" a="1"/>
  <c r="AH72" i="20" a="1"/>
  <c r="AB78" i="20" a="1"/>
  <c r="D4" i="25" a="1"/>
  <c r="K63" i="20" a="1"/>
  <c r="AG60" i="20" a="1"/>
  <c r="AA80" i="20" a="1"/>
  <c r="W60" i="20" a="1"/>
  <c r="C6" i="42" a="1"/>
  <c r="D11" i="42" a="1"/>
  <c r="AJ80" i="20" a="1"/>
  <c r="C9" i="43" a="1"/>
  <c r="Z56" i="20" a="1"/>
  <c r="E62" i="20" a="1"/>
  <c r="E65" i="20" a="1"/>
  <c r="K56" i="20" a="1"/>
  <c r="C34" i="37" a="1"/>
  <c r="D23" i="38" a="1"/>
  <c r="Z65" i="20" a="1"/>
  <c r="AK41" i="20" a="1"/>
  <c r="AM56" i="20" a="1"/>
  <c r="I44" i="20" a="1"/>
  <c r="D13" i="42" a="1"/>
  <c r="AM61" i="20" a="1"/>
  <c r="K71" i="20" a="1"/>
  <c r="W56" i="20" a="1"/>
  <c r="W46" i="20" a="1"/>
  <c r="C19" i="38" a="1"/>
  <c r="G43" i="20" a="1"/>
  <c r="AL60" i="20" a="1"/>
  <c r="Y82" i="20" a="1"/>
  <c r="AL76" i="20" a="1"/>
  <c r="AG46" i="20" a="1"/>
  <c r="AE72" i="20" a="1"/>
  <c r="AA57" i="20" a="1"/>
  <c r="AL55" i="20" a="1"/>
  <c r="AL53" i="20" a="1"/>
  <c r="C11" i="43" a="1"/>
  <c r="AE49" i="20" a="1"/>
  <c r="AI64" i="20" a="1"/>
  <c r="E80" i="20" a="1"/>
  <c r="AJ78" i="20" a="1"/>
  <c r="AF46" i="20" a="1"/>
  <c r="H68" i="20" a="1"/>
  <c r="D9" i="41" a="1"/>
  <c r="J70" i="20" a="1"/>
  <c r="E71" i="20" a="1"/>
  <c r="AM62" i="20" a="1"/>
  <c r="AI55" i="20" a="1"/>
  <c r="AA86" i="20" a="1"/>
  <c r="AG56" i="20" a="1"/>
  <c r="K44" i="20" a="1"/>
  <c r="D49" i="20" a="1"/>
  <c r="X71" i="20" a="1"/>
  <c r="AF82" i="20" a="1"/>
  <c r="D15" i="40" a="1"/>
  <c r="AC77" i="20" a="1"/>
  <c r="AM40" i="20" a="1"/>
  <c r="C39" i="24" a="1"/>
  <c r="AF77" i="20" a="1"/>
  <c r="AM58" i="20" a="1"/>
  <c r="AK62" i="20" a="1"/>
  <c r="C4" i="43" a="1"/>
  <c r="AG76" i="20" a="1"/>
  <c r="AH43" i="20" a="1"/>
  <c r="AM55" i="20" a="1"/>
  <c r="X81" i="20" a="1"/>
  <c r="B11" i="43" a="1"/>
  <c r="AM77" i="20" a="1"/>
  <c r="AF70" i="20" a="1"/>
  <c r="AH44" i="20" a="1"/>
  <c r="H83" i="20" a="1"/>
  <c r="AI63" i="20" a="1"/>
  <c r="Z84" i="20" a="1"/>
  <c r="F56" i="20" a="1"/>
  <c r="C13" i="42" a="1"/>
  <c r="AM43" i="20" a="1"/>
  <c r="K85" i="20" a="1"/>
  <c r="C7" i="43" a="1"/>
  <c r="AI52" i="20" a="1"/>
  <c r="D22" i="38" a="1"/>
  <c r="AF38" i="20" a="1"/>
  <c r="E69" i="20" a="1"/>
  <c r="B4" i="40" a="1"/>
  <c r="C10" i="38" a="1"/>
  <c r="AJ57" i="20" a="1"/>
  <c r="C5" i="40" a="1"/>
  <c r="AJ83" i="20" a="1"/>
  <c r="F61" i="20" a="1"/>
  <c r="D48" i="20" a="1"/>
  <c r="AJ43" i="20" a="1"/>
  <c r="AD79" i="20" a="1"/>
  <c r="AL44" i="20" a="1"/>
  <c r="AH46" i="20" a="1"/>
  <c r="AI68" i="20" a="1"/>
  <c r="F54" i="20" a="1"/>
  <c r="F59" i="20" a="1"/>
  <c r="D13" i="38" a="1"/>
  <c r="C11" i="38" a="1"/>
  <c r="D9" i="40" a="1"/>
  <c r="AH73" i="20" a="1"/>
  <c r="AL42" i="20" a="1"/>
  <c r="AG39" i="20" a="1"/>
  <c r="AF50" i="20" a="1"/>
  <c r="AA64" i="20" a="1"/>
  <c r="AB41" i="20" a="1"/>
  <c r="AL80" i="20" a="1"/>
  <c r="AI74" i="20" a="1"/>
  <c r="AG57" i="20" a="1"/>
  <c r="C18" i="38" a="1"/>
  <c r="AJ39" i="20" a="1"/>
  <c r="H74" i="20" a="1"/>
  <c r="W82" i="20" a="1"/>
  <c r="F80" i="20" a="1"/>
  <c r="AJ46" i="20" a="1"/>
  <c r="Y53" i="20" a="1"/>
  <c r="F38" i="20" a="1"/>
  <c r="AA47" i="20" a="1"/>
  <c r="I70" i="20" a="1"/>
  <c r="K77" i="20" a="1"/>
  <c r="I79" i="20" a="1"/>
  <c r="H39" i="20" a="1"/>
  <c r="AC39" i="20" a="1"/>
  <c r="AF66" i="20" a="1"/>
  <c r="Z64" i="20" a="1"/>
  <c r="B8" i="41" a="1"/>
  <c r="J73" i="20" a="1"/>
  <c r="H73" i="20" a="1"/>
  <c r="AB59" i="20" a="1"/>
  <c r="AH58" i="20" a="1"/>
  <c r="AE86" i="20" a="1"/>
  <c r="I82" i="20" a="1"/>
  <c r="AL52" i="20" a="1"/>
  <c r="Y55" i="20" a="1"/>
  <c r="AK86" i="20" a="1"/>
  <c r="K53" i="20" a="1"/>
  <c r="C7" i="42" a="1"/>
  <c r="K86" i="20" a="1"/>
  <c r="AG63" i="20" a="1"/>
  <c r="E75" i="20" a="1"/>
  <c r="X59" i="20" a="1"/>
  <c r="AM68" i="20" a="1"/>
  <c r="AE70" i="20" a="1"/>
  <c r="AH65" i="20" a="1"/>
  <c r="AH64" i="20" a="1"/>
  <c r="AE81" i="20" a="1"/>
  <c r="B6" i="40" a="1"/>
  <c r="AK51" i="20" a="1"/>
  <c r="G44" i="20" a="1"/>
  <c r="AI59" i="20" a="1"/>
  <c r="D78" i="20" a="1"/>
  <c r="K42" i="20" a="1"/>
  <c r="AD71" i="20" a="1"/>
  <c r="H4" i="25" a="1"/>
  <c r="AF55" i="20" a="1"/>
  <c r="C13" i="43" a="1"/>
  <c r="AB67" i="20" a="1"/>
  <c r="AK67" i="20" a="1"/>
  <c r="AA55" i="20" a="1"/>
  <c r="AE42" i="20" a="1"/>
  <c r="E7" i="25" a="1"/>
  <c r="AA52" i="20" a="1"/>
  <c r="C14" i="38" a="1"/>
  <c r="AI83" i="20" a="1"/>
  <c r="G80" i="20" a="1"/>
  <c r="AI72" i="20" a="1"/>
  <c r="Y61" i="20" a="1"/>
  <c r="H41" i="20" a="1"/>
  <c r="AG64" i="20" a="1"/>
  <c r="AM85" i="20" a="1"/>
  <c r="AA83" i="20" a="1"/>
  <c r="C6" i="40" a="1"/>
  <c r="K87" i="20" a="1"/>
  <c r="AD45" i="20" a="1"/>
  <c r="G67" i="20" a="1"/>
  <c r="AF56" i="20" a="1"/>
  <c r="X51" i="20" a="1"/>
  <c r="E81" i="20" a="1"/>
  <c r="B9" i="38" a="1"/>
  <c r="D5" i="42" a="1"/>
  <c r="I81" i="20" a="1"/>
  <c r="AK69" i="20" a="1"/>
  <c r="D68" i="20" a="1"/>
  <c r="D57" i="20" a="1"/>
  <c r="I50" i="20" a="1"/>
  <c r="G54" i="20" a="1"/>
  <c r="AG69" i="20" a="1"/>
  <c r="AA77" i="20" a="1"/>
  <c r="AL66" i="20" a="1"/>
  <c r="Z72" i="20" a="1"/>
  <c r="AB69" i="20" a="1"/>
  <c r="AI70" i="20" a="1"/>
  <c r="J46" i="20" a="1"/>
  <c r="K47" i="20" a="1"/>
  <c r="D16" i="38" a="1"/>
  <c r="AE65" i="20" a="1"/>
  <c r="K46" i="20" a="1"/>
  <c r="AI77" i="20" a="1"/>
  <c r="AD55" i="20" a="1"/>
  <c r="AI85" i="20" a="1"/>
  <c r="AH38" i="20" a="1"/>
  <c r="D5" i="41" a="1"/>
  <c r="F83" i="20" a="1"/>
  <c r="K73" i="20" a="1"/>
  <c r="E61" i="20" a="1"/>
  <c r="X54" i="20" a="1"/>
  <c r="F78" i="20" a="1"/>
  <c r="E6" i="25" a="1"/>
  <c r="B13" i="38" a="1"/>
  <c r="X80" i="20" a="1"/>
  <c r="AM64" i="20" a="1"/>
  <c r="F4" i="25" a="1"/>
  <c r="Z55" i="20" a="1"/>
  <c r="D53" i="20" a="1"/>
  <c r="J75" i="20" a="1"/>
  <c r="Y41" i="20" a="1"/>
  <c r="AF84" i="20" a="1"/>
  <c r="X57" i="20" a="1"/>
  <c r="Y46" i="20" a="1"/>
  <c r="AC38" i="20" a="1"/>
  <c r="X63" i="20" a="1"/>
  <c r="J45" i="20" a="1"/>
  <c r="B11" i="41" a="1"/>
  <c r="C6" i="38" a="1"/>
  <c r="AK83" i="20" a="1"/>
  <c r="AJ53" i="20" a="1"/>
  <c r="I77" i="20" a="1"/>
  <c r="AB80" i="20" a="1"/>
  <c r="D38" i="20" a="1"/>
  <c r="E79" i="20" a="1"/>
  <c r="I42" i="20" a="1"/>
  <c r="AA68" i="20" a="1"/>
  <c r="AI44" i="20" a="1"/>
  <c r="I43" i="20" a="1"/>
  <c r="F74" i="20" a="1"/>
  <c r="H66" i="20" a="1"/>
  <c r="D6" i="40" a="1"/>
  <c r="F26" i="20"/>
  <c r="H64" i="20" a="1"/>
  <c r="G82" i="20" a="1"/>
  <c r="AE40" i="20" a="1"/>
  <c r="C12" i="40" a="1"/>
  <c r="I86" i="20" a="1"/>
  <c r="D4" i="42" a="1"/>
  <c r="I58" i="20" a="1"/>
  <c r="AI60" i="20" a="1"/>
  <c r="W85" i="20" a="1"/>
  <c r="Z85" i="20" a="1"/>
  <c r="F27" i="20"/>
  <c r="AJ82" i="20" a="1"/>
  <c r="D61" i="20" a="1"/>
  <c r="E43" i="20" a="1"/>
  <c r="AM44" i="20" a="1"/>
  <c r="AD62" i="20" a="1"/>
  <c r="AB85" i="20" a="1"/>
  <c r="I48" i="20" a="1"/>
  <c r="C5" i="42" a="1"/>
  <c r="E57" i="20" a="1"/>
  <c r="F43" i="20" a="1"/>
  <c r="Z50" i="20" a="1"/>
  <c r="F72" i="20" a="1"/>
  <c r="B7" i="41" a="1"/>
  <c r="AC64" i="20" a="1"/>
  <c r="J40" i="20" a="1"/>
  <c r="AE60" i="20" a="1"/>
  <c r="AH54" i="20" a="1"/>
  <c r="D21" i="38" a="1"/>
  <c r="D13" i="41" a="1"/>
  <c r="AK44" i="20" a="1"/>
  <c r="AK76" i="20" a="1"/>
  <c r="AH86" i="20" a="1"/>
  <c r="Z78" i="20" a="1"/>
  <c r="AE74" i="20" a="1"/>
  <c r="D10" i="41" a="1"/>
  <c r="AE55" i="20" a="1"/>
  <c r="G72" i="20" a="1"/>
  <c r="AE76" i="20" a="1"/>
  <c r="D4" i="41" a="1"/>
  <c r="B4" i="42" a="1"/>
  <c r="AF83" i="20" a="1"/>
  <c r="J78" i="20" a="1"/>
  <c r="F86" i="20" a="1"/>
  <c r="E51" i="20" a="1"/>
  <c r="AD74" i="20" a="1"/>
  <c r="B9" i="41" a="1"/>
  <c r="B14" i="43" a="1"/>
  <c r="W61" i="20" a="1"/>
  <c r="E63" i="20" a="1"/>
  <c r="F40" i="20" a="1"/>
  <c r="AC79" i="20" a="1"/>
  <c r="X58" i="20" a="1"/>
  <c r="B15" i="40" a="1"/>
  <c r="AE80" i="20" a="1"/>
  <c r="AB40" i="20" a="1"/>
  <c r="AH83" i="20" a="1"/>
  <c r="G47" i="20" a="1"/>
  <c r="AC67" i="20" a="1"/>
  <c r="E4" i="25" a="1"/>
  <c r="C6" i="25" a="1"/>
  <c r="D14" i="43" a="1"/>
  <c r="B6" i="25" a="1"/>
  <c r="AL86" i="20" a="1"/>
  <c r="I68" i="20" a="1"/>
  <c r="J39" i="20" a="1"/>
  <c r="W58" i="20" a="1"/>
  <c r="C15" i="42" a="1"/>
  <c r="H8" i="25" a="1"/>
  <c r="G46" i="20" a="1"/>
  <c r="G77" i="20" a="1"/>
  <c r="C37" i="37" a="1"/>
  <c r="I73" i="20" a="1"/>
  <c r="H67" i="20" a="1"/>
  <c r="G70" i="20" a="1"/>
  <c r="AI48" i="20" a="1"/>
  <c r="AD82" i="20" a="1"/>
  <c r="AE85" i="20" a="1"/>
  <c r="AL57" i="20" a="1"/>
  <c r="AF43" i="20" a="1"/>
  <c r="AM80" i="20" a="1"/>
  <c r="D46" i="20" a="1"/>
  <c r="Z45" i="20" a="1"/>
  <c r="AJ47" i="20" a="1"/>
  <c r="Z71" i="20" a="1"/>
  <c r="J58" i="20" a="1"/>
  <c r="K62" i="20" a="1"/>
  <c r="AK65" i="20" a="1"/>
  <c r="B7" i="38" a="1"/>
  <c r="X55" i="20" a="1"/>
  <c r="AD54" i="20" a="1"/>
  <c r="AC52" i="20" a="1"/>
  <c r="F62" i="20" a="1"/>
  <c r="AG72" i="20" a="1"/>
  <c r="X65" i="20" a="1"/>
  <c r="D82" i="20" a="1"/>
  <c r="Z74" i="20" a="1"/>
  <c r="K54" i="20" a="1"/>
  <c r="B7" i="42" a="1"/>
  <c r="AD75" i="20" a="1"/>
  <c r="AL59" i="20" a="1"/>
  <c r="G57" i="20" a="1"/>
  <c r="Z53" i="20" a="1"/>
  <c r="G9" i="22" a="1"/>
  <c r="AM57" i="20" a="1"/>
  <c r="H59" i="20" a="1"/>
  <c r="B6" i="41" a="1"/>
  <c r="AB68" i="20" a="1"/>
  <c r="AM39" i="20" a="1"/>
  <c r="AG77" i="20" a="1"/>
  <c r="B11" i="40" a="1"/>
  <c r="Z38" i="20" a="1"/>
  <c r="AD38" i="20" a="1"/>
  <c r="W53" i="20" a="1"/>
  <c r="K67" i="20" a="1"/>
  <c r="J43" i="20" a="1"/>
  <c r="AK80" i="20" a="1"/>
  <c r="H61" i="20" a="1"/>
  <c r="H56" i="19" a="1"/>
  <c r="C36" i="37" a="1"/>
  <c r="K84" i="20" a="1"/>
  <c r="K45" i="20" a="1"/>
  <c r="F82" i="20" a="1"/>
  <c r="AJ41" i="20" a="1"/>
  <c r="E84" i="20" a="1"/>
  <c r="AA51" i="20" a="1"/>
  <c r="AK45" i="20" a="1"/>
  <c r="X70" i="20" a="1"/>
  <c r="Z66" i="20" a="1"/>
  <c r="E44" i="20" a="1"/>
  <c r="H77" i="20" a="1"/>
  <c r="X85" i="20" a="1"/>
  <c r="AL43" i="20" a="1"/>
  <c r="E3" i="25" a="1"/>
  <c r="D4" i="43" a="1"/>
  <c r="AA41" i="20" a="1"/>
  <c r="AG40" i="20" a="1"/>
  <c r="I64" i="20" a="1"/>
  <c r="E60" i="20" a="1"/>
  <c r="B9" i="42" a="1"/>
  <c r="AH67" i="20" a="1"/>
  <c r="C8" i="41" a="1"/>
  <c r="B19" i="38" a="1"/>
  <c r="AH48" i="20" a="1"/>
  <c r="D83" i="20" a="1"/>
  <c r="Z52" i="20" a="1"/>
  <c r="AE82" i="20" a="1"/>
  <c r="G53" i="20" a="1"/>
  <c r="X41" i="20" a="1"/>
  <c r="AB75" i="20" a="1"/>
  <c r="F87" i="20" a="1"/>
  <c r="Y69" i="20" a="1"/>
  <c r="E87" i="20" a="1"/>
  <c r="C21" i="38" a="1"/>
  <c r="AH78" i="20" a="1"/>
  <c r="G42" i="20" a="1"/>
  <c r="AD46" i="20" a="1"/>
  <c r="AC82" i="20" a="1"/>
  <c r="X86" i="20" a="1"/>
  <c r="AK48" i="20" a="1"/>
  <c r="W81" i="20" a="1"/>
  <c r="E41" i="20" a="1"/>
  <c r="AH61" i="20" a="1"/>
  <c r="D66" i="20" a="1"/>
  <c r="AE53" i="20" a="1"/>
  <c r="W48" i="20" a="1"/>
  <c r="AK42" i="20" a="1"/>
  <c r="AE39" i="20" a="1"/>
  <c r="Y39" i="20" a="1"/>
  <c r="G45" i="20" a="1"/>
  <c r="AC66" i="20" a="1"/>
  <c r="B6" i="43" a="1"/>
  <c r="X39" i="20" a="1"/>
  <c r="AK46" i="20" a="1"/>
  <c r="J38" i="20" a="1"/>
  <c r="F63" i="20" a="1"/>
  <c r="AI46" i="20" a="1"/>
  <c r="AJ38" i="20" a="1"/>
  <c r="Z82" i="20" a="1"/>
  <c r="AE64" i="20" a="1"/>
  <c r="AB83" i="20" a="1"/>
  <c r="Z68" i="20" a="1"/>
  <c r="AJ61" i="20" a="1"/>
  <c r="J80" i="20" a="1"/>
  <c r="G58" i="20" a="1"/>
  <c r="AG55" i="20" a="1"/>
  <c r="J84" i="20" a="1"/>
  <c r="G65" i="20" a="1"/>
  <c r="Z41" i="20" a="1"/>
  <c r="B15" i="42" a="1"/>
  <c r="B10" i="40" a="1"/>
  <c r="AM48" i="20" a="1"/>
  <c r="AI51" i="20" a="1"/>
  <c r="W42" i="20" a="1"/>
  <c r="C38" i="37" a="1"/>
  <c r="X56" i="20" a="1"/>
  <c r="AI41" i="20" a="1"/>
  <c r="AD67" i="20" a="1"/>
  <c r="B8" i="43" a="1"/>
  <c r="I49" i="20" a="1"/>
  <c r="E52" i="20" a="1"/>
  <c r="AD64" i="20" a="1"/>
  <c r="AB43" i="20" a="1"/>
  <c r="C8" i="42" a="1"/>
  <c r="AB76" i="20" a="1"/>
  <c r="G85" i="20" a="1"/>
  <c r="D8" i="38" a="1"/>
  <c r="Y73" i="20" a="1"/>
  <c r="AM59" i="20" a="1"/>
  <c r="D4" i="40" a="1"/>
  <c r="AD39" i="20" a="1"/>
  <c r="F60" i="20" a="1"/>
  <c r="X53" i="20" a="1"/>
  <c r="AB51" i="20" a="1"/>
  <c r="AC80" i="20" a="1"/>
  <c r="H58" i="20" a="1"/>
  <c r="D42" i="20" a="1"/>
  <c r="D7" i="25" a="1"/>
  <c r="C7" i="40" a="1"/>
  <c r="I61" i="20" a="1"/>
  <c r="AD81" i="20" a="1"/>
  <c r="B10" i="43" a="1"/>
  <c r="D10" i="42" a="1"/>
  <c r="B13" i="40" a="1"/>
  <c r="AJ86" i="20" a="1"/>
  <c r="AK59" i="20" a="1"/>
  <c r="AM47" i="20" a="1"/>
  <c r="AG73" i="20" a="1"/>
  <c r="Z67" i="20" a="1"/>
  <c r="J85" i="20" a="1"/>
  <c r="B12" i="43" a="1"/>
  <c r="AK38" i="20" a="1"/>
  <c r="Y56" i="20" a="1"/>
  <c r="AE77" i="20" a="1"/>
  <c r="D11" i="40" a="1"/>
  <c r="H82" i="20" a="1"/>
  <c r="H70" i="20" a="1"/>
  <c r="C11" i="40" a="1"/>
  <c r="AD78" i="20" a="1"/>
  <c r="AF78" i="20" a="1"/>
  <c r="W41" i="20" a="1"/>
  <c r="Y68" i="20" a="1"/>
  <c r="AK79" i="20" a="1"/>
  <c r="X83" i="20" a="1"/>
  <c r="AC40" i="20" a="1"/>
  <c r="AC65" i="20" a="1"/>
  <c r="AA46" i="20" a="1"/>
  <c r="G40" i="20" a="1"/>
  <c r="I54" i="20" a="1"/>
  <c r="F46" i="20" a="1"/>
  <c r="Z76" i="20" a="1"/>
  <c r="AG83" i="20" a="1"/>
  <c r="C12" i="41" a="1"/>
  <c r="D9" i="38" a="1"/>
  <c r="F68" i="20" a="1"/>
  <c r="H2" i="22" a="1"/>
  <c r="AJ58" i="20" a="1"/>
  <c r="AD53" i="20" a="1"/>
  <c r="AC70" i="20" a="1"/>
  <c r="AE79" i="20" a="1"/>
  <c r="X79" i="20" a="1"/>
  <c r="Z57" i="20" a="1"/>
  <c r="J53" i="20" a="1"/>
  <c r="AE75" i="20" a="1"/>
  <c r="J74" i="20" a="1"/>
  <c r="AE38" i="20" a="1"/>
  <c r="G59" i="20" a="1"/>
  <c r="AG41" i="20" a="1"/>
  <c r="AH84" i="20" a="1"/>
  <c r="AF74" i="20" a="1"/>
  <c r="AM70" i="20" a="1"/>
  <c r="B15" i="38" a="1"/>
  <c r="X76" i="20" a="1"/>
  <c r="C10" i="40" a="1"/>
  <c r="AL85" i="20" a="1"/>
  <c r="AF64" i="20" a="1"/>
  <c r="B4" i="43" a="1"/>
  <c r="AA58" i="20" a="1"/>
  <c r="AM53" i="20" a="1"/>
  <c r="AJ72" i="20" a="1"/>
  <c r="AA42" i="20" a="1"/>
  <c r="J83" i="20" a="1"/>
  <c r="D20" i="38" a="1"/>
  <c r="E73" i="20" a="1"/>
  <c r="AF85" i="20" a="1"/>
  <c r="W47" i="20" a="1"/>
  <c r="AL46" i="20" a="1"/>
  <c r="AG85" i="20" a="1"/>
  <c r="J41" i="20" a="1"/>
  <c r="AE56" i="20" a="1"/>
  <c r="AB79" i="20" a="1"/>
  <c r="AA69" i="20" a="1"/>
  <c r="AL47" i="20" a="1"/>
  <c r="AB48" i="20" a="1"/>
  <c r="A56" i="30" a="1"/>
  <c r="B25" i="20" a="1"/>
  <c r="X48" i="20" a="1"/>
  <c r="D7" i="42" a="1"/>
  <c r="I47" i="20" a="1"/>
  <c r="K81" i="20" a="1"/>
  <c r="Y60" i="20" a="1"/>
  <c r="Z81" i="20" a="1"/>
  <c r="F70" i="20" a="1"/>
  <c r="H72" i="20" a="1"/>
  <c r="AB47" i="20" a="1"/>
  <c r="AF44" i="20" a="1"/>
  <c r="AJ55" i="20" a="1"/>
  <c r="X42" i="20" a="1"/>
  <c r="H2" i="24" a="1"/>
  <c r="D77" i="20" a="1"/>
  <c r="F51" i="20" a="1"/>
  <c r="AM81" i="20" a="1"/>
  <c r="Y65" i="20" a="1"/>
  <c r="W84" i="20" a="1"/>
  <c r="AJ68" i="20" a="1"/>
  <c r="AL58" i="20" a="1"/>
  <c r="AI65" i="20" a="1"/>
  <c r="AA62" i="20" a="1"/>
  <c r="AE54" i="20" a="1"/>
  <c r="B17" i="38" a="1"/>
  <c r="AM82" i="20" a="1"/>
  <c r="Z59" i="20" a="1"/>
  <c r="AB82" i="20" a="1"/>
  <c r="F49" i="20" a="1"/>
  <c r="AJ75" i="20" a="1"/>
  <c r="D58" i="20" a="1"/>
  <c r="AI82" i="20" a="1"/>
  <c r="AF69" i="20" a="1"/>
  <c r="J87" i="20" a="1"/>
  <c r="D87" i="20" a="1"/>
  <c r="AH49" i="20" a="1"/>
  <c r="AB74" i="20" a="1"/>
  <c r="E70" i="20" a="1"/>
  <c r="W62" i="20" a="1"/>
  <c r="K57" i="20" a="1"/>
  <c r="AM67" i="20" a="1"/>
  <c r="Z47" i="20" a="1"/>
  <c r="J56" i="20" a="1"/>
  <c r="AK74" i="20" a="1"/>
  <c r="AD50" i="20" a="1"/>
  <c r="W64" i="20" a="1"/>
  <c r="Z75" i="20" a="1"/>
  <c r="AD72" i="20" a="1"/>
  <c r="G56" i="20" a="1"/>
  <c r="AM41" i="20" a="1"/>
  <c r="AD60" i="20" a="1"/>
  <c r="AA81" i="20" a="1"/>
  <c r="D11" i="41" a="1"/>
  <c r="E39" i="20" a="1"/>
  <c r="AA85" i="20" a="1"/>
  <c r="C12" i="38" a="1"/>
  <c r="D73" i="20" a="1"/>
  <c r="Z86" i="20" a="1"/>
  <c r="AD47" i="20" a="1"/>
  <c r="AI79" i="20" a="1"/>
  <c r="AC68" i="20" a="1"/>
  <c r="I59" i="20" a="1"/>
  <c r="AE73" i="20" a="1"/>
  <c r="AM42" i="20" a="1"/>
  <c r="B9" i="40" a="1"/>
  <c r="X74" i="20" a="1"/>
  <c r="AG65" i="20" a="1"/>
  <c r="F67" i="20" a="1"/>
  <c r="J82" i="20" a="1"/>
  <c r="Y77" i="20" a="1"/>
  <c r="H57" i="20" a="1"/>
  <c r="AG52" i="20" a="1"/>
  <c r="AM45" i="20" a="1"/>
  <c r="AD76" i="20" a="1"/>
  <c r="H43" i="20" a="1"/>
  <c r="C34" i="24" a="1"/>
  <c r="AM76" i="20" a="1"/>
  <c r="C20" i="38" a="1"/>
  <c r="AD61" i="20" a="1"/>
  <c r="AB60" i="20" a="1"/>
  <c r="C10" i="43" a="1"/>
  <c r="AH81" i="20" a="1"/>
  <c r="C15" i="38" a="1"/>
  <c r="AM66" i="20" a="1"/>
  <c r="J67" i="20" a="1"/>
  <c r="G49" i="20" a="1"/>
  <c r="AD84" i="20" a="1"/>
  <c r="B12" i="42" a="1"/>
  <c r="AJ56" i="20" a="1"/>
  <c r="G87" i="20" a="1"/>
  <c r="J86" i="20" a="1"/>
  <c r="F57" i="20" a="1"/>
  <c r="AI47" i="20" a="1"/>
  <c r="AI62" i="20" a="1"/>
  <c r="AJ62" i="20" a="1"/>
  <c r="G84" i="20" a="1"/>
  <c r="AC53" i="20" a="1"/>
  <c r="I72" i="20" a="1"/>
  <c r="AH45" i="20" a="1"/>
  <c r="AC69" i="20" a="1"/>
  <c r="AB44" i="20" a="1"/>
  <c r="C27" i="24" a="1"/>
  <c r="AF45" i="20" a="1"/>
  <c r="E83" i="20" a="1"/>
  <c r="H84" i="20" a="1"/>
  <c r="AC58" i="20" a="1"/>
  <c r="AH68" i="20" a="1"/>
  <c r="K79" i="20" a="1"/>
  <c r="C15" i="40" a="1"/>
  <c r="E48" i="20" a="1"/>
  <c r="AC48" i="20" a="1"/>
  <c r="AA48" i="20" a="1"/>
  <c r="W52" i="20" a="1"/>
  <c r="J51" i="20" a="1"/>
  <c r="AB46" i="20" a="1"/>
  <c r="AD83" i="20" a="1"/>
  <c r="H45" i="20" a="1"/>
  <c r="D85" i="20" a="1"/>
  <c r="H62" i="20" a="1"/>
  <c r="I75" i="20" a="1"/>
  <c r="F6" i="25" a="1"/>
  <c r="D6" i="25" a="1"/>
  <c r="D8" i="43" a="1"/>
  <c r="F42" i="20" a="1"/>
  <c r="B9" i="43" a="1"/>
  <c r="AF65" i="20" a="1"/>
  <c r="AA73" i="20" a="1"/>
  <c r="AC71" i="20" a="1"/>
  <c r="F81" i="20" a="1"/>
  <c r="Y80" i="20" a="1"/>
  <c r="K38" i="20" a="1"/>
  <c r="K61" i="20" a="1"/>
  <c r="D11" i="38" a="1"/>
  <c r="C5" i="25" a="1"/>
  <c r="D4" i="38" a="1"/>
  <c r="Z80" i="20" a="1"/>
  <c r="D62" i="20" a="1"/>
  <c r="AE78" i="20" a="1"/>
  <c r="G7" i="25" a="1"/>
  <c r="W38" i="20" a="1"/>
  <c r="I39" i="20" a="1"/>
  <c r="AJ52" i="20" a="1"/>
  <c r="AB52" i="20" a="1"/>
  <c r="AB54" i="20" a="1"/>
  <c r="H54" i="20" a="1"/>
  <c r="AC44" i="20" a="1"/>
  <c r="AF62" i="20" a="1"/>
  <c r="H7" i="25" a="1"/>
  <c r="AG74" i="20" a="1"/>
  <c r="AL68" i="20" a="1"/>
  <c r="AJ59" i="20" a="1"/>
  <c r="I45" i="20" a="1"/>
  <c r="AL75" i="20" a="1"/>
  <c r="H65" i="20" a="1"/>
  <c r="AH77" i="20" a="1"/>
  <c r="D50" i="20" a="1"/>
  <c r="D7" i="40" a="1"/>
  <c r="D5" i="25" a="1"/>
  <c r="Z42" i="20" a="1"/>
  <c r="Y84" i="20" a="1"/>
  <c r="B5" i="25" a="1"/>
  <c r="D81" i="20" a="1"/>
  <c r="AI67" i="20" a="1"/>
  <c r="AF49" i="20" a="1"/>
  <c r="AE45" i="20" a="1"/>
  <c r="K58" i="20" a="1"/>
  <c r="D76" i="20" a="1"/>
  <c r="D74" i="20" a="1"/>
  <c r="Y45" i="20" a="1"/>
  <c r="Z49" i="20" a="1"/>
  <c r="AG81" i="20" a="1"/>
  <c r="Z39" i="20" a="1"/>
  <c r="I46" i="20" a="1"/>
  <c r="W76" i="20" a="1"/>
  <c r="Y76" i="20" a="1"/>
  <c r="AC75" i="20" a="1"/>
  <c r="F7" i="25" a="1"/>
  <c r="AH53" i="20" a="1"/>
  <c r="Y58" i="20" a="1"/>
  <c r="B8" i="38" a="1"/>
  <c r="F53" i="20" a="1"/>
  <c r="AK52" i="20" a="1"/>
  <c r="AJ63" i="20" a="1"/>
  <c r="Z60" i="20" a="1"/>
  <c r="X49" i="20" a="1"/>
  <c r="AD59" i="20" a="1"/>
  <c r="AC72" i="20" a="1"/>
  <c r="G39" i="20" a="1"/>
  <c r="AF52" i="20" a="1"/>
  <c r="AC57" i="20" a="1"/>
  <c r="W55" i="20" a="1"/>
  <c r="AH57" i="20" a="1"/>
  <c r="AB62" i="20" a="1"/>
  <c r="H71" i="20" a="1"/>
  <c r="B5" i="42" a="1"/>
  <c r="AF67" i="20" a="1"/>
  <c r="X46" i="20" a="1"/>
  <c r="C9" i="38" a="1"/>
  <c r="AI50" i="20" a="1"/>
  <c r="H78" i="20" a="1"/>
  <c r="AL56" i="20" a="1"/>
  <c r="K55" i="20" a="1"/>
  <c r="AC45" i="20" a="1"/>
  <c r="AH60" i="20" a="1"/>
  <c r="AM52" i="20" a="1"/>
  <c r="G66" i="20" a="1"/>
  <c r="F45" i="20" a="1"/>
  <c r="AL72" i="20" a="1"/>
  <c r="AK72" i="20" a="1"/>
  <c r="C7" i="41" a="1"/>
  <c r="X38" i="20" a="1"/>
  <c r="H6" i="25" a="1"/>
  <c r="AB49" i="20" a="1"/>
  <c r="AB73" i="20" a="1"/>
  <c r="AL74" i="20" a="1"/>
  <c r="AC42" i="20" a="1"/>
  <c r="AB39" i="20" a="1"/>
  <c r="AC74" i="20" a="1"/>
  <c r="AK85" i="20" a="1"/>
  <c r="K80" i="20" a="1"/>
  <c r="AI71" i="20" a="1"/>
  <c r="AE47" i="20" a="1"/>
  <c r="H69" i="20" a="1"/>
  <c r="Y52" i="20" a="1"/>
  <c r="J48" i="20" a="1"/>
  <c r="J49" i="20" a="1"/>
  <c r="C14" i="40" a="1"/>
  <c r="AH42" i="20" a="1"/>
  <c r="K59" i="20" a="1"/>
  <c r="AF40" i="20" a="1"/>
  <c r="E42" i="20" a="1"/>
  <c r="C12" i="43" a="1"/>
  <c r="C9" i="40" a="1"/>
  <c r="D8" i="25" a="1"/>
  <c r="D16" i="40" a="1"/>
  <c r="B16" i="42" a="1"/>
  <c r="AH70" i="20" a="1"/>
  <c r="C2" i="22" a="1"/>
  <c r="AI66" i="20" a="1"/>
  <c r="H48" i="20" a="1"/>
  <c r="AB42" i="20" a="1"/>
  <c r="AH74" i="20" a="1"/>
  <c r="C9" i="41" a="1"/>
  <c r="AA44" i="20" a="1"/>
  <c r="D10" i="43" a="1"/>
  <c r="AM51" i="20" a="1"/>
  <c r="AK77" i="20" a="1"/>
  <c r="AI54" i="20" a="1"/>
  <c r="F8" i="25" a="1"/>
  <c r="AF71" i="20" a="1"/>
  <c r="X64" i="20" a="1"/>
  <c r="AD73" i="20" a="1"/>
  <c r="I38" i="20" a="1"/>
  <c r="AK81" i="20" a="1"/>
  <c r="D67" i="20" a="1"/>
  <c r="D56" i="20" a="1"/>
  <c r="AK47" i="20" a="1"/>
  <c r="F52" i="20" a="1"/>
  <c r="J76" i="20" a="1"/>
  <c r="G75" i="20" a="1"/>
  <c r="F48" i="20" a="1"/>
  <c r="D52" i="20" a="1"/>
  <c r="AE83" i="20" a="1"/>
  <c r="AC61" i="20" a="1"/>
  <c r="AG61" i="20" a="1"/>
  <c r="H5" i="25" a="1"/>
  <c r="C8" i="38" a="1"/>
  <c r="X61" i="20" a="1"/>
  <c r="AL77" i="20" a="1"/>
  <c r="AI40" i="20" a="1"/>
  <c r="AG54" i="20" a="1"/>
  <c r="Y42" i="20" a="1"/>
  <c r="G86" i="20" a="1"/>
  <c r="AF60" i="20" a="1"/>
  <c r="D15" i="41" a="1"/>
  <c r="AH63" i="20" a="1"/>
  <c r="AB84" i="20" a="1"/>
  <c r="B8" i="40" a="1"/>
  <c r="AK84" i="20" a="1"/>
  <c r="AA65" i="20" a="1"/>
  <c r="C8" i="40" a="1"/>
  <c r="AC76" i="20" a="1"/>
  <c r="D41" i="20" a="1"/>
  <c r="AL62" i="20" a="1"/>
  <c r="AI80" i="20" a="1"/>
  <c r="J47" i="20" a="1"/>
  <c r="D6" i="43" a="1"/>
  <c r="D14" i="38" a="1"/>
  <c r="E2" i="22" a="1"/>
  <c r="AG70" i="20" a="1"/>
  <c r="AK57" i="20" a="1"/>
  <c r="B11" i="42" a="1"/>
  <c r="X47" i="20" a="1"/>
  <c r="AD85" i="20" a="1"/>
  <c r="D79" i="20" a="1"/>
  <c r="D14" i="42" a="1"/>
  <c r="AF61" i="20" a="1"/>
  <c r="AD41" i="20" a="1"/>
  <c r="AD68" i="20" a="1"/>
  <c r="AH79" i="20" a="1"/>
  <c r="D8" i="41" a="1"/>
  <c r="AK73" i="20" a="1"/>
  <c r="AK50" i="20" a="1"/>
  <c r="H79" i="20" a="1"/>
  <c r="AD63" i="20" a="1"/>
  <c r="C14" i="41" a="1"/>
  <c r="K82" i="20" a="1"/>
  <c r="AC50" i="20" a="1"/>
  <c r="AA66" i="20" a="1"/>
  <c r="D7" i="41" a="1"/>
  <c r="D70" i="20" a="1"/>
  <c r="Y62" i="20" a="1"/>
  <c r="C9" i="25" a="1"/>
  <c r="G9" i="25" a="1"/>
  <c r="C16" i="43" a="1"/>
  <c r="D16" i="43" a="1"/>
  <c r="Z70" i="20" a="1"/>
  <c r="AJ44" i="20" a="1"/>
  <c r="Z43" i="20" a="1"/>
  <c r="AJ85" i="20" a="1"/>
  <c r="J65" i="20" a="1"/>
  <c r="J64" i="20" a="1"/>
  <c r="AB58" i="20" a="1"/>
  <c r="F58" i="20" a="1"/>
  <c r="F79" i="20" a="1"/>
  <c r="AJ66" i="20" a="1"/>
  <c r="E50" i="20" a="1"/>
  <c r="A56" i="29" a="1"/>
  <c r="G71" i="20" a="1"/>
  <c r="Y83" i="20" a="1"/>
  <c r="D59" i="20" a="1"/>
  <c r="G2" i="22" a="1"/>
  <c r="H51" i="20" a="1"/>
  <c r="A56" i="19" a="1"/>
  <c r="AH41" i="20" a="1"/>
  <c r="W67" i="20" a="1"/>
  <c r="AM83" i="20" a="1"/>
  <c r="F5" i="25" a="1"/>
  <c r="AI86" i="20" a="1"/>
  <c r="AK61" i="20" a="1"/>
  <c r="AH80" i="20" a="1"/>
  <c r="AF80" i="20" a="1"/>
  <c r="E38" i="20" a="1"/>
  <c r="Y50" i="20" a="1"/>
  <c r="AF42" i="20" a="1"/>
  <c r="K43" i="20" a="1"/>
  <c r="B4" i="41" a="1"/>
  <c r="AF72" i="20" a="1"/>
  <c r="J79" i="20" a="1"/>
  <c r="C5" i="41" a="1"/>
  <c r="K66" i="20" a="1"/>
  <c r="AD69" i="20" a="1"/>
  <c r="G83" i="20" a="1"/>
  <c r="G8" i="25" a="1"/>
  <c r="AK70" i="20" a="1"/>
  <c r="AF53" i="20" a="1"/>
  <c r="AJ79" i="20" a="1"/>
  <c r="C8" i="43" a="1"/>
  <c r="D15" i="43" a="1"/>
  <c r="G62" i="20" a="1"/>
  <c r="D86" i="20" a="1"/>
  <c r="C4" i="42" a="1"/>
  <c r="AI43" i="20" a="1"/>
  <c r="W68" i="20" a="1"/>
  <c r="D75" i="20" a="1"/>
  <c r="E56" i="20" a="1"/>
  <c r="AJ60" i="20" a="1"/>
  <c r="W39" i="20" a="1"/>
  <c r="AE68" i="20" a="1"/>
  <c r="Y85" i="20" a="1"/>
  <c r="Y86" i="20" a="1"/>
  <c r="AD52" i="20" a="1"/>
  <c r="AF75" i="20" a="1"/>
  <c r="AI76" i="20" a="1"/>
  <c r="AM38" i="20" a="1"/>
  <c r="AE51" i="20" a="1"/>
  <c r="C7" i="25" a="1"/>
  <c r="AE63" i="20" a="1"/>
  <c r="I57" i="20" a="1"/>
  <c r="K74" i="20" a="1"/>
  <c r="AD77" i="20" a="1"/>
  <c r="AJ45" i="20" a="1"/>
  <c r="AG59" i="20" a="1"/>
  <c r="G48" i="20" a="1"/>
  <c r="AB72" i="20" a="1"/>
  <c r="H86" i="20" a="1"/>
  <c r="D69" i="20" a="1"/>
  <c r="Z44" i="20" a="1"/>
  <c r="AD49" i="20" a="1"/>
  <c r="H9" i="25" a="1"/>
  <c r="AI39" i="20" a="1"/>
  <c r="Z69" i="20" a="1"/>
  <c r="D9" i="25" a="1"/>
  <c r="B16" i="40" a="1"/>
  <c r="F9" i="25" a="1"/>
  <c r="AJ65" i="20" a="1"/>
  <c r="AD43" i="20" a="1"/>
  <c r="Y44" i="20" a="1"/>
  <c r="F76" i="20" a="1"/>
  <c r="AI42" i="20" a="1"/>
  <c r="B15" i="41" a="1"/>
  <c r="H50" i="20" a="1"/>
  <c r="C16" i="41" a="1"/>
  <c r="AK53" i="20" a="1"/>
  <c r="D16" i="42" a="1"/>
  <c r="AG67" i="20" a="1"/>
  <c r="AC78" i="20" a="1"/>
  <c r="K76" i="20" a="1"/>
  <c r="E58" i="20" a="1"/>
  <c r="X66" i="20" a="1"/>
  <c r="D12" i="38" a="1"/>
  <c r="D12" i="40" a="1"/>
  <c r="B5" i="41" a="1"/>
  <c r="D47" i="20" a="1"/>
  <c r="AL69" i="20" a="1"/>
  <c r="H80" i="20" a="1"/>
  <c r="J60" i="20" a="1"/>
  <c r="AG62" i="20" a="1"/>
  <c r="AC59" i="20" a="1"/>
  <c r="AJ42" i="20" a="1"/>
  <c r="X73" i="20" a="1"/>
  <c r="W75" i="20" a="1"/>
  <c r="AE57" i="20" a="1"/>
  <c r="Z83" i="20" a="1"/>
  <c r="AA43" i="20" a="1"/>
  <c r="F55" i="20" a="1"/>
  <c r="D6" i="42" a="1"/>
  <c r="AE52" i="20" a="1"/>
  <c r="J63" i="20" a="1"/>
  <c r="AM69" i="20" a="1"/>
  <c r="AB56" i="20" a="1"/>
  <c r="AC60" i="20" a="1"/>
  <c r="H76" i="20" a="1"/>
  <c r="AA75" i="20" a="1"/>
  <c r="AI73" i="20" a="1"/>
  <c r="AJ71" i="20" a="1"/>
  <c r="I67" i="20" a="1"/>
  <c r="AA59" i="20" a="1"/>
  <c r="K51" i="20" a="1"/>
  <c r="E72" i="20" a="1"/>
  <c r="AH62" i="20" a="1"/>
  <c r="AJ73" i="20" a="1"/>
  <c r="G52" i="20" a="1"/>
  <c r="AK78" i="20" a="1"/>
  <c r="J57" i="20" a="1"/>
  <c r="Y49" i="20" a="1"/>
  <c r="H75" i="20" a="1"/>
  <c r="W77" i="20" a="1"/>
  <c r="I56" i="20" a="1"/>
  <c r="AF86" i="20" a="1"/>
  <c r="AH76" i="20" a="1"/>
  <c r="Z63" i="20" a="1"/>
  <c r="J44" i="20" a="1"/>
  <c r="AF39" i="20" a="1"/>
  <c r="C25" i="37" a="1"/>
  <c r="AA63" i="20" a="1"/>
  <c r="H46" i="20" a="1"/>
  <c r="AD70" i="20" a="1"/>
  <c r="G64" i="20" a="1"/>
  <c r="J66" i="20" a="1"/>
  <c r="AK39" i="20" a="1"/>
  <c r="AF57" i="20" a="1"/>
  <c r="Z61" i="20" a="1"/>
  <c r="I62" i="20" a="1"/>
  <c r="AG53" i="20" a="1"/>
  <c r="AG48" i="20" a="1"/>
  <c r="AI56" i="20" a="1"/>
  <c r="AL79" i="20" a="1"/>
  <c r="D9" i="43" a="1"/>
  <c r="C11" i="41" a="1"/>
  <c r="AL49" i="20" a="1"/>
  <c r="AL84" i="20" a="1"/>
  <c r="D14" i="40" a="1"/>
  <c r="I51" i="20" a="1"/>
  <c r="W65" i="20" a="1"/>
  <c r="W50" i="20" a="1"/>
  <c r="D43" i="20" a="1"/>
  <c r="AL64" i="20" a="1"/>
  <c r="D17" i="38" a="1"/>
  <c r="Y81" i="20" a="1"/>
  <c r="Y59" i="20" a="1"/>
  <c r="AJ48" i="20" a="1"/>
  <c r="C16" i="40" a="1"/>
  <c r="C16" i="42" a="1"/>
  <c r="B6" i="38" a="1"/>
  <c r="D16" i="41" a="1"/>
  <c r="C24" i="37" a="1"/>
  <c r="E9" i="25" a="1"/>
  <c r="AH69" i="20" a="1"/>
  <c r="AC85" i="20" a="1"/>
  <c r="E46" i="20" a="1"/>
  <c r="AJ74" i="20" a="1"/>
  <c r="B12" i="38" a="1"/>
  <c r="I76" i="20" a="1"/>
  <c r="W73" i="20" a="1"/>
  <c r="AA49" i="20" a="1"/>
  <c r="AL45" i="20" a="1"/>
  <c r="AG78" i="20" a="1"/>
  <c r="AA67" i="20" a="1"/>
  <c r="AB63" i="20" a="1"/>
  <c r="B13" i="43" a="1"/>
  <c r="F84" i="20" a="1"/>
  <c r="W86" i="20" a="1"/>
  <c r="AB57" i="20" a="1"/>
  <c r="AC49" i="20" a="1"/>
  <c r="AK71" i="20" a="1"/>
  <c r="AM54" i="20" a="1"/>
  <c r="AC63" i="20" a="1"/>
  <c r="AH52" i="20" a="1"/>
  <c r="AB50" i="20" a="1"/>
  <c r="B15" i="43" a="1"/>
  <c r="H49" i="20" a="1"/>
  <c r="AM86" i="20" a="1"/>
  <c r="H52" i="20" a="1"/>
  <c r="C15" i="43" a="1"/>
  <c r="AE61" i="20" a="1"/>
  <c r="C4" i="41" a="1"/>
  <c r="D40" i="20" a="1"/>
  <c r="F28" i="20"/>
  <c r="Y47" i="20" a="1"/>
  <c r="AA79" i="20" a="1"/>
  <c r="I52" i="20" a="1"/>
  <c r="AJ51" i="20" a="1"/>
  <c r="H63" i="20" a="1"/>
  <c r="AC43" i="20" a="1"/>
  <c r="X69" i="20" a="1"/>
  <c r="AA60" i="20" a="1"/>
  <c r="AB65" i="20" a="1"/>
  <c r="AD86" i="20" a="1"/>
  <c r="AB71" i="20" a="1"/>
  <c r="F47" i="20" a="1"/>
  <c r="AA71" i="20" a="1"/>
  <c r="AF79" i="20" a="1"/>
  <c r="AC83" i="20" a="1"/>
  <c r="Y57" i="20" a="1"/>
  <c r="Z77" i="20" a="1"/>
  <c r="I53" i="20" a="1"/>
  <c r="B10" i="41" a="1"/>
  <c r="AD40" i="20" a="1"/>
  <c r="Y66" i="20" a="1"/>
  <c r="J72" i="20" a="1"/>
  <c r="AK82" i="20" a="1"/>
  <c r="D54" i="20" a="1"/>
  <c r="AA61" i="20" a="1"/>
  <c r="G78" i="20" a="1"/>
  <c r="D14" i="41" a="1"/>
  <c r="G50" i="20" a="1"/>
  <c r="Y54" i="20" a="1"/>
  <c r="AA84" i="20" a="1"/>
  <c r="AC41" i="20" a="1"/>
  <c r="AE44" i="20" a="1"/>
  <c r="AD58" i="20" a="1"/>
  <c r="B14" i="42" a="1"/>
  <c r="H85" i="20" a="1"/>
  <c r="F50" i="20" a="1"/>
  <c r="Y38" i="20" a="1"/>
  <c r="G68" i="20" a="1"/>
  <c r="H55" i="20" a="1"/>
  <c r="D10" i="38" a="1"/>
  <c r="D11" i="43" a="1"/>
  <c r="C15" i="41" a="1"/>
  <c r="AK40" i="20" a="1"/>
  <c r="B8" i="25" a="1"/>
  <c r="B16" i="43" a="1"/>
  <c r="D10" i="40" a="1"/>
  <c r="AA40" i="20" a="1"/>
  <c r="AM78" i="20" a="1"/>
  <c r="B9" i="25" a="1"/>
  <c r="AK49" i="20" a="1"/>
  <c r="AG47" i="20" a="1"/>
  <c r="E55" i="20" a="1"/>
  <c r="C14" i="43" a="1"/>
  <c r="B12" i="41" a="1"/>
  <c r="E49" i="20" a="1"/>
  <c r="D71" i="20" a="1"/>
  <c r="AM73" i="20" a="1"/>
  <c r="W70" i="20" a="1"/>
  <c r="AL78" i="20" a="1"/>
  <c r="D15" i="42" a="1"/>
  <c r="B13" i="42" a="1"/>
  <c r="D84" i="20" a="1"/>
  <c r="AL51" i="20" a="1"/>
  <c r="I60" i="20" a="1"/>
  <c r="AB61" i="20" a="1"/>
  <c r="AF59" i="20" a="1"/>
  <c r="AJ69" i="20" a="1"/>
  <c r="AC86" i="20" a="1"/>
  <c r="Z46" i="20" a="1"/>
  <c r="AF58" i="20" a="1"/>
  <c r="AI45" i="20" a="1"/>
  <c r="C13" i="41" a="1"/>
  <c r="E76" i="20" a="1"/>
  <c r="AM74" i="20" a="1"/>
  <c r="AC54" i="20" a="1"/>
  <c r="G76" i="20" a="1"/>
  <c r="X67" i="20" a="1"/>
  <c r="X45" i="20" a="1"/>
  <c r="AE59" i="20" a="1"/>
  <c r="AJ76" i="20" a="1"/>
  <c r="AC47" i="20" a="1"/>
  <c r="W44" i="20" a="1"/>
  <c r="J55" i="20" a="1"/>
  <c r="F41" i="20" a="1"/>
  <c r="W80" i="20" a="1"/>
  <c r="AA50" i="20" a="1"/>
  <c r="B4" i="38" a="1"/>
  <c r="K64" i="20" a="1"/>
  <c r="AA76" i="20" a="1"/>
  <c r="B14" i="40" a="1"/>
  <c r="C35" i="37" a="1"/>
  <c r="AG79" i="20" a="1"/>
  <c r="X60" i="20" a="1"/>
  <c r="F71" i="20" a="1"/>
  <c r="D9" i="42" a="1"/>
  <c r="X77" i="20" a="1"/>
  <c r="AF41" i="20" a="1"/>
  <c r="D15" i="38" a="1"/>
  <c r="Y64" i="20" a="1"/>
  <c r="B4" i="25" a="1"/>
  <c r="J62" i="20" a="1"/>
  <c r="J81" i="20" a="1"/>
  <c r="AF54" i="20" a="1"/>
  <c r="I66" i="20" a="1"/>
  <c r="AC46" i="20" a="1"/>
  <c r="H40" i="20" a="1"/>
  <c r="B18" i="38" a="1"/>
  <c r="AH40" i="20" a="1"/>
  <c r="C11" i="42" a="1"/>
  <c r="AG86" i="20" a="1"/>
  <c r="X84" i="20" a="1"/>
  <c r="AF51" i="20" a="1"/>
  <c r="AL70" i="20" a="1"/>
  <c r="B12" i="40" a="1"/>
  <c r="E77" i="20" a="1"/>
  <c r="W59" i="20" a="1"/>
  <c r="AG71" i="20" a="1"/>
  <c r="Y71" i="20" a="1"/>
  <c r="I40" i="20" a="1"/>
  <c r="AM84" i="20" a="1"/>
  <c r="C6" i="41" a="1"/>
  <c r="G63" i="20" a="1"/>
  <c r="E8" i="25" a="1"/>
  <c r="AC51" i="20" a="1"/>
  <c r="D10" i="25" a="1"/>
  <c r="I84" i="20" a="1"/>
  <c r="AF81" i="20" a="1"/>
  <c r="I71" i="20" a="1"/>
  <c r="W51" i="20" a="1"/>
  <c r="E5" i="25" a="1"/>
  <c r="B13" i="41" a="1"/>
  <c r="G6" i="25" a="1"/>
  <c r="I41" i="20" a="1"/>
  <c r="K69" i="20" a="1"/>
  <c r="X72" i="20" a="1"/>
  <c r="Z79" i="20" a="1"/>
  <c r="D13" i="40" a="1"/>
  <c r="C12" i="42" a="1"/>
  <c r="Y79" i="20" a="1"/>
  <c r="X44" i="20" a="1"/>
  <c r="F69" i="20" a="1"/>
  <c r="AL48" i="20" a="1"/>
  <c r="AL50" i="20" a="1"/>
  <c r="W45" i="20" a="1"/>
  <c r="X68" i="20" a="1"/>
  <c r="E78" i="20" a="1"/>
  <c r="AD44" i="20" a="1"/>
  <c r="C23" i="38" a="1"/>
  <c r="AL63" i="20" a="1"/>
  <c r="AA72" i="20" a="1"/>
  <c r="AD57" i="20" a="1"/>
  <c r="AA54" i="20" a="1"/>
  <c r="W66" i="20" a="1"/>
  <c r="W49" i="20" a="1"/>
  <c r="G61" i="20" a="1"/>
  <c r="K72" i="20" a="1"/>
  <c r="C13" i="38" a="1"/>
  <c r="E47" i="20" a="1"/>
  <c r="AF73" i="20" a="1"/>
  <c r="AH82" i="20" a="1"/>
  <c r="I80" i="20" a="1"/>
  <c r="D7" i="43" a="1"/>
  <c r="G55" i="20" a="1"/>
  <c r="AE84" i="20" a="1"/>
  <c r="D18" i="38" a="1"/>
  <c r="AL83" i="20" a="1"/>
  <c r="B6" i="42" a="1"/>
  <c r="AG43" i="20" a="1"/>
  <c r="AM65" i="20" a="1"/>
  <c r="AJ70" i="20" a="1"/>
  <c r="AG42" i="20" a="1"/>
  <c r="J50" i="20" a="1"/>
  <c r="K41" i="20" a="1"/>
  <c r="D8" i="42" a="1"/>
  <c r="K68" i="20" a="1"/>
  <c r="AF76" i="20" a="1"/>
  <c r="AD42" i="20" a="1"/>
  <c r="AA82" i="20" a="1"/>
  <c r="AM63" i="20" a="1"/>
  <c r="AM50" i="20" a="1"/>
  <c r="AL40" i="20" a="1"/>
  <c r="AC55" i="20" a="1"/>
  <c r="Y74" i="20" a="1"/>
  <c r="AM75" i="20" a="1"/>
  <c r="D6" i="38" a="1"/>
  <c r="E74" i="20" a="1"/>
  <c r="K50" i="20" a="1"/>
  <c r="W72" i="20" a="1"/>
  <c r="H47" i="20" a="1"/>
  <c r="B7" i="25" a="1"/>
  <c r="AF63" i="20" a="1"/>
  <c r="B16" i="41" a="1"/>
  <c r="G10" i="25" a="1"/>
  <c r="D17" i="41" a="1"/>
  <c r="D17" i="40" a="1"/>
  <c r="B17" i="42" a="1"/>
  <c r="D17" i="42" a="1"/>
  <c r="B17" i="40" a="1"/>
  <c r="B10" i="25" a="1"/>
  <c r="B17" i="41" a="1"/>
  <c r="B17" i="43" a="1"/>
  <c r="C17" i="40" a="1"/>
  <c r="C17" i="43" a="1"/>
  <c r="C10" i="25" a="1"/>
  <c r="H11" i="25" a="1"/>
  <c r="E10" i="25" a="1"/>
  <c r="C17" i="42" a="1"/>
  <c r="H10" i="25" a="1"/>
  <c r="D17" i="43" a="1"/>
  <c r="F10" i="25" a="1"/>
  <c r="C17" i="41" a="1"/>
  <c r="B16" i="41" l="1"/>
  <c r="AF63" i="20"/>
  <c r="B7" i="25"/>
  <c r="H47" i="20"/>
  <c r="W72" i="20"/>
  <c r="K50" i="20"/>
  <c r="E74" i="20"/>
  <c r="D6" i="38"/>
  <c r="AM75" i="20"/>
  <c r="Y74" i="20"/>
  <c r="AC55" i="20"/>
  <c r="AL40" i="20"/>
  <c r="AM50" i="20"/>
  <c r="AM63" i="20"/>
  <c r="AA82" i="20"/>
  <c r="AD42" i="20"/>
  <c r="AF76" i="20"/>
  <c r="K68" i="20"/>
  <c r="D8" i="42"/>
  <c r="K41" i="20"/>
  <c r="J50" i="20"/>
  <c r="AG42" i="20"/>
  <c r="AJ70" i="20"/>
  <c r="AM65" i="20"/>
  <c r="AG43" i="20"/>
  <c r="B6" i="42"/>
  <c r="AL83" i="20"/>
  <c r="D18" i="38"/>
  <c r="AE84" i="20"/>
  <c r="G55" i="20"/>
  <c r="D7" i="43"/>
  <c r="I80" i="20"/>
  <c r="AH82" i="20"/>
  <c r="AF73" i="20"/>
  <c r="E47" i="20"/>
  <c r="C13" i="38"/>
  <c r="K72" i="20"/>
  <c r="G61" i="20"/>
  <c r="W49" i="20"/>
  <c r="W66" i="20"/>
  <c r="AA54" i="20"/>
  <c r="AD57" i="20"/>
  <c r="AA72" i="20"/>
  <c r="AL63" i="20"/>
  <c r="C23" i="38"/>
  <c r="AD44" i="20"/>
  <c r="E78" i="20"/>
  <c r="X68" i="20"/>
  <c r="W45" i="20"/>
  <c r="AL50" i="20"/>
  <c r="AL48" i="20"/>
  <c r="F69" i="20"/>
  <c r="X44" i="20"/>
  <c r="Y79" i="20"/>
  <c r="C12" i="42"/>
  <c r="D13" i="40"/>
  <c r="Z79" i="20"/>
  <c r="X72" i="20"/>
  <c r="K69" i="20"/>
  <c r="I41" i="20"/>
  <c r="G6" i="25"/>
  <c r="B13" i="41"/>
  <c r="E5" i="25"/>
  <c r="W51" i="20"/>
  <c r="I71" i="20"/>
  <c r="AF81" i="20"/>
  <c r="I84" i="20"/>
  <c r="D10" i="25"/>
  <c r="AC51" i="20"/>
  <c r="E8" i="25"/>
  <c r="G63" i="20"/>
  <c r="C6" i="41"/>
  <c r="AM84" i="20"/>
  <c r="I40" i="20"/>
  <c r="Y71" i="20"/>
  <c r="AG71" i="20"/>
  <c r="W59" i="20"/>
  <c r="E77" i="20"/>
  <c r="B12" i="40"/>
  <c r="AL70" i="20"/>
  <c r="AF51" i="20"/>
  <c r="X84" i="20"/>
  <c r="AG86" i="20"/>
  <c r="C11" i="42"/>
  <c r="AH40" i="20"/>
  <c r="B18" i="38"/>
  <c r="H40" i="20"/>
  <c r="AC46" i="20"/>
  <c r="I66" i="20"/>
  <c r="AF54" i="20"/>
  <c r="J81" i="20"/>
  <c r="J62" i="20"/>
  <c r="B4" i="25"/>
  <c r="Y64" i="20"/>
  <c r="D15" i="38"/>
  <c r="AF41" i="20"/>
  <c r="X77" i="20"/>
  <c r="D9" i="42"/>
  <c r="F71" i="20"/>
  <c r="X60" i="20"/>
  <c r="AG79" i="20"/>
  <c r="C35" i="37"/>
  <c r="B14" i="40"/>
  <c r="AA76" i="20"/>
  <c r="K64" i="20"/>
  <c r="B4" i="38"/>
  <c r="AA50" i="20"/>
  <c r="W80" i="20"/>
  <c r="F41" i="20"/>
  <c r="J55" i="20"/>
  <c r="W44" i="20"/>
  <c r="AC47" i="20"/>
  <c r="AJ76" i="20"/>
  <c r="AE59" i="20"/>
  <c r="X45" i="20"/>
  <c r="X67" i="20"/>
  <c r="G76" i="20"/>
  <c r="AC54" i="20"/>
  <c r="AM74" i="20"/>
  <c r="E76" i="20"/>
  <c r="C13" i="41"/>
  <c r="AI45" i="20"/>
  <c r="AF58" i="20"/>
  <c r="Z46" i="20"/>
  <c r="AC86" i="20"/>
  <c r="AJ69" i="20"/>
  <c r="AF59" i="20"/>
  <c r="AB61" i="20"/>
  <c r="I60" i="20"/>
  <c r="AL51" i="20"/>
  <c r="D84" i="20"/>
  <c r="B13" i="42"/>
  <c r="D15" i="42"/>
  <c r="AL78" i="20"/>
  <c r="W70" i="20"/>
  <c r="AM73" i="20"/>
  <c r="D71" i="20"/>
  <c r="E49" i="20"/>
  <c r="B12" i="41"/>
  <c r="C14" i="43"/>
  <c r="E55" i="20"/>
  <c r="AG47" i="20"/>
  <c r="AK49" i="20"/>
  <c r="B9" i="25"/>
  <c r="AM78" i="20"/>
  <c r="AA40" i="20"/>
  <c r="D10" i="40"/>
  <c r="B16" i="43"/>
  <c r="B8" i="25"/>
  <c r="AK40" i="20"/>
  <c r="C15" i="41"/>
  <c r="D11" i="43"/>
  <c r="D10" i="38"/>
  <c r="H55" i="20"/>
  <c r="G68" i="20"/>
  <c r="Y38" i="20"/>
  <c r="F50" i="20"/>
  <c r="H85" i="20"/>
  <c r="B14" i="42"/>
  <c r="AD58" i="20"/>
  <c r="AE44" i="20"/>
  <c r="AC41" i="20"/>
  <c r="AA84" i="20"/>
  <c r="Y54" i="20"/>
  <c r="G50" i="20"/>
  <c r="D14" i="41"/>
  <c r="G78" i="20"/>
  <c r="AA61" i="20"/>
  <c r="D54" i="20"/>
  <c r="AK82" i="20"/>
  <c r="J72" i="20"/>
  <c r="Y66" i="20"/>
  <c r="AD40" i="20"/>
  <c r="B10" i="41"/>
  <c r="I53" i="20"/>
  <c r="Z77" i="20"/>
  <c r="Y57" i="20"/>
  <c r="AC83" i="20"/>
  <c r="AF79" i="20"/>
  <c r="AA71" i="20"/>
  <c r="F47" i="20"/>
  <c r="AB71" i="20"/>
  <c r="AD86" i="20"/>
  <c r="AB65" i="20"/>
  <c r="AA60" i="20"/>
  <c r="X69" i="20"/>
  <c r="AC43" i="20"/>
  <c r="H63" i="20"/>
  <c r="AJ51" i="20"/>
  <c r="I52" i="20"/>
  <c r="AA79" i="20"/>
  <c r="Y47" i="20"/>
  <c r="D40" i="20"/>
  <c r="C4" i="41"/>
  <c r="AE61" i="20"/>
  <c r="C15" i="43"/>
  <c r="H52" i="20"/>
  <c r="AM86" i="20"/>
  <c r="H49" i="20"/>
  <c r="B15" i="43"/>
  <c r="AB50" i="20"/>
  <c r="AH52" i="20"/>
  <c r="AC63" i="20"/>
  <c r="AM54" i="20"/>
  <c r="AK71" i="20"/>
  <c r="AC49" i="20"/>
  <c r="AB57" i="20"/>
  <c r="W86" i="20"/>
  <c r="F84" i="20"/>
  <c r="B13" i="43"/>
  <c r="AB63" i="20"/>
  <c r="AA67" i="20"/>
  <c r="AG78" i="20"/>
  <c r="AL45" i="20"/>
  <c r="AA49" i="20"/>
  <c r="W73" i="20"/>
  <c r="I76" i="20"/>
  <c r="B12" i="38"/>
  <c r="AJ74" i="20"/>
  <c r="E46" i="20"/>
  <c r="AC85" i="20"/>
  <c r="AH69" i="20"/>
  <c r="E9" i="25"/>
  <c r="C24" i="37"/>
  <c r="D16" i="41"/>
  <c r="B6" i="38"/>
  <c r="C16" i="42"/>
  <c r="C16" i="40"/>
  <c r="AJ48" i="20"/>
  <c r="Y59" i="20"/>
  <c r="Y81" i="20"/>
  <c r="D17" i="38"/>
  <c r="AL64" i="20"/>
  <c r="D43" i="20"/>
  <c r="W50" i="20"/>
  <c r="W65" i="20"/>
  <c r="I51" i="20"/>
  <c r="D14" i="40"/>
  <c r="AL84" i="20"/>
  <c r="AL49" i="20"/>
  <c r="C11" i="41"/>
  <c r="D9" i="43"/>
  <c r="AL79" i="20"/>
  <c r="AI56" i="20"/>
  <c r="AG48" i="20"/>
  <c r="AG53" i="20"/>
  <c r="I62" i="20"/>
  <c r="Z61" i="20"/>
  <c r="AF57" i="20"/>
  <c r="AK39" i="20"/>
  <c r="J66" i="20"/>
  <c r="G64" i="20"/>
  <c r="AD70" i="20"/>
  <c r="H46" i="20"/>
  <c r="AA63" i="20"/>
  <c r="C25" i="37"/>
  <c r="AF39" i="20"/>
  <c r="J44" i="20"/>
  <c r="Z63" i="20"/>
  <c r="AH76" i="20"/>
  <c r="AF86" i="20"/>
  <c r="I56" i="20"/>
  <c r="W77" i="20"/>
  <c r="H75" i="20"/>
  <c r="Y49" i="20"/>
  <c r="J57" i="20"/>
  <c r="AK78" i="20"/>
  <c r="G52" i="20"/>
  <c r="AJ73" i="20"/>
  <c r="AH62" i="20"/>
  <c r="E72" i="20"/>
  <c r="K51" i="20"/>
  <c r="AA59" i="20"/>
  <c r="I67" i="20"/>
  <c r="AJ71" i="20"/>
  <c r="AI73" i="20"/>
  <c r="AA75" i="20"/>
  <c r="H76" i="20"/>
  <c r="AC60" i="20"/>
  <c r="AB56" i="20"/>
  <c r="AM69" i="20"/>
  <c r="J63" i="20"/>
  <c r="AE52" i="20"/>
  <c r="D6" i="42"/>
  <c r="F55" i="20"/>
  <c r="AA43" i="20"/>
  <c r="Z83" i="20"/>
  <c r="AE57" i="20"/>
  <c r="W75" i="20"/>
  <c r="X73" i="20"/>
  <c r="AJ42" i="20"/>
  <c r="AC59" i="20"/>
  <c r="AG62" i="20"/>
  <c r="J60" i="20"/>
  <c r="H80" i="20"/>
  <c r="AL69" i="20"/>
  <c r="D47" i="20"/>
  <c r="B5" i="41"/>
  <c r="D12" i="40"/>
  <c r="D12" i="38"/>
  <c r="X66" i="20"/>
  <c r="E58" i="20"/>
  <c r="K76" i="20"/>
  <c r="AC78" i="20"/>
  <c r="AG67" i="20"/>
  <c r="D16" i="42"/>
  <c r="AK53" i="20"/>
  <c r="C16" i="41"/>
  <c r="H50" i="20"/>
  <c r="B15" i="41"/>
  <c r="AI42" i="20"/>
  <c r="F76" i="20"/>
  <c r="Y44" i="20"/>
  <c r="AD43" i="20"/>
  <c r="AJ65" i="20"/>
  <c r="F9" i="25"/>
  <c r="B16" i="40"/>
  <c r="D9" i="25"/>
  <c r="Z69" i="20"/>
  <c r="AI39" i="20"/>
  <c r="H9" i="25"/>
  <c r="AD49" i="20"/>
  <c r="Z44" i="20"/>
  <c r="D69" i="20"/>
  <c r="H86" i="20"/>
  <c r="AB72" i="20"/>
  <c r="G48" i="20"/>
  <c r="AG59" i="20"/>
  <c r="AJ45" i="20"/>
  <c r="AD77" i="20"/>
  <c r="K74" i="20"/>
  <c r="I57" i="20"/>
  <c r="AE63" i="20"/>
  <c r="C7" i="25"/>
  <c r="AE51" i="20"/>
  <c r="AM38" i="20"/>
  <c r="AI76" i="20"/>
  <c r="AF75" i="20"/>
  <c r="AD52" i="20"/>
  <c r="Y86" i="20"/>
  <c r="Y85" i="20"/>
  <c r="AE68" i="20"/>
  <c r="W39" i="20"/>
  <c r="AJ60" i="20"/>
  <c r="E56" i="20"/>
  <c r="D75" i="20"/>
  <c r="W68" i="20"/>
  <c r="AI43" i="20"/>
  <c r="C4" i="42"/>
  <c r="D86" i="20"/>
  <c r="G62" i="20"/>
  <c r="D15" i="43"/>
  <c r="C8" i="43"/>
  <c r="AJ79" i="20"/>
  <c r="AF53" i="20"/>
  <c r="AK70" i="20"/>
  <c r="G8" i="25"/>
  <c r="G83" i="20"/>
  <c r="AD69" i="20"/>
  <c r="K66" i="20"/>
  <c r="C5" i="41"/>
  <c r="J79" i="20"/>
  <c r="AF72" i="20"/>
  <c r="B4" i="41"/>
  <c r="K43" i="20"/>
  <c r="AF42" i="20"/>
  <c r="Y50" i="20"/>
  <c r="E38" i="20"/>
  <c r="AF80" i="20"/>
  <c r="AH80" i="20"/>
  <c r="AK61" i="20"/>
  <c r="AI86" i="20"/>
  <c r="F5" i="25"/>
  <c r="AM83" i="20"/>
  <c r="W67" i="20"/>
  <c r="AH41" i="20"/>
  <c r="A56" i="19"/>
  <c r="H51" i="20"/>
  <c r="G2" i="22"/>
  <c r="N2" i="22" s="1"/>
  <c r="D59" i="20"/>
  <c r="Y83" i="20"/>
  <c r="G71" i="20"/>
  <c r="A56" i="29"/>
  <c r="E50" i="20"/>
  <c r="AJ66" i="20"/>
  <c r="F79" i="20"/>
  <c r="F58" i="20"/>
  <c r="AB58" i="20"/>
  <c r="J64" i="20"/>
  <c r="J65" i="20"/>
  <c r="AJ85" i="20"/>
  <c r="Z43" i="20"/>
  <c r="AJ44" i="20"/>
  <c r="Z70" i="20"/>
  <c r="D16" i="43"/>
  <c r="C16" i="43"/>
  <c r="G9" i="25"/>
  <c r="C9" i="25"/>
  <c r="Y62" i="20"/>
  <c r="D70" i="20"/>
  <c r="D7" i="41"/>
  <c r="AA66" i="20"/>
  <c r="AC50" i="20"/>
  <c r="K82" i="20"/>
  <c r="C14" i="41"/>
  <c r="AD63" i="20"/>
  <c r="H79" i="20"/>
  <c r="AK50" i="20"/>
  <c r="AK73" i="20"/>
  <c r="D8" i="41"/>
  <c r="AH79" i="20"/>
  <c r="AD68" i="20"/>
  <c r="AD41" i="20"/>
  <c r="AF61" i="20"/>
  <c r="D14" i="42"/>
  <c r="D79" i="20"/>
  <c r="AD85" i="20"/>
  <c r="X47" i="20"/>
  <c r="B11" i="42"/>
  <c r="AK57" i="20"/>
  <c r="AG70" i="20"/>
  <c r="E2" i="22"/>
  <c r="L2" i="22" s="1"/>
  <c r="D14" i="38"/>
  <c r="D6" i="43"/>
  <c r="J47" i="20"/>
  <c r="AI80" i="20"/>
  <c r="AL62" i="20"/>
  <c r="D41" i="20"/>
  <c r="AC76" i="20"/>
  <c r="C8" i="40"/>
  <c r="AA65" i="20"/>
  <c r="AK84" i="20"/>
  <c r="B8" i="40"/>
  <c r="AB84" i="20"/>
  <c r="AH63" i="20"/>
  <c r="D15" i="41"/>
  <c r="AF60" i="20"/>
  <c r="G86" i="20"/>
  <c r="Y42" i="20"/>
  <c r="AG54" i="20"/>
  <c r="AI40" i="20"/>
  <c r="AL77" i="20"/>
  <c r="X61" i="20"/>
  <c r="C8" i="38"/>
  <c r="H5" i="25"/>
  <c r="AG61" i="20"/>
  <c r="AC61" i="20"/>
  <c r="AE83" i="20"/>
  <c r="D52" i="20"/>
  <c r="F48" i="20"/>
  <c r="G75" i="20"/>
  <c r="J76" i="20"/>
  <c r="F52" i="20"/>
  <c r="AK47" i="20"/>
  <c r="D56" i="20"/>
  <c r="D67" i="20"/>
  <c r="AK81" i="20"/>
  <c r="I38" i="20"/>
  <c r="AD73" i="20"/>
  <c r="X64" i="20"/>
  <c r="AF71" i="20"/>
  <c r="F8" i="25"/>
  <c r="AI54" i="20"/>
  <c r="AK77" i="20"/>
  <c r="AM51" i="20"/>
  <c r="D10" i="43"/>
  <c r="AA44" i="20"/>
  <c r="C9" i="41"/>
  <c r="AH74" i="20"/>
  <c r="AB42" i="20"/>
  <c r="H48" i="20"/>
  <c r="AI66" i="20"/>
  <c r="C2" i="22"/>
  <c r="J2" i="22" s="1"/>
  <c r="AH70" i="20"/>
  <c r="B16" i="42"/>
  <c r="D16" i="40"/>
  <c r="D8" i="25"/>
  <c r="C9" i="40"/>
  <c r="C12" i="43"/>
  <c r="E42" i="20"/>
  <c r="AF40" i="20"/>
  <c r="K59" i="20"/>
  <c r="AH42" i="20"/>
  <c r="C14" i="40"/>
  <c r="J49" i="20"/>
  <c r="J48" i="20"/>
  <c r="Y52" i="20"/>
  <c r="H69" i="20"/>
  <c r="AE47" i="20"/>
  <c r="AI71" i="20"/>
  <c r="K80" i="20"/>
  <c r="AK85" i="20"/>
  <c r="AC74" i="20"/>
  <c r="AB39" i="20"/>
  <c r="AC42" i="20"/>
  <c r="AL74" i="20"/>
  <c r="AB73" i="20"/>
  <c r="AB49" i="20"/>
  <c r="H6" i="25"/>
  <c r="X38" i="20"/>
  <c r="C7" i="41"/>
  <c r="AK72" i="20"/>
  <c r="AL72" i="20"/>
  <c r="F45" i="20"/>
  <c r="G66" i="20"/>
  <c r="AM52" i="20"/>
  <c r="AH60" i="20"/>
  <c r="AC45" i="20"/>
  <c r="K55" i="20"/>
  <c r="AL56" i="20"/>
  <c r="H78" i="20"/>
  <c r="AI50" i="20"/>
  <c r="C9" i="38"/>
  <c r="X46" i="20"/>
  <c r="AF67" i="20"/>
  <c r="B5" i="42"/>
  <c r="H71" i="20"/>
  <c r="S71" i="20" s="1"/>
  <c r="T71" i="20" s="1"/>
  <c r="AB62" i="20"/>
  <c r="AH57" i="20"/>
  <c r="W55" i="20"/>
  <c r="AC57" i="20"/>
  <c r="AF52" i="20"/>
  <c r="G39" i="20"/>
  <c r="AC72" i="20"/>
  <c r="AD59" i="20"/>
  <c r="X49" i="20"/>
  <c r="Z60" i="20"/>
  <c r="AJ63" i="20"/>
  <c r="AK52" i="20"/>
  <c r="F53" i="20"/>
  <c r="B8" i="38"/>
  <c r="Y58" i="20"/>
  <c r="AH53" i="20"/>
  <c r="F7" i="25"/>
  <c r="AC75" i="20"/>
  <c r="Y76" i="20"/>
  <c r="W76" i="20"/>
  <c r="I46" i="20"/>
  <c r="Z39" i="20"/>
  <c r="AG81" i="20"/>
  <c r="Z49" i="20"/>
  <c r="Y45" i="20"/>
  <c r="D74" i="20"/>
  <c r="D76" i="20"/>
  <c r="K58" i="20"/>
  <c r="AE45" i="20"/>
  <c r="AF49" i="20"/>
  <c r="AI67" i="20"/>
  <c r="D81" i="20"/>
  <c r="B5" i="25"/>
  <c r="Y84" i="20"/>
  <c r="Z42" i="20"/>
  <c r="D5" i="25"/>
  <c r="D7" i="40"/>
  <c r="D50" i="20"/>
  <c r="AH77" i="20"/>
  <c r="H65" i="20"/>
  <c r="AL75" i="20"/>
  <c r="I45" i="20"/>
  <c r="AJ59" i="20"/>
  <c r="AL68" i="20"/>
  <c r="AG74" i="20"/>
  <c r="H7" i="25"/>
  <c r="AF62" i="20"/>
  <c r="AC44" i="20"/>
  <c r="H54" i="20"/>
  <c r="AB54" i="20"/>
  <c r="AB52" i="20"/>
  <c r="AJ52" i="20"/>
  <c r="I39" i="20"/>
  <c r="W38" i="20"/>
  <c r="G7" i="25"/>
  <c r="AE78" i="20"/>
  <c r="D62" i="20"/>
  <c r="Z80" i="20"/>
  <c r="D4" i="38"/>
  <c r="C5" i="25"/>
  <c r="D11" i="38"/>
  <c r="K61" i="20"/>
  <c r="K38" i="20"/>
  <c r="Y80" i="20"/>
  <c r="F81" i="20"/>
  <c r="AC71" i="20"/>
  <c r="AA73" i="20"/>
  <c r="AF65" i="20"/>
  <c r="B9" i="43"/>
  <c r="F42" i="20"/>
  <c r="D8" i="43"/>
  <c r="D6" i="25"/>
  <c r="F6" i="25"/>
  <c r="I75" i="20"/>
  <c r="H62" i="20"/>
  <c r="D85" i="20"/>
  <c r="H45" i="20"/>
  <c r="AD83" i="20"/>
  <c r="AB46" i="20"/>
  <c r="J51" i="20"/>
  <c r="W52" i="20"/>
  <c r="AA48" i="20"/>
  <c r="AC48" i="20"/>
  <c r="E48" i="20"/>
  <c r="C15" i="40"/>
  <c r="K79" i="20"/>
  <c r="AH68" i="20"/>
  <c r="AC58" i="20"/>
  <c r="H84" i="20"/>
  <c r="E83" i="20"/>
  <c r="AF45" i="20"/>
  <c r="C27" i="24"/>
  <c r="AB44" i="20"/>
  <c r="AC69" i="20"/>
  <c r="AH45" i="20"/>
  <c r="I72" i="20"/>
  <c r="AC53" i="20"/>
  <c r="G84" i="20"/>
  <c r="AJ62" i="20"/>
  <c r="AI62" i="20"/>
  <c r="AI47" i="20"/>
  <c r="F57" i="20"/>
  <c r="J86" i="20"/>
  <c r="G87" i="20"/>
  <c r="AJ56" i="20"/>
  <c r="B12" i="42"/>
  <c r="AD84" i="20"/>
  <c r="G49" i="20"/>
  <c r="J67" i="20"/>
  <c r="AM66" i="20"/>
  <c r="C15" i="38"/>
  <c r="AH81" i="20"/>
  <c r="C10" i="43"/>
  <c r="AB60" i="20"/>
  <c r="AD61" i="20"/>
  <c r="C20" i="38"/>
  <c r="AM76" i="20"/>
  <c r="C34" i="24"/>
  <c r="H43" i="20"/>
  <c r="AD76" i="20"/>
  <c r="AM45" i="20"/>
  <c r="AG52" i="20"/>
  <c r="H57" i="20"/>
  <c r="Y77" i="20"/>
  <c r="J82" i="20"/>
  <c r="F67" i="20"/>
  <c r="AG65" i="20"/>
  <c r="X74" i="20"/>
  <c r="B9" i="40"/>
  <c r="AM42" i="20"/>
  <c r="AE73" i="20"/>
  <c r="I59" i="20"/>
  <c r="AC68" i="20"/>
  <c r="AI79" i="20"/>
  <c r="AD47" i="20"/>
  <c r="Z86" i="20"/>
  <c r="D73" i="20"/>
  <c r="C12" i="38"/>
  <c r="AA85" i="20"/>
  <c r="E39" i="20"/>
  <c r="D11" i="41"/>
  <c r="AA81" i="20"/>
  <c r="AD60" i="20"/>
  <c r="AM41" i="20"/>
  <c r="G56" i="20"/>
  <c r="AD72" i="20"/>
  <c r="Z75" i="20"/>
  <c r="W64" i="20"/>
  <c r="AD50" i="20"/>
  <c r="AK74" i="20"/>
  <c r="J56" i="20"/>
  <c r="Z47" i="20"/>
  <c r="AM67" i="20"/>
  <c r="K57" i="20"/>
  <c r="W62" i="20"/>
  <c r="E70" i="20"/>
  <c r="AB74" i="20"/>
  <c r="AH49" i="20"/>
  <c r="D87" i="20"/>
  <c r="J87" i="20"/>
  <c r="AF69" i="20"/>
  <c r="AI82" i="20"/>
  <c r="D58" i="20"/>
  <c r="AJ75" i="20"/>
  <c r="F49" i="20"/>
  <c r="S49" i="20" s="1"/>
  <c r="T49" i="20" s="1"/>
  <c r="U49" i="20" s="1"/>
  <c r="AB82" i="20"/>
  <c r="Z59" i="20"/>
  <c r="AM82" i="20"/>
  <c r="B17" i="38"/>
  <c r="AE54" i="20"/>
  <c r="AA62" i="20"/>
  <c r="AI65" i="20"/>
  <c r="AL58" i="20"/>
  <c r="AJ68" i="20"/>
  <c r="W84" i="20"/>
  <c r="Y65" i="20"/>
  <c r="AM81" i="20"/>
  <c r="F51" i="20"/>
  <c r="D77" i="20"/>
  <c r="H2" i="24"/>
  <c r="X42" i="20"/>
  <c r="AJ55" i="20"/>
  <c r="AF44" i="20"/>
  <c r="AB47" i="20"/>
  <c r="H72" i="20"/>
  <c r="F70" i="20"/>
  <c r="Z81" i="20"/>
  <c r="Y60" i="20"/>
  <c r="K81" i="20"/>
  <c r="I47" i="20"/>
  <c r="D7" i="42"/>
  <c r="X48" i="20"/>
  <c r="B25" i="20"/>
  <c r="E1" i="33" s="1"/>
  <c r="A56" i="30"/>
  <c r="AB48" i="20"/>
  <c r="AL47" i="20"/>
  <c r="AA69" i="20"/>
  <c r="AB79" i="20"/>
  <c r="AE56" i="20"/>
  <c r="J41" i="20"/>
  <c r="AG85" i="20"/>
  <c r="AL46" i="20"/>
  <c r="W47" i="20"/>
  <c r="AF85" i="20"/>
  <c r="E73" i="20"/>
  <c r="D20" i="38"/>
  <c r="J83" i="20"/>
  <c r="AA42" i="20"/>
  <c r="AJ72" i="20"/>
  <c r="AM53" i="20"/>
  <c r="AA58" i="20"/>
  <c r="B4" i="43"/>
  <c r="AF64" i="20"/>
  <c r="AL85" i="20"/>
  <c r="C10" i="40"/>
  <c r="X76" i="20"/>
  <c r="B15" i="38"/>
  <c r="AM70" i="20"/>
  <c r="AF74" i="20"/>
  <c r="AH84" i="20"/>
  <c r="AG41" i="20"/>
  <c r="G59" i="20"/>
  <c r="AE38" i="20"/>
  <c r="J74" i="20"/>
  <c r="AE75" i="20"/>
  <c r="J53" i="20"/>
  <c r="Z57" i="20"/>
  <c r="X79" i="20"/>
  <c r="AE79" i="20"/>
  <c r="AC70" i="20"/>
  <c r="AD53" i="20"/>
  <c r="AJ58" i="20"/>
  <c r="H2" i="22"/>
  <c r="O2" i="22" s="1"/>
  <c r="F68" i="20"/>
  <c r="D9" i="38"/>
  <c r="C12" i="41"/>
  <c r="AG83" i="20"/>
  <c r="Z76" i="20"/>
  <c r="F46" i="20"/>
  <c r="I54" i="20"/>
  <c r="G40" i="20"/>
  <c r="AA46" i="20"/>
  <c r="AC65" i="20"/>
  <c r="AC40" i="20"/>
  <c r="X83" i="20"/>
  <c r="AK79" i="20"/>
  <c r="Y68" i="20"/>
  <c r="W41" i="20"/>
  <c r="AF78" i="20"/>
  <c r="AD78" i="20"/>
  <c r="C11" i="40"/>
  <c r="H70" i="20"/>
  <c r="H82" i="20"/>
  <c r="S82" i="20" s="1"/>
  <c r="T82" i="20" s="1"/>
  <c r="U82" i="20" s="1"/>
  <c r="D11" i="40"/>
  <c r="AE77" i="20"/>
  <c r="Y56" i="20"/>
  <c r="AK38" i="20"/>
  <c r="B12" i="43"/>
  <c r="J85" i="20"/>
  <c r="Z67" i="20"/>
  <c r="AG73" i="20"/>
  <c r="AM47" i="20"/>
  <c r="AK59" i="20"/>
  <c r="AJ86" i="20"/>
  <c r="B13" i="40"/>
  <c r="D10" i="42"/>
  <c r="B10" i="43"/>
  <c r="AD81" i="20"/>
  <c r="I61" i="20"/>
  <c r="C7" i="40"/>
  <c r="D7" i="25"/>
  <c r="D42" i="20"/>
  <c r="H58" i="20"/>
  <c r="AC80" i="20"/>
  <c r="AB51" i="20"/>
  <c r="X53" i="20"/>
  <c r="F60" i="20"/>
  <c r="AD39" i="20"/>
  <c r="D4" i="40"/>
  <c r="AM59" i="20"/>
  <c r="Y73" i="20"/>
  <c r="D8" i="38"/>
  <c r="G85" i="20"/>
  <c r="AB76" i="20"/>
  <c r="C8" i="42"/>
  <c r="AB43" i="20"/>
  <c r="AD64" i="20"/>
  <c r="E52" i="20"/>
  <c r="I49" i="20"/>
  <c r="B8" i="43"/>
  <c r="AD67" i="20"/>
  <c r="AI41" i="20"/>
  <c r="X56" i="20"/>
  <c r="C38" i="37"/>
  <c r="W42" i="20"/>
  <c r="AI51" i="20"/>
  <c r="AM48" i="20"/>
  <c r="B10" i="40"/>
  <c r="B15" i="42"/>
  <c r="Z41" i="20"/>
  <c r="G65" i="20"/>
  <c r="J84" i="20"/>
  <c r="AG55" i="20"/>
  <c r="G58" i="20"/>
  <c r="J80" i="20"/>
  <c r="AJ61" i="20"/>
  <c r="Z68" i="20"/>
  <c r="AB83" i="20"/>
  <c r="AE64" i="20"/>
  <c r="Z82" i="20"/>
  <c r="AJ38" i="20"/>
  <c r="AI46" i="20"/>
  <c r="F63" i="20"/>
  <c r="J38" i="20"/>
  <c r="AK46" i="20"/>
  <c r="X39" i="20"/>
  <c r="B6" i="43"/>
  <c r="AC66" i="20"/>
  <c r="G45" i="20"/>
  <c r="Y39" i="20"/>
  <c r="AE39" i="20"/>
  <c r="AK42" i="20"/>
  <c r="W48" i="20"/>
  <c r="AE53" i="20"/>
  <c r="D66" i="20"/>
  <c r="AH61" i="20"/>
  <c r="E41" i="20"/>
  <c r="W81" i="20"/>
  <c r="AK48" i="20"/>
  <c r="X86" i="20"/>
  <c r="AC82" i="20"/>
  <c r="AD46" i="20"/>
  <c r="G42" i="20"/>
  <c r="AH78" i="20"/>
  <c r="C21" i="38"/>
  <c r="E87" i="20"/>
  <c r="Y69" i="20"/>
  <c r="F87" i="20"/>
  <c r="AB75" i="20"/>
  <c r="X41" i="20"/>
  <c r="G53" i="20"/>
  <c r="AE82" i="20"/>
  <c r="Z52" i="20"/>
  <c r="D83" i="20"/>
  <c r="AH48" i="20"/>
  <c r="B19" i="38"/>
  <c r="C8" i="41"/>
  <c r="AH67" i="20"/>
  <c r="B9" i="42"/>
  <c r="E60" i="20"/>
  <c r="I64" i="20"/>
  <c r="AG40" i="20"/>
  <c r="AA41" i="20"/>
  <c r="D4" i="43"/>
  <c r="E3" i="25"/>
  <c r="AL43" i="20"/>
  <c r="X85" i="20"/>
  <c r="H77" i="20"/>
  <c r="E44" i="20"/>
  <c r="Z66" i="20"/>
  <c r="X70" i="20"/>
  <c r="AK45" i="20"/>
  <c r="AA51" i="20"/>
  <c r="E84" i="20"/>
  <c r="AJ41" i="20"/>
  <c r="F82" i="20"/>
  <c r="K45" i="20"/>
  <c r="K84" i="20"/>
  <c r="C36" i="37"/>
  <c r="H56" i="19"/>
  <c r="H57" i="19" s="1"/>
  <c r="M3" i="19" s="1"/>
  <c r="H61" i="20"/>
  <c r="AK80" i="20"/>
  <c r="J43" i="20"/>
  <c r="K67" i="20"/>
  <c r="W53" i="20"/>
  <c r="AD38" i="20"/>
  <c r="Z38" i="20"/>
  <c r="B11" i="40"/>
  <c r="AG77" i="20"/>
  <c r="AM39" i="20"/>
  <c r="AB68" i="20"/>
  <c r="B6" i="41"/>
  <c r="H59" i="20"/>
  <c r="AM57" i="20"/>
  <c r="G9" i="22"/>
  <c r="N9" i="22" s="1"/>
  <c r="U9" i="22" s="1"/>
  <c r="Z53" i="20"/>
  <c r="G57" i="20"/>
  <c r="AL59" i="20"/>
  <c r="AD75" i="20"/>
  <c r="B7" i="42"/>
  <c r="K54" i="20"/>
  <c r="Z74" i="20"/>
  <c r="D82" i="20"/>
  <c r="X65" i="20"/>
  <c r="AG72" i="20"/>
  <c r="F62" i="20"/>
  <c r="AC52" i="20"/>
  <c r="AD54" i="20"/>
  <c r="X55" i="20"/>
  <c r="B7" i="38"/>
  <c r="AK65" i="20"/>
  <c r="K62" i="20"/>
  <c r="J58" i="20"/>
  <c r="Z71" i="20"/>
  <c r="AJ47" i="20"/>
  <c r="Z45" i="20"/>
  <c r="D46" i="20"/>
  <c r="AM80" i="20"/>
  <c r="AF43" i="20"/>
  <c r="AL57" i="20"/>
  <c r="AE85" i="20"/>
  <c r="AD82" i="20"/>
  <c r="AI48" i="20"/>
  <c r="G70" i="20"/>
  <c r="H67" i="20"/>
  <c r="I73" i="20"/>
  <c r="C37" i="37"/>
  <c r="C39" i="37" s="1"/>
  <c r="G77" i="20"/>
  <c r="G46" i="20"/>
  <c r="H8" i="25"/>
  <c r="C15" i="42"/>
  <c r="W58" i="20"/>
  <c r="J39" i="20"/>
  <c r="I68" i="20"/>
  <c r="AL86" i="20"/>
  <c r="B6" i="25"/>
  <c r="D14" i="43"/>
  <c r="C6" i="25"/>
  <c r="E4" i="25"/>
  <c r="AC67" i="20"/>
  <c r="G47" i="20"/>
  <c r="AH83" i="20"/>
  <c r="AB40" i="20"/>
  <c r="AE80" i="20"/>
  <c r="B15" i="40"/>
  <c r="X58" i="20"/>
  <c r="AC79" i="20"/>
  <c r="F40" i="20"/>
  <c r="S40" i="20" s="1"/>
  <c r="T40" i="20" s="1"/>
  <c r="V40" i="20" s="1"/>
  <c r="E63" i="20"/>
  <c r="W61" i="20"/>
  <c r="B14" i="43"/>
  <c r="B9" i="41"/>
  <c r="AD74" i="20"/>
  <c r="E51" i="20"/>
  <c r="F86" i="20"/>
  <c r="S86" i="20" s="1"/>
  <c r="T86" i="20" s="1"/>
  <c r="U86" i="20" s="1"/>
  <c r="J78" i="20"/>
  <c r="AF83" i="20"/>
  <c r="B4" i="42"/>
  <c r="D4" i="41"/>
  <c r="AE76" i="20"/>
  <c r="G72" i="20"/>
  <c r="AE55" i="20"/>
  <c r="D10" i="41"/>
  <c r="AE74" i="20"/>
  <c r="Z78" i="20"/>
  <c r="AH86" i="20"/>
  <c r="AK76" i="20"/>
  <c r="AK44" i="20"/>
  <c r="D13" i="41"/>
  <c r="D21" i="38"/>
  <c r="AH54" i="20"/>
  <c r="AE60" i="20"/>
  <c r="J40" i="20"/>
  <c r="AC64" i="20"/>
  <c r="B7" i="41"/>
  <c r="F72" i="20"/>
  <c r="Z50" i="20"/>
  <c r="F43" i="20"/>
  <c r="E57" i="20"/>
  <c r="C5" i="42"/>
  <c r="I48" i="20"/>
  <c r="AB85" i="20"/>
  <c r="AD62" i="20"/>
  <c r="AM44" i="20"/>
  <c r="E43" i="20"/>
  <c r="D61" i="20"/>
  <c r="AJ82" i="20"/>
  <c r="Z85" i="20"/>
  <c r="W85" i="20"/>
  <c r="AI60" i="20"/>
  <c r="I58" i="20"/>
  <c r="D4" i="42"/>
  <c r="I86" i="20"/>
  <c r="C12" i="40"/>
  <c r="AE40" i="20"/>
  <c r="G82" i="20"/>
  <c r="H64" i="20"/>
  <c r="D6" i="40"/>
  <c r="H66" i="20"/>
  <c r="F74" i="20"/>
  <c r="I43" i="20"/>
  <c r="AI44" i="20"/>
  <c r="AA68" i="20"/>
  <c r="I42" i="20"/>
  <c r="E79" i="20"/>
  <c r="D38" i="20"/>
  <c r="AB80" i="20"/>
  <c r="I77" i="20"/>
  <c r="AJ53" i="20"/>
  <c r="AK83" i="20"/>
  <c r="C6" i="38"/>
  <c r="B11" i="41"/>
  <c r="J45" i="20"/>
  <c r="X63" i="20"/>
  <c r="AC38" i="20"/>
  <c r="Y46" i="20"/>
  <c r="X57" i="20"/>
  <c r="AF84" i="20"/>
  <c r="Y41" i="20"/>
  <c r="J75" i="20"/>
  <c r="D53" i="20"/>
  <c r="Z55" i="20"/>
  <c r="F4" i="25"/>
  <c r="AM64" i="20"/>
  <c r="X80" i="20"/>
  <c r="B13" i="38"/>
  <c r="E6" i="25"/>
  <c r="F78" i="20"/>
  <c r="X54" i="20"/>
  <c r="E61" i="20"/>
  <c r="K73" i="20"/>
  <c r="F83" i="20"/>
  <c r="D5" i="41"/>
  <c r="AH38" i="20"/>
  <c r="AI85" i="20"/>
  <c r="AD55" i="20"/>
  <c r="AI77" i="20"/>
  <c r="K46" i="20"/>
  <c r="AE65" i="20"/>
  <c r="D16" i="38"/>
  <c r="K47" i="20"/>
  <c r="J46" i="20"/>
  <c r="AI70" i="20"/>
  <c r="AB69" i="20"/>
  <c r="Z72" i="20"/>
  <c r="AL66" i="20"/>
  <c r="AA77" i="20"/>
  <c r="AG69" i="20"/>
  <c r="G54" i="20"/>
  <c r="I50" i="20"/>
  <c r="D57" i="20"/>
  <c r="D68" i="20"/>
  <c r="AK69" i="20"/>
  <c r="I81" i="20"/>
  <c r="D5" i="42"/>
  <c r="B9" i="38"/>
  <c r="E81" i="20"/>
  <c r="X51" i="20"/>
  <c r="AF56" i="20"/>
  <c r="G67" i="20"/>
  <c r="AD45" i="20"/>
  <c r="K87" i="20"/>
  <c r="C6" i="40"/>
  <c r="AA83" i="20"/>
  <c r="AM85" i="20"/>
  <c r="AG64" i="20"/>
  <c r="H41" i="20"/>
  <c r="M41" i="20" s="1" a="1"/>
  <c r="M41" i="20" s="1"/>
  <c r="P41" i="20" s="1"/>
  <c r="Y61" i="20"/>
  <c r="AI72" i="20"/>
  <c r="G80" i="20"/>
  <c r="AI83" i="20"/>
  <c r="C14" i="38"/>
  <c r="AA52" i="20"/>
  <c r="E7" i="25"/>
  <c r="AE42" i="20"/>
  <c r="AA55" i="20"/>
  <c r="AK67" i="20"/>
  <c r="AB67" i="20"/>
  <c r="C13" i="43"/>
  <c r="AF55" i="20"/>
  <c r="H4" i="25"/>
  <c r="AD71" i="20"/>
  <c r="K42" i="20"/>
  <c r="D78" i="20"/>
  <c r="AI59" i="20"/>
  <c r="G44" i="20"/>
  <c r="AK51" i="20"/>
  <c r="B6" i="40"/>
  <c r="AE81" i="20"/>
  <c r="AH64" i="20"/>
  <c r="AH65" i="20"/>
  <c r="AE70" i="20"/>
  <c r="AM68" i="20"/>
  <c r="X59" i="20"/>
  <c r="E75" i="20"/>
  <c r="AG63" i="20"/>
  <c r="K86" i="20"/>
  <c r="C7" i="42"/>
  <c r="K53" i="20"/>
  <c r="AK86" i="20"/>
  <c r="Y55" i="20"/>
  <c r="AL52" i="20"/>
  <c r="I82" i="20"/>
  <c r="AE86" i="20"/>
  <c r="AH58" i="20"/>
  <c r="AB59" i="20"/>
  <c r="H73" i="20"/>
  <c r="J73" i="20"/>
  <c r="B8" i="41"/>
  <c r="Z64" i="20"/>
  <c r="AF66" i="20"/>
  <c r="AC39" i="20"/>
  <c r="H39" i="20"/>
  <c r="I79" i="20"/>
  <c r="K77" i="20"/>
  <c r="I70" i="20"/>
  <c r="AA47" i="20"/>
  <c r="F38" i="20"/>
  <c r="Y53" i="20"/>
  <c r="AJ46" i="20"/>
  <c r="F80" i="20"/>
  <c r="N80" i="20" s="1" a="1"/>
  <c r="N80" i="20" s="1"/>
  <c r="Q80" i="20" s="1"/>
  <c r="W82" i="20"/>
  <c r="H74" i="20"/>
  <c r="AJ39" i="20"/>
  <c r="C18" i="38"/>
  <c r="AG57" i="20"/>
  <c r="AI74" i="20"/>
  <c r="AL80" i="20"/>
  <c r="AB41" i="20"/>
  <c r="AA64" i="20"/>
  <c r="AF50" i="20"/>
  <c r="AG39" i="20"/>
  <c r="AL42" i="20"/>
  <c r="AH73" i="20"/>
  <c r="D9" i="40"/>
  <c r="C11" i="38"/>
  <c r="D13" i="38"/>
  <c r="F59" i="20"/>
  <c r="F54" i="20"/>
  <c r="AI68" i="20"/>
  <c r="AH46" i="20"/>
  <c r="AL44" i="20"/>
  <c r="AD79" i="20"/>
  <c r="AJ43" i="20"/>
  <c r="D48" i="20"/>
  <c r="F61" i="20"/>
  <c r="AJ83" i="20"/>
  <c r="C5" i="40"/>
  <c r="AJ57" i="20"/>
  <c r="C10" i="38"/>
  <c r="B4" i="40"/>
  <c r="E69" i="20"/>
  <c r="AF38" i="20"/>
  <c r="D22" i="38"/>
  <c r="AI52" i="20"/>
  <c r="C7" i="43"/>
  <c r="K85" i="20"/>
  <c r="AM43" i="20"/>
  <c r="C13" i="42"/>
  <c r="F56" i="20"/>
  <c r="Z84" i="20"/>
  <c r="AI63" i="20"/>
  <c r="H83" i="20"/>
  <c r="AH44" i="20"/>
  <c r="AF70" i="20"/>
  <c r="AM77" i="20"/>
  <c r="B11" i="43"/>
  <c r="X81" i="20"/>
  <c r="AM55" i="20"/>
  <c r="AH43" i="20"/>
  <c r="AG76" i="20"/>
  <c r="C4" i="43"/>
  <c r="AK62" i="20"/>
  <c r="AM58" i="20"/>
  <c r="AF77" i="20"/>
  <c r="C39" i="24"/>
  <c r="AM40" i="20"/>
  <c r="AC77" i="20"/>
  <c r="D15" i="40"/>
  <c r="AF82" i="20"/>
  <c r="X71" i="20"/>
  <c r="D49" i="20"/>
  <c r="K44" i="20"/>
  <c r="AG56" i="20"/>
  <c r="AA86" i="20"/>
  <c r="AI55" i="20"/>
  <c r="AM62" i="20"/>
  <c r="E71" i="20"/>
  <c r="J70" i="20"/>
  <c r="D9" i="41"/>
  <c r="H68" i="20"/>
  <c r="AF46" i="20"/>
  <c r="AJ78" i="20"/>
  <c r="E80" i="20"/>
  <c r="AI64" i="20"/>
  <c r="AE49" i="20"/>
  <c r="C11" i="43"/>
  <c r="AL53" i="20"/>
  <c r="AL55" i="20"/>
  <c r="AA57" i="20"/>
  <c r="AE72" i="20"/>
  <c r="AG46" i="20"/>
  <c r="AL76" i="20"/>
  <c r="Y82" i="20"/>
  <c r="AL60" i="20"/>
  <c r="G43" i="20"/>
  <c r="C19" i="38"/>
  <c r="W46" i="20"/>
  <c r="W56" i="20"/>
  <c r="K71" i="20"/>
  <c r="AM61" i="20"/>
  <c r="D13" i="42"/>
  <c r="I44" i="20"/>
  <c r="AM56" i="20"/>
  <c r="AK41" i="20"/>
  <c r="Z65" i="20"/>
  <c r="D23" i="38"/>
  <c r="C34" i="37"/>
  <c r="K56" i="20"/>
  <c r="E65" i="20"/>
  <c r="E62" i="20"/>
  <c r="Z56" i="20"/>
  <c r="C9" i="43"/>
  <c r="AJ80" i="20"/>
  <c r="D11" i="42"/>
  <c r="C6" i="42"/>
  <c r="W60" i="20"/>
  <c r="AA80" i="20"/>
  <c r="AG60" i="20"/>
  <c r="K63" i="20"/>
  <c r="D4" i="25"/>
  <c r="AB78" i="20"/>
  <c r="AH72" i="20"/>
  <c r="C10" i="42"/>
  <c r="AK58" i="20"/>
  <c r="AK66" i="20"/>
  <c r="AK54" i="20"/>
  <c r="D5" i="38"/>
  <c r="Y72" i="20"/>
  <c r="AH51" i="20"/>
  <c r="B11" i="38"/>
  <c r="AH50" i="20"/>
  <c r="AJ64" i="20"/>
  <c r="AL73" i="20"/>
  <c r="W74" i="20"/>
  <c r="I85" i="20"/>
  <c r="AH39" i="20"/>
  <c r="H60" i="20"/>
  <c r="Y43" i="20"/>
  <c r="K70" i="20"/>
  <c r="Z40" i="20"/>
  <c r="C22" i="38"/>
  <c r="AK75" i="20"/>
  <c r="AG38" i="20"/>
  <c r="C16" i="38"/>
  <c r="K83" i="20"/>
  <c r="W57" i="20"/>
  <c r="AI57" i="20"/>
  <c r="AD48" i="20"/>
  <c r="J61" i="20"/>
  <c r="AK56" i="20"/>
  <c r="C6" i="43"/>
  <c r="E53" i="20"/>
  <c r="AB77" i="20"/>
  <c r="F39" i="20"/>
  <c r="AL38" i="20"/>
  <c r="AG45" i="20"/>
  <c r="AK60" i="20"/>
  <c r="K49" i="20"/>
  <c r="E40" i="20"/>
  <c r="E67" i="20"/>
  <c r="J68" i="20"/>
  <c r="K65" i="20"/>
  <c r="G69" i="20"/>
  <c r="Y48" i="20"/>
  <c r="D2" i="22"/>
  <c r="K2" i="22" s="1"/>
  <c r="W83" i="20"/>
  <c r="Z48" i="20"/>
  <c r="C33" i="24"/>
  <c r="X78" i="20"/>
  <c r="AE43" i="20"/>
  <c r="AF47" i="20"/>
  <c r="I87" i="20"/>
  <c r="AG68" i="20"/>
  <c r="AA39" i="20"/>
  <c r="AE71" i="20"/>
  <c r="D12" i="42"/>
  <c r="W71" i="20"/>
  <c r="X40" i="20"/>
  <c r="AL41" i="20"/>
  <c r="F75" i="20"/>
  <c r="AJ84" i="20"/>
  <c r="G60" i="20"/>
  <c r="AB64" i="20"/>
  <c r="AG49" i="20"/>
  <c r="D5" i="40"/>
  <c r="C7" i="38"/>
  <c r="H42" i="20"/>
  <c r="D80" i="20"/>
  <c r="I78" i="20"/>
  <c r="AK55" i="20"/>
  <c r="B7" i="40"/>
  <c r="D3" i="25"/>
  <c r="E64" i="20"/>
  <c r="W63" i="20"/>
  <c r="AG84" i="20"/>
  <c r="AI81" i="20"/>
  <c r="AK63" i="20"/>
  <c r="I74" i="20"/>
  <c r="AI84" i="20"/>
  <c r="J59" i="20"/>
  <c r="AI49" i="20"/>
  <c r="AA45" i="20"/>
  <c r="K39" i="20"/>
  <c r="AJ67" i="20"/>
  <c r="AM60" i="20"/>
  <c r="D72" i="20"/>
  <c r="X43" i="20"/>
  <c r="AD80" i="20"/>
  <c r="C14" i="42"/>
  <c r="D19" i="38"/>
  <c r="F65" i="20"/>
  <c r="J69" i="20"/>
  <c r="I83" i="20"/>
  <c r="AG44" i="20"/>
  <c r="AM46" i="20"/>
  <c r="AM72" i="20"/>
  <c r="I63" i="20"/>
  <c r="F66" i="20"/>
  <c r="AJ81" i="20"/>
  <c r="D51" i="20"/>
  <c r="D39" i="20"/>
  <c r="H87" i="20"/>
  <c r="K48" i="20"/>
  <c r="I69" i="20"/>
  <c r="C13" i="40"/>
  <c r="AC84" i="20"/>
  <c r="AI69" i="20"/>
  <c r="AL71" i="20"/>
  <c r="E66" i="20"/>
  <c r="W54" i="20"/>
  <c r="I55" i="20"/>
  <c r="G73" i="20"/>
  <c r="B7" i="43"/>
  <c r="F85" i="20"/>
  <c r="S85" i="20" s="1"/>
  <c r="T85" i="20" s="1"/>
  <c r="V85" i="20" s="1"/>
  <c r="B8" i="42"/>
  <c r="AK64" i="20"/>
  <c r="AM79" i="20"/>
  <c r="G81" i="20"/>
  <c r="AB45" i="20"/>
  <c r="C17" i="38"/>
  <c r="D64" i="20"/>
  <c r="Y40" i="20"/>
  <c r="Y67" i="20"/>
  <c r="Y75" i="20"/>
  <c r="AE67" i="20"/>
  <c r="AG58" i="20"/>
  <c r="AL82" i="20"/>
  <c r="AC62" i="20"/>
  <c r="AI58" i="20"/>
  <c r="C4" i="25"/>
  <c r="D60" i="20"/>
  <c r="G51" i="20"/>
  <c r="B5" i="38"/>
  <c r="AG80" i="20"/>
  <c r="AA74" i="20"/>
  <c r="F77" i="20"/>
  <c r="AE58" i="20"/>
  <c r="F2" i="22"/>
  <c r="M2" i="22" s="1"/>
  <c r="AC56" i="20"/>
  <c r="D8" i="40"/>
  <c r="AB81" i="20"/>
  <c r="AG75" i="20"/>
  <c r="AE62" i="20"/>
  <c r="D7" i="38"/>
  <c r="G4" i="25"/>
  <c r="W79" i="20"/>
  <c r="D6" i="41"/>
  <c r="Z54" i="20"/>
  <c r="Y63" i="20"/>
  <c r="Z73" i="20"/>
  <c r="K40" i="20"/>
  <c r="X75" i="20"/>
  <c r="C5" i="43"/>
  <c r="H44" i="20"/>
  <c r="B14" i="41"/>
  <c r="J54" i="20"/>
  <c r="AI53" i="20"/>
  <c r="W78" i="20"/>
  <c r="B10" i="42"/>
  <c r="Z58" i="20"/>
  <c r="G79" i="20"/>
  <c r="D5" i="43"/>
  <c r="E59" i="20"/>
  <c r="X62" i="20"/>
  <c r="AE41" i="20"/>
  <c r="C8" i="25"/>
  <c r="AJ40" i="20"/>
  <c r="AB55" i="20"/>
  <c r="AE46" i="20"/>
  <c r="AB70" i="20"/>
  <c r="C5" i="38"/>
  <c r="AH55" i="20"/>
  <c r="AH85" i="20"/>
  <c r="B16" i="38"/>
  <c r="AG66" i="20"/>
  <c r="AC81" i="20"/>
  <c r="AL39" i="20"/>
  <c r="H81" i="20"/>
  <c r="AF68" i="20"/>
  <c r="D12" i="41"/>
  <c r="E86" i="20"/>
  <c r="D63" i="20"/>
  <c r="AF48" i="20"/>
  <c r="D65" i="20"/>
  <c r="AM71" i="20"/>
  <c r="AE50" i="20"/>
  <c r="AI38" i="20"/>
  <c r="B10" i="38"/>
  <c r="D55" i="20"/>
  <c r="AA70" i="20"/>
  <c r="AH71" i="20"/>
  <c r="K75" i="20"/>
  <c r="AJ49" i="20"/>
  <c r="B14" i="38"/>
  <c r="C4" i="40"/>
  <c r="W69" i="20"/>
  <c r="J52" i="20"/>
  <c r="K60" i="20"/>
  <c r="AB66" i="20"/>
  <c r="B5" i="43"/>
  <c r="AD56" i="20"/>
  <c r="AM49" i="20"/>
  <c r="AL61" i="20"/>
  <c r="G74" i="20"/>
  <c r="D44" i="20"/>
  <c r="AD65" i="20"/>
  <c r="AE48" i="20"/>
  <c r="Z51" i="20"/>
  <c r="X82" i="20"/>
  <c r="AA56" i="20"/>
  <c r="E85" i="20"/>
  <c r="C10" i="41"/>
  <c r="AI78" i="20"/>
  <c r="K78" i="20"/>
  <c r="N78" i="20" s="1" a="1"/>
  <c r="N78" i="20" s="1"/>
  <c r="Q78" i="20" s="1"/>
  <c r="A56" i="31"/>
  <c r="AD51" i="20"/>
  <c r="B5" i="40"/>
  <c r="AL81" i="20"/>
  <c r="I65" i="20"/>
  <c r="AJ54" i="20"/>
  <c r="D13" i="43"/>
  <c r="AH56" i="20"/>
  <c r="C9" i="42"/>
  <c r="C4" i="38"/>
  <c r="AG51" i="20"/>
  <c r="E45" i="20"/>
  <c r="AL67" i="20"/>
  <c r="K52" i="20"/>
  <c r="N52" i="20" s="1" a="1"/>
  <c r="N52" i="20" s="1"/>
  <c r="Q52" i="20" s="1"/>
  <c r="AH66" i="20"/>
  <c r="F73" i="20"/>
  <c r="AD66" i="20"/>
  <c r="AI61" i="20"/>
  <c r="E68" i="20"/>
  <c r="AC73" i="20"/>
  <c r="G38" i="20"/>
  <c r="H53" i="20"/>
  <c r="S53" i="20" s="1"/>
  <c r="T53" i="20" s="1"/>
  <c r="U53" i="20" s="1"/>
  <c r="AK43" i="20"/>
  <c r="AK68" i="20"/>
  <c r="H38" i="20"/>
  <c r="S38" i="20" s="1"/>
  <c r="T38" i="20" s="1"/>
  <c r="U38" i="20" s="1"/>
  <c r="D45" i="20"/>
  <c r="X50" i="20"/>
  <c r="AA38" i="20"/>
  <c r="X52" i="20"/>
  <c r="W40" i="20"/>
  <c r="H56" i="20"/>
  <c r="E82" i="20"/>
  <c r="AA78" i="20"/>
  <c r="J71" i="20"/>
  <c r="J77" i="20"/>
  <c r="Y70" i="20"/>
  <c r="AE66" i="20"/>
  <c r="AB53" i="20"/>
  <c r="AI75" i="20"/>
  <c r="AJ50" i="20"/>
  <c r="AB38" i="20"/>
  <c r="AA53" i="20"/>
  <c r="AH75" i="20"/>
  <c r="Y78" i="20"/>
  <c r="AL54" i="20"/>
  <c r="Z62" i="20"/>
  <c r="Y51" i="20"/>
  <c r="F64" i="20"/>
  <c r="AH59" i="20"/>
  <c r="G41" i="20"/>
  <c r="N41" i="20" s="1" a="1"/>
  <c r="N41" i="20" s="1"/>
  <c r="Q41" i="20" s="1"/>
  <c r="E54" i="20"/>
  <c r="AG82" i="20"/>
  <c r="G5" i="25"/>
  <c r="F44" i="20"/>
  <c r="AB86" i="20"/>
  <c r="AJ77" i="20"/>
  <c r="W43" i="20"/>
  <c r="AH47" i="20"/>
  <c r="AE69" i="20"/>
  <c r="AG50" i="20"/>
  <c r="AL65" i="20"/>
  <c r="D12" i="43"/>
  <c r="B3" i="25"/>
  <c r="N48" i="20" a="1"/>
  <c r="N48" i="20" s="1"/>
  <c r="Q48" i="20" s="1"/>
  <c r="N64" i="20" a="1"/>
  <c r="N64" i="20" s="1"/>
  <c r="Q64" i="20" s="1"/>
  <c r="S52" i="20"/>
  <c r="T52" i="20" s="1"/>
  <c r="V52" i="20" s="1"/>
  <c r="M40" i="20" a="1"/>
  <c r="M40" i="20" s="1"/>
  <c r="P40" i="20" s="1"/>
  <c r="S79" i="20"/>
  <c r="T79" i="20" s="1"/>
  <c r="U79" i="20" s="1"/>
  <c r="V53" i="20"/>
  <c r="AS53" i="20" s="1"/>
  <c r="H10" i="25"/>
  <c r="H11" i="25"/>
  <c r="G10" i="25"/>
  <c r="C10" i="25"/>
  <c r="E10" i="25"/>
  <c r="B10" i="25"/>
  <c r="F10" i="25"/>
  <c r="A12" i="25"/>
  <c r="B17" i="40"/>
  <c r="B17" i="42"/>
  <c r="B17" i="41"/>
  <c r="B17" i="43"/>
  <c r="D17" i="43"/>
  <c r="C17" i="43"/>
  <c r="A19" i="43"/>
  <c r="D17" i="42"/>
  <c r="C17" i="42"/>
  <c r="A19" i="42"/>
  <c r="C17" i="41"/>
  <c r="D17" i="41"/>
  <c r="A19" i="41"/>
  <c r="C17" i="40"/>
  <c r="D17" i="40"/>
  <c r="A19" i="40"/>
  <c r="E19" i="33" a="1"/>
  <c r="B56" i="31" a="1"/>
  <c r="C8" i="22" a="1"/>
  <c r="G8" i="22" a="1"/>
  <c r="G21" i="33" a="1"/>
  <c r="E3" i="32" a="1"/>
  <c r="G4" i="13" a="1"/>
  <c r="C56" i="30" a="1"/>
  <c r="H4" i="34" a="1"/>
  <c r="H21" i="34" a="1"/>
  <c r="F8" i="32" a="1"/>
  <c r="D6" i="22" a="1"/>
  <c r="G7" i="22" a="1"/>
  <c r="F4" i="32" a="1"/>
  <c r="F7" i="32" a="1"/>
  <c r="E5" i="34" a="1"/>
  <c r="E4" i="34" a="1"/>
  <c r="E21" i="34" a="1"/>
  <c r="G3" i="34" a="1"/>
  <c r="G20" i="34" a="1"/>
  <c r="G2" i="24" a="1"/>
  <c r="F9" i="22" a="1"/>
  <c r="F56" i="19" a="1"/>
  <c r="I56" i="30" a="1"/>
  <c r="F20" i="33" a="1"/>
  <c r="E3" i="22" a="1"/>
  <c r="E23" i="33" a="1"/>
  <c r="G56" i="31" a="1"/>
  <c r="H10" i="13" a="1"/>
  <c r="C6" i="22" a="1"/>
  <c r="G4" i="22" a="1"/>
  <c r="H6" i="13" a="1"/>
  <c r="F10" i="32" a="1"/>
  <c r="F3" i="13" a="1"/>
  <c r="E4" i="32" a="1"/>
  <c r="F8" i="13" a="1"/>
  <c r="G56" i="30" a="1"/>
  <c r="F5" i="22" a="1"/>
  <c r="F4" i="13" a="1"/>
  <c r="E12" i="34" a="1"/>
  <c r="F6" i="32" a="1"/>
  <c r="G20" i="33" a="1"/>
  <c r="E56" i="19" a="1"/>
  <c r="E9" i="22" a="1"/>
  <c r="F2" i="24" a="1"/>
  <c r="G8" i="13" a="1"/>
  <c r="G6" i="22" a="1"/>
  <c r="F56" i="29" a="1"/>
  <c r="I2" i="24" a="1"/>
  <c r="H9" i="22" a="1"/>
  <c r="I56" i="19" a="1"/>
  <c r="E8" i="13" a="1"/>
  <c r="H24" i="34" a="1"/>
  <c r="H7" i="34" a="1"/>
  <c r="E11" i="34" a="1"/>
  <c r="H8" i="34" a="1"/>
  <c r="H9" i="13" a="1"/>
  <c r="E11" i="13" a="1"/>
  <c r="H9" i="34" a="1"/>
  <c r="F26" i="34" a="1"/>
  <c r="G6" i="13" a="1"/>
  <c r="G8" i="34" a="1"/>
  <c r="E7" i="13" a="1"/>
  <c r="H8" i="13" a="1"/>
  <c r="D4" i="22" a="1"/>
  <c r="E20" i="34" a="1"/>
  <c r="E3" i="34" a="1"/>
  <c r="F5" i="34" a="1"/>
  <c r="G23" i="33" a="1"/>
  <c r="E8" i="34" a="1"/>
  <c r="F3" i="32" a="1"/>
  <c r="G26" i="34" a="1"/>
  <c r="G9" i="34" a="1"/>
  <c r="E24" i="33" a="1"/>
  <c r="E56" i="30" a="1"/>
  <c r="E7" i="32" a="1"/>
  <c r="D9" i="22" a="1"/>
  <c r="D56" i="19" a="1"/>
  <c r="E2" i="24" a="1"/>
  <c r="E10" i="32" a="1"/>
  <c r="F12" i="13" a="1"/>
  <c r="F22" i="33" a="1"/>
  <c r="G4" i="32" a="1"/>
  <c r="H11" i="34" a="1"/>
  <c r="E22" i="33" a="1"/>
  <c r="G4" i="34" a="1"/>
  <c r="G21" i="34" a="1"/>
  <c r="D56" i="31" a="1"/>
  <c r="G56" i="19" a="1"/>
  <c r="F13" i="13" a="1"/>
  <c r="G22" i="33" a="1"/>
  <c r="B56" i="30" a="1"/>
  <c r="C4" i="22" a="1"/>
  <c r="H11" i="13" a="1"/>
  <c r="F8" i="22" a="1"/>
  <c r="C25" i="24" a="1"/>
  <c r="I56" i="29" a="1"/>
  <c r="F20" i="34" a="1"/>
  <c r="F3" i="34" a="1"/>
  <c r="G56" i="29" a="1"/>
  <c r="H9" i="32" a="1"/>
  <c r="G19" i="33" a="1"/>
  <c r="G7" i="13" a="1"/>
  <c r="B56" i="29" a="1"/>
  <c r="H3" i="22" a="1"/>
  <c r="F6" i="22" a="1"/>
  <c r="D7" i="22" a="1"/>
  <c r="F5" i="32" a="1"/>
  <c r="E5" i="22" a="1"/>
  <c r="C56" i="29" a="1"/>
  <c r="H5" i="22" a="1"/>
  <c r="H4" i="32" a="1"/>
  <c r="E9" i="13" a="1"/>
  <c r="C7" i="22" a="1"/>
  <c r="H22" i="33" a="1"/>
  <c r="H56" i="30" a="1"/>
  <c r="E8" i="22" a="1"/>
  <c r="H56" i="31" a="1"/>
  <c r="H19" i="33" a="1"/>
  <c r="G5" i="22" a="1"/>
  <c r="E4" i="13" a="1"/>
  <c r="G6" i="32" a="1"/>
  <c r="D40" i="41" a="1"/>
  <c r="D40" i="43" a="1"/>
  <c r="D40" i="38" a="1"/>
  <c r="D40" i="40" a="1"/>
  <c r="D40" i="42" a="1"/>
  <c r="C39" i="43" a="1"/>
  <c r="G12" i="34" a="1"/>
  <c r="E6" i="32" a="1"/>
  <c r="E13" i="13" a="1"/>
  <c r="F7" i="34" a="1"/>
  <c r="F24" i="34" a="1"/>
  <c r="F19" i="33" a="1"/>
  <c r="E6" i="34" a="1"/>
  <c r="E23" i="34" a="1"/>
  <c r="D56" i="29" a="1"/>
  <c r="C26" i="24" a="1"/>
  <c r="G10" i="34" a="1"/>
  <c r="F5" i="13" a="1"/>
  <c r="G5" i="13" a="1"/>
  <c r="D8" i="22" a="1"/>
  <c r="H7" i="13" a="1"/>
  <c r="F10" i="13" a="1"/>
  <c r="H5" i="13" a="1"/>
  <c r="D39" i="38" a="1"/>
  <c r="H6" i="22" a="1"/>
  <c r="F7" i="13" a="1"/>
  <c r="E10" i="13" a="1"/>
  <c r="H5" i="34" a="1"/>
  <c r="H20" i="33" a="1"/>
  <c r="C40" i="42" a="1"/>
  <c r="C40" i="43" a="1"/>
  <c r="C40" i="41" a="1"/>
  <c r="C40" i="38" a="1"/>
  <c r="C40" i="40" a="1"/>
  <c r="H56" i="29" a="1"/>
  <c r="C9" i="22" a="1"/>
  <c r="B56" i="19" a="1"/>
  <c r="D2" i="24" a="1"/>
  <c r="G3" i="32" a="1"/>
  <c r="C3" i="22" a="1"/>
  <c r="E5" i="32" a="1"/>
  <c r="H7" i="22" a="1"/>
  <c r="G24" i="33" a="1"/>
  <c r="C39" i="42" a="1"/>
  <c r="E4" i="22" a="1"/>
  <c r="D3" i="22" a="1"/>
  <c r="E6" i="22" a="1"/>
  <c r="E9" i="32" a="1"/>
  <c r="C56" i="31" a="1"/>
  <c r="E3" i="13" a="1"/>
  <c r="I56" i="31" a="1"/>
  <c r="F3" i="22" a="1"/>
  <c r="E11" i="25" a="1"/>
  <c r="C18" i="43" a="1"/>
  <c r="C18" i="40" a="1"/>
  <c r="E5" i="13" a="1"/>
  <c r="G10" i="13" a="1"/>
  <c r="G7" i="32" a="1"/>
  <c r="H5" i="32" a="1"/>
  <c r="F7" i="22" a="1"/>
  <c r="H10" i="34" a="1"/>
  <c r="G5" i="34" a="1"/>
  <c r="C39" i="38" a="1"/>
  <c r="F9" i="13" a="1"/>
  <c r="F12" i="34" a="1"/>
  <c r="G11" i="13" a="1"/>
  <c r="H6" i="34" a="1"/>
  <c r="H23" i="34" a="1"/>
  <c r="E56" i="31" a="1"/>
  <c r="H3" i="32" a="1"/>
  <c r="F9" i="32" a="1"/>
  <c r="H21" i="33" a="1"/>
  <c r="E24" i="34" a="1"/>
  <c r="E7" i="34" a="1"/>
  <c r="H4" i="22" a="1"/>
  <c r="H23" i="33" a="1"/>
  <c r="G24" i="34" a="1"/>
  <c r="G7" i="34" a="1"/>
  <c r="F11" i="34" a="1"/>
  <c r="E9" i="34" a="1"/>
  <c r="E26" i="34" a="1"/>
  <c r="C5" i="22" a="1"/>
  <c r="E56" i="29" a="1"/>
  <c r="G9" i="32" a="1"/>
  <c r="C36" i="24" a="1"/>
  <c r="F56" i="31" a="1"/>
  <c r="C39" i="40" a="1"/>
  <c r="G13" i="13" a="1"/>
  <c r="H4" i="13" a="1"/>
  <c r="D39" i="42" a="1"/>
  <c r="H24" i="33" a="1"/>
  <c r="E10" i="34" a="1"/>
  <c r="G3" i="13" a="1"/>
  <c r="G8" i="32" a="1"/>
  <c r="D39" i="41" a="1"/>
  <c r="H10" i="32" a="1"/>
  <c r="H3" i="13" a="1"/>
  <c r="D39" i="40" a="1"/>
  <c r="H13" i="13" a="1"/>
  <c r="E12" i="13" a="1"/>
  <c r="F6" i="13" a="1"/>
  <c r="F4" i="34" a="1"/>
  <c r="F21" i="34" a="1"/>
  <c r="F23" i="33" a="1"/>
  <c r="G3" i="22" a="1"/>
  <c r="E8" i="32" a="1"/>
  <c r="G11" i="34" a="1"/>
  <c r="F23" i="34" a="1"/>
  <c r="F6" i="34" a="1"/>
  <c r="F8" i="34" a="1"/>
  <c r="F11" i="13" a="1"/>
  <c r="H6" i="32" a="1"/>
  <c r="G10" i="32" a="1"/>
  <c r="C39" i="41" a="1"/>
  <c r="F9" i="34" a="1"/>
  <c r="H26" i="34" a="1"/>
  <c r="E6" i="13" a="1"/>
  <c r="F10" i="34" a="1"/>
  <c r="E21" i="33" a="1"/>
  <c r="C56" i="19" a="1"/>
  <c r="H20" i="34" a="1"/>
  <c r="H3" i="34" a="1"/>
  <c r="D5" i="22" a="1"/>
  <c r="H8" i="32" a="1"/>
  <c r="H12" i="13" a="1"/>
  <c r="H7" i="32" a="1"/>
  <c r="G12" i="13" a="1"/>
  <c r="G5" i="32" a="1"/>
  <c r="E7" i="22" a="1"/>
  <c r="G6" i="34" a="1"/>
  <c r="G23" i="34" a="1"/>
  <c r="H8" i="22" a="1"/>
  <c r="G9" i="13" a="1"/>
  <c r="F56" i="30" a="1"/>
  <c r="F24" i="33" a="1"/>
  <c r="C31" i="24" a="1"/>
  <c r="D56" i="30" a="1"/>
  <c r="E20" i="33" a="1"/>
  <c r="F21" i="33" a="1"/>
  <c r="F4" i="22" a="1"/>
  <c r="H12" i="34" a="1"/>
  <c r="D39" i="43" a="1"/>
  <c r="B61" i="29" a="1"/>
  <c r="D18" i="40" a="1"/>
  <c r="B11" i="25" a="1"/>
  <c r="F11" i="25" a="1"/>
  <c r="D18" i="42" a="1"/>
  <c r="D11" i="25" a="1"/>
  <c r="D18" i="41" a="1"/>
  <c r="C11" i="25" a="1"/>
  <c r="H12" i="25" a="1"/>
  <c r="B18" i="42" a="1"/>
  <c r="C13" i="22" a="1"/>
  <c r="B18" i="41" a="1"/>
  <c r="B18" i="43" a="1"/>
  <c r="C18" i="42" a="1"/>
  <c r="B61" i="31" a="1"/>
  <c r="C18" i="41" a="1"/>
  <c r="G11" i="25" a="1"/>
  <c r="D18" i="43" a="1"/>
  <c r="B18" i="40" a="1"/>
  <c r="N69" i="20" l="1" a="1"/>
  <c r="N69" i="20" s="1"/>
  <c r="Q69" i="20" s="1"/>
  <c r="N79" i="20" a="1"/>
  <c r="N79" i="20" s="1"/>
  <c r="Q79" i="20" s="1"/>
  <c r="S60" i="20"/>
  <c r="T60" i="20" s="1"/>
  <c r="U60" i="20" s="1"/>
  <c r="M78" i="20" a="1"/>
  <c r="M78" i="20" s="1"/>
  <c r="P78" i="20" s="1"/>
  <c r="C30" i="24"/>
  <c r="S61" i="20"/>
  <c r="T61" i="20" s="1"/>
  <c r="V61" i="20" s="1"/>
  <c r="M72" i="20" a="1"/>
  <c r="M72" i="20" s="1"/>
  <c r="P72" i="20" s="1"/>
  <c r="S67" i="20"/>
  <c r="T67" i="20" s="1"/>
  <c r="U67" i="20" s="1"/>
  <c r="C37" i="24"/>
  <c r="S51" i="20"/>
  <c r="T51" i="20" s="1"/>
  <c r="N39" i="20" a="1"/>
  <c r="N39" i="20" s="1"/>
  <c r="Q39" i="20" s="1"/>
  <c r="N70" i="20" a="1"/>
  <c r="N70" i="20" s="1"/>
  <c r="Q70" i="20" s="1"/>
  <c r="S59" i="20"/>
  <c r="T59" i="20" s="1"/>
  <c r="U59" i="20" s="1"/>
  <c r="S43" i="20"/>
  <c r="T43" i="20" s="1"/>
  <c r="U43" i="20" s="1"/>
  <c r="M58" i="20" a="1"/>
  <c r="M58" i="20" s="1"/>
  <c r="P58" i="20" s="1"/>
  <c r="U71" i="20"/>
  <c r="V71" i="20"/>
  <c r="N49" i="20" a="1"/>
  <c r="N49" i="20" s="1"/>
  <c r="Q49" i="20" s="1"/>
  <c r="V86" i="20"/>
  <c r="S81" i="20"/>
  <c r="T81" i="20" s="1"/>
  <c r="V81" i="20" s="1"/>
  <c r="S48" i="20"/>
  <c r="T48" i="20" s="1"/>
  <c r="U48" i="20" s="1"/>
  <c r="N72" i="20" a="1"/>
  <c r="N72" i="20" s="1"/>
  <c r="Q72" i="20" s="1"/>
  <c r="M39" i="20" a="1"/>
  <c r="M39" i="20" s="1"/>
  <c r="P39" i="20" s="1"/>
  <c r="M81" i="20" a="1"/>
  <c r="M81" i="20" s="1"/>
  <c r="P81" i="20" s="1"/>
  <c r="M79" i="20" a="1"/>
  <c r="M79" i="20" s="1"/>
  <c r="P79" i="20" s="1"/>
  <c r="S80" i="20"/>
  <c r="T80" i="20" s="1"/>
  <c r="V80" i="20" s="1"/>
  <c r="S39" i="20"/>
  <c r="T39" i="20" s="1"/>
  <c r="M73" i="20" a="1"/>
  <c r="M73" i="20" s="1"/>
  <c r="P73" i="20" s="1"/>
  <c r="M63" i="20" a="1"/>
  <c r="M63" i="20" s="1"/>
  <c r="P63" i="20" s="1"/>
  <c r="M49" i="20" a="1"/>
  <c r="M49" i="20" s="1"/>
  <c r="P49" i="20" s="1"/>
  <c r="N58" i="20" a="1"/>
  <c r="N58" i="20" s="1"/>
  <c r="Q58" i="20" s="1"/>
  <c r="N40" i="20" a="1"/>
  <c r="N40" i="20" s="1"/>
  <c r="Q40" i="20" s="1"/>
  <c r="M48" i="20" a="1"/>
  <c r="M48" i="20" s="1"/>
  <c r="P48" i="20" s="1"/>
  <c r="V67" i="20"/>
  <c r="M70" i="20" a="1"/>
  <c r="M70" i="20" s="1"/>
  <c r="P70" i="20" s="1"/>
  <c r="V38" i="20"/>
  <c r="C32" i="24"/>
  <c r="M80" i="20" a="1"/>
  <c r="M80" i="20" s="1"/>
  <c r="P80" i="20" s="1"/>
  <c r="S83" i="20"/>
  <c r="T83" i="20" s="1"/>
  <c r="V83" i="20" s="1"/>
  <c r="S73" i="20"/>
  <c r="T73" i="20" s="1"/>
  <c r="U73" i="20" s="1"/>
  <c r="N42" i="20" a="1"/>
  <c r="N42" i="20" s="1"/>
  <c r="Q42" i="20" s="1"/>
  <c r="M69" i="20" a="1"/>
  <c r="M69" i="20" s="1"/>
  <c r="P69" i="20" s="1"/>
  <c r="U85" i="20"/>
  <c r="AP85" i="20" s="1"/>
  <c r="S84" i="20"/>
  <c r="T84" i="20" s="1"/>
  <c r="U84" i="20" s="1"/>
  <c r="U52" i="20"/>
  <c r="S63" i="20"/>
  <c r="T63" i="20" s="1"/>
  <c r="S56" i="20"/>
  <c r="T56" i="20" s="1"/>
  <c r="M64" i="20" a="1"/>
  <c r="M64" i="20" s="1"/>
  <c r="P64" i="20" s="1"/>
  <c r="M42" i="20" a="1"/>
  <c r="M42" i="20" s="1"/>
  <c r="P42" i="20" s="1"/>
  <c r="M52" i="20" a="1"/>
  <c r="M52" i="20" s="1"/>
  <c r="P52" i="20" s="1"/>
  <c r="D39" i="43"/>
  <c r="C44" i="43" s="1"/>
  <c r="D44" i="43" s="1"/>
  <c r="H12" i="34"/>
  <c r="F4" i="22"/>
  <c r="M4" i="22" s="1"/>
  <c r="T4" i="22" s="1"/>
  <c r="F21" i="33"/>
  <c r="F5" i="33" s="1"/>
  <c r="E20" i="33"/>
  <c r="E4" i="33" s="1"/>
  <c r="D56" i="30"/>
  <c r="C31" i="24"/>
  <c r="F24" i="33"/>
  <c r="F8" i="33" s="1"/>
  <c r="F56" i="30"/>
  <c r="G9" i="13"/>
  <c r="H8" i="22"/>
  <c r="O8" i="22" s="1"/>
  <c r="V8" i="22" s="1"/>
  <c r="G23" i="34"/>
  <c r="G6" i="34"/>
  <c r="E7" i="22"/>
  <c r="L7" i="22" s="1"/>
  <c r="S7" i="22" s="1"/>
  <c r="G5" i="32"/>
  <c r="G12" i="13"/>
  <c r="H7" i="32"/>
  <c r="H12" i="13"/>
  <c r="H8" i="32"/>
  <c r="D5" i="22"/>
  <c r="K5" i="22" s="1"/>
  <c r="R5" i="22" s="1"/>
  <c r="H3" i="34"/>
  <c r="H20" i="34"/>
  <c r="C56" i="19"/>
  <c r="C39" i="19" s="1"/>
  <c r="E21" i="33"/>
  <c r="E5" i="33" s="1"/>
  <c r="F10" i="34"/>
  <c r="E6" i="13"/>
  <c r="H26" i="34"/>
  <c r="F9" i="34"/>
  <c r="C39" i="41"/>
  <c r="C43" i="41" s="1"/>
  <c r="D43" i="41" s="1"/>
  <c r="G10" i="32"/>
  <c r="H6" i="32"/>
  <c r="F11" i="13"/>
  <c r="F8" i="34"/>
  <c r="F6" i="34"/>
  <c r="F23" i="34"/>
  <c r="G11" i="34"/>
  <c r="E8" i="32"/>
  <c r="G3" i="22"/>
  <c r="N3" i="22" s="1"/>
  <c r="U3" i="22" s="1"/>
  <c r="F23" i="33"/>
  <c r="F7" i="33" s="1"/>
  <c r="F21" i="34"/>
  <c r="F4" i="34"/>
  <c r="F6" i="13"/>
  <c r="E12" i="13"/>
  <c r="H13" i="13"/>
  <c r="D39" i="40"/>
  <c r="C44" i="40" s="1"/>
  <c r="D44" i="40" s="1"/>
  <c r="H3" i="13"/>
  <c r="H10" i="32"/>
  <c r="D39" i="41"/>
  <c r="C44" i="41" s="1"/>
  <c r="D44" i="41" s="1"/>
  <c r="G8" i="32"/>
  <c r="G3" i="13"/>
  <c r="E10" i="34"/>
  <c r="H24" i="33"/>
  <c r="H8" i="33" s="1"/>
  <c r="D39" i="42"/>
  <c r="C44" i="42" s="1"/>
  <c r="D44" i="42" s="1"/>
  <c r="H4" i="13"/>
  <c r="G13" i="13"/>
  <c r="C39" i="40"/>
  <c r="C43" i="40" s="1"/>
  <c r="D43" i="40" s="1"/>
  <c r="F56" i="31"/>
  <c r="C36" i="24"/>
  <c r="G9" i="32"/>
  <c r="E56" i="29"/>
  <c r="C5" i="22"/>
  <c r="J5" i="22" s="1"/>
  <c r="Q5" i="22" s="1"/>
  <c r="E26" i="34"/>
  <c r="E9" i="34"/>
  <c r="F11" i="34"/>
  <c r="G7" i="34"/>
  <c r="G24" i="34"/>
  <c r="H23" i="33"/>
  <c r="H7" i="33" s="1"/>
  <c r="H4" i="22"/>
  <c r="O4" i="22" s="1"/>
  <c r="V4" i="22" s="1"/>
  <c r="E7" i="34"/>
  <c r="E24" i="34"/>
  <c r="H21" i="33"/>
  <c r="H5" i="33" s="1"/>
  <c r="F9" i="32"/>
  <c r="H3" i="32"/>
  <c r="E56" i="31"/>
  <c r="E46" i="31" s="1"/>
  <c r="H23" i="34"/>
  <c r="H6" i="34"/>
  <c r="G11" i="13"/>
  <c r="F12" i="34"/>
  <c r="F9" i="13"/>
  <c r="C39" i="38"/>
  <c r="C43" i="38" s="1"/>
  <c r="D43" i="38" s="1"/>
  <c r="G5" i="34"/>
  <c r="H10" i="34"/>
  <c r="F7" i="22"/>
  <c r="M7" i="22" s="1"/>
  <c r="T7" i="22" s="1"/>
  <c r="H5" i="32"/>
  <c r="G7" i="32"/>
  <c r="G10" i="13"/>
  <c r="E5" i="13"/>
  <c r="F3" i="22"/>
  <c r="M3" i="22" s="1"/>
  <c r="T3" i="22" s="1"/>
  <c r="I56" i="31"/>
  <c r="I57" i="31" s="1"/>
  <c r="D4" i="31" s="1"/>
  <c r="E3" i="13"/>
  <c r="C56" i="31"/>
  <c r="C38" i="31" s="1"/>
  <c r="E9" i="32"/>
  <c r="E6" i="22"/>
  <c r="L6" i="22" s="1"/>
  <c r="S6" i="22" s="1"/>
  <c r="D3" i="22"/>
  <c r="K3" i="22" s="1"/>
  <c r="R3" i="22" s="1"/>
  <c r="E4" i="22"/>
  <c r="L4" i="22" s="1"/>
  <c r="S4" i="22" s="1"/>
  <c r="C39" i="42"/>
  <c r="C43" i="42" s="1"/>
  <c r="D43" i="42" s="1"/>
  <c r="G24" i="33"/>
  <c r="G8" i="33" s="1"/>
  <c r="H7" i="22"/>
  <c r="O7" i="22" s="1"/>
  <c r="V7" i="22" s="1"/>
  <c r="E5" i="32"/>
  <c r="C3" i="22"/>
  <c r="J3" i="22" s="1"/>
  <c r="Q3" i="22" s="1"/>
  <c r="G3" i="32"/>
  <c r="D2" i="24"/>
  <c r="B56" i="19"/>
  <c r="B57" i="19" s="1"/>
  <c r="C9" i="22"/>
  <c r="J9" i="22" s="1"/>
  <c r="Q9" i="22" s="1"/>
  <c r="H56" i="29"/>
  <c r="H57" i="29" s="1"/>
  <c r="C40" i="40"/>
  <c r="E45" i="40" s="1"/>
  <c r="F45" i="40" s="1"/>
  <c r="C40" i="38"/>
  <c r="E45" i="38" s="1"/>
  <c r="F45" i="38" s="1"/>
  <c r="C40" i="41"/>
  <c r="E45" i="41" s="1"/>
  <c r="F45" i="41" s="1"/>
  <c r="C40" i="43"/>
  <c r="E45" i="43" s="1"/>
  <c r="F45" i="43" s="1"/>
  <c r="C40" i="42"/>
  <c r="E45" i="42" s="1"/>
  <c r="F45" i="42" s="1"/>
  <c r="H20" i="33"/>
  <c r="H4" i="33" s="1"/>
  <c r="H5" i="34"/>
  <c r="E10" i="13"/>
  <c r="F7" i="13"/>
  <c r="H6" i="22"/>
  <c r="O6" i="22" s="1"/>
  <c r="V6" i="22" s="1"/>
  <c r="D39" i="38"/>
  <c r="C44" i="38" s="1"/>
  <c r="D44" i="38" s="1"/>
  <c r="H5" i="13"/>
  <c r="F10" i="13"/>
  <c r="H7" i="13"/>
  <c r="D8" i="22"/>
  <c r="K8" i="22" s="1"/>
  <c r="R8" i="22" s="1"/>
  <c r="G5" i="13"/>
  <c r="F5" i="13"/>
  <c r="G10" i="34"/>
  <c r="J10" i="34" s="1"/>
  <c r="K10" i="34" s="1"/>
  <c r="C26" i="24"/>
  <c r="D56" i="29"/>
  <c r="D40" i="29" s="1"/>
  <c r="E23" i="34"/>
  <c r="E6" i="34"/>
  <c r="F19" i="33"/>
  <c r="F3" i="33" s="1"/>
  <c r="F24" i="34"/>
  <c r="F7" i="34"/>
  <c r="E13" i="13"/>
  <c r="E6" i="32"/>
  <c r="G12" i="34"/>
  <c r="C39" i="43"/>
  <c r="C43" i="43" s="1"/>
  <c r="D43" i="43" s="1"/>
  <c r="D40" i="42"/>
  <c r="E46" i="42" s="1"/>
  <c r="F46" i="42" s="1"/>
  <c r="D40" i="40"/>
  <c r="E46" i="40" s="1"/>
  <c r="F46" i="40" s="1"/>
  <c r="D40" i="38"/>
  <c r="E46" i="38" s="1"/>
  <c r="F46" i="38" s="1"/>
  <c r="D40" i="43"/>
  <c r="E46" i="43" s="1"/>
  <c r="F46" i="43" s="1"/>
  <c r="D40" i="41"/>
  <c r="E46" i="41" s="1"/>
  <c r="F46" i="41" s="1"/>
  <c r="G6" i="32"/>
  <c r="E4" i="13"/>
  <c r="G5" i="22"/>
  <c r="N5" i="22" s="1"/>
  <c r="U5" i="22" s="1"/>
  <c r="H19" i="33"/>
  <c r="H3" i="33" s="1"/>
  <c r="H56" i="31"/>
  <c r="H57" i="31" s="1"/>
  <c r="M4" i="31" s="1"/>
  <c r="E8" i="22"/>
  <c r="L8" i="22" s="1"/>
  <c r="S8" i="22" s="1"/>
  <c r="H56" i="30"/>
  <c r="H57" i="30" s="1"/>
  <c r="M3" i="30" s="1"/>
  <c r="H22" i="33"/>
  <c r="H6" i="33" s="1"/>
  <c r="C7" i="22"/>
  <c r="J7" i="22" s="1"/>
  <c r="Q7" i="22" s="1"/>
  <c r="E9" i="13"/>
  <c r="H4" i="32"/>
  <c r="H5" i="22"/>
  <c r="O5" i="22" s="1"/>
  <c r="V5" i="22" s="1"/>
  <c r="C56" i="29"/>
  <c r="E5" i="22"/>
  <c r="L5" i="22" s="1"/>
  <c r="S5" i="22" s="1"/>
  <c r="F5" i="32"/>
  <c r="D7" i="22"/>
  <c r="K7" i="22" s="1"/>
  <c r="R7" i="22" s="1"/>
  <c r="F6" i="22"/>
  <c r="M6" i="22" s="1"/>
  <c r="T6" i="22" s="1"/>
  <c r="H3" i="22"/>
  <c r="O3" i="22" s="1"/>
  <c r="V3" i="22" s="1"/>
  <c r="B56" i="29"/>
  <c r="B57" i="29" s="1"/>
  <c r="G7" i="13"/>
  <c r="G19" i="33"/>
  <c r="G3" i="33" s="1"/>
  <c r="H9" i="32"/>
  <c r="G56" i="29"/>
  <c r="G38" i="29" s="1"/>
  <c r="F3" i="34"/>
  <c r="F20" i="34"/>
  <c r="I56" i="29"/>
  <c r="I57" i="29" s="1"/>
  <c r="D4" i="29" s="1"/>
  <c r="C25" i="24"/>
  <c r="C22" i="24" s="1"/>
  <c r="C17" i="24" s="1"/>
  <c r="F8" i="22"/>
  <c r="M8" i="22" s="1"/>
  <c r="T8" i="22" s="1"/>
  <c r="H11" i="13"/>
  <c r="C4" i="22"/>
  <c r="J4" i="22" s="1"/>
  <c r="Q4" i="22" s="1"/>
  <c r="B56" i="30"/>
  <c r="B57" i="30" s="1"/>
  <c r="G22" i="33"/>
  <c r="G6" i="33" s="1"/>
  <c r="F13" i="13"/>
  <c r="G56" i="19"/>
  <c r="G46" i="19" s="1"/>
  <c r="D56" i="31"/>
  <c r="D38" i="31" s="1"/>
  <c r="G21" i="34"/>
  <c r="G4" i="34"/>
  <c r="J4" i="34" s="1"/>
  <c r="K4" i="34" s="1"/>
  <c r="E22" i="33"/>
  <c r="E6" i="33" s="1"/>
  <c r="H11" i="34"/>
  <c r="G4" i="32"/>
  <c r="F22" i="33"/>
  <c r="F6" i="33" s="1"/>
  <c r="F12" i="13"/>
  <c r="E10" i="32"/>
  <c r="E2" i="24"/>
  <c r="D56" i="19"/>
  <c r="D50" i="19" s="1"/>
  <c r="D9" i="22"/>
  <c r="K9" i="22" s="1"/>
  <c r="R9" i="22" s="1"/>
  <c r="E7" i="32"/>
  <c r="E56" i="30"/>
  <c r="E24" i="33"/>
  <c r="E8" i="33" s="1"/>
  <c r="G9" i="34"/>
  <c r="G26" i="34"/>
  <c r="F3" i="32"/>
  <c r="E8" i="34"/>
  <c r="G23" i="33"/>
  <c r="G7" i="33" s="1"/>
  <c r="F5" i="34"/>
  <c r="E3" i="34"/>
  <c r="E20" i="34"/>
  <c r="D4" i="22"/>
  <c r="K4" i="22" s="1"/>
  <c r="R4" i="22" s="1"/>
  <c r="H8" i="13"/>
  <c r="E7" i="13"/>
  <c r="G8" i="34"/>
  <c r="G6" i="13"/>
  <c r="F26" i="34"/>
  <c r="H9" i="34"/>
  <c r="E11" i="13"/>
  <c r="H9" i="13"/>
  <c r="J9" i="13" s="1"/>
  <c r="K9" i="13" s="1"/>
  <c r="H8" i="34"/>
  <c r="E11" i="34"/>
  <c r="H7" i="34"/>
  <c r="H24" i="34"/>
  <c r="E8" i="13"/>
  <c r="I56" i="19"/>
  <c r="I57" i="19" s="1"/>
  <c r="D4" i="19" s="1"/>
  <c r="H9" i="22"/>
  <c r="O9" i="22" s="1"/>
  <c r="V9" i="22" s="1"/>
  <c r="I2" i="24"/>
  <c r="F56" i="29"/>
  <c r="F41" i="29" s="1"/>
  <c r="G6" i="22"/>
  <c r="N6" i="22" s="1"/>
  <c r="U6" i="22" s="1"/>
  <c r="G8" i="13"/>
  <c r="F2" i="24"/>
  <c r="E9" i="22"/>
  <c r="L9" i="22" s="1"/>
  <c r="S9" i="22" s="1"/>
  <c r="E56" i="19"/>
  <c r="E57" i="19" s="1"/>
  <c r="F3" i="19" s="1"/>
  <c r="G20" i="33"/>
  <c r="G4" i="33" s="1"/>
  <c r="F6" i="32"/>
  <c r="E12" i="34"/>
  <c r="J12" i="34" s="1"/>
  <c r="K12" i="34" s="1"/>
  <c r="F4" i="13"/>
  <c r="F5" i="22"/>
  <c r="M5" i="22" s="1"/>
  <c r="T5" i="22" s="1"/>
  <c r="G56" i="30"/>
  <c r="G46" i="30" s="1"/>
  <c r="F8" i="13"/>
  <c r="E4" i="32"/>
  <c r="F3" i="13"/>
  <c r="F10" i="32"/>
  <c r="H6" i="13"/>
  <c r="J6" i="13" s="1"/>
  <c r="K6" i="13" s="1"/>
  <c r="G4" i="22"/>
  <c r="N4" i="22" s="1"/>
  <c r="U4" i="22" s="1"/>
  <c r="C6" i="22"/>
  <c r="J6" i="22" s="1"/>
  <c r="Q6" i="22" s="1"/>
  <c r="H10" i="13"/>
  <c r="G56" i="31"/>
  <c r="G37" i="31" s="1"/>
  <c r="E23" i="33"/>
  <c r="E7" i="33" s="1"/>
  <c r="E3" i="22"/>
  <c r="L3" i="22" s="1"/>
  <c r="S3" i="22" s="1"/>
  <c r="F20" i="33"/>
  <c r="F4" i="33" s="1"/>
  <c r="I56" i="30"/>
  <c r="I57" i="30" s="1"/>
  <c r="D4" i="30" s="1"/>
  <c r="F56" i="19"/>
  <c r="F36" i="19" s="1"/>
  <c r="F9" i="22"/>
  <c r="M9" i="22" s="1"/>
  <c r="T9" i="22" s="1"/>
  <c r="G2" i="24"/>
  <c r="G20" i="34"/>
  <c r="G3" i="34"/>
  <c r="E21" i="34"/>
  <c r="E4" i="34"/>
  <c r="E5" i="34"/>
  <c r="F7" i="32"/>
  <c r="F4" i="32"/>
  <c r="G7" i="22"/>
  <c r="N7" i="22" s="1"/>
  <c r="U7" i="22" s="1"/>
  <c r="D6" i="22"/>
  <c r="K6" i="22" s="1"/>
  <c r="R6" i="22" s="1"/>
  <c r="F8" i="32"/>
  <c r="H21" i="34"/>
  <c r="H4" i="34"/>
  <c r="C56" i="30"/>
  <c r="G4" i="13"/>
  <c r="E3" i="32"/>
  <c r="J3" i="32" s="1"/>
  <c r="K3" i="32" s="1"/>
  <c r="G21" i="33"/>
  <c r="G5" i="33" s="1"/>
  <c r="G8" i="22"/>
  <c r="N8" i="22" s="1"/>
  <c r="U8" i="22" s="1"/>
  <c r="C8" i="22"/>
  <c r="J8" i="22" s="1"/>
  <c r="Q8" i="22" s="1"/>
  <c r="B56" i="31"/>
  <c r="B57" i="31" s="1"/>
  <c r="E19" i="33"/>
  <c r="E3" i="33" s="1"/>
  <c r="V56" i="20"/>
  <c r="U56" i="20"/>
  <c r="S44" i="20"/>
  <c r="T44" i="20" s="1"/>
  <c r="S57" i="20"/>
  <c r="T57" i="20" s="1"/>
  <c r="S75" i="20"/>
  <c r="T75" i="20" s="1"/>
  <c r="S74" i="20"/>
  <c r="T74" i="20" s="1"/>
  <c r="S78" i="20"/>
  <c r="T78" i="20" s="1"/>
  <c r="S77" i="20"/>
  <c r="T77" i="20" s="1"/>
  <c r="S68" i="20"/>
  <c r="T68" i="20" s="1"/>
  <c r="S66" i="20"/>
  <c r="T66" i="20" s="1"/>
  <c r="S58" i="20"/>
  <c r="T58" i="20" s="1"/>
  <c r="D2" i="29"/>
  <c r="O1" i="29" s="1"/>
  <c r="D2" i="31"/>
  <c r="O1" i="31" s="1"/>
  <c r="E1" i="34"/>
  <c r="E1" i="13"/>
  <c r="D2" i="19"/>
  <c r="O1" i="19" s="1"/>
  <c r="D2" i="30"/>
  <c r="O1" i="30" s="1"/>
  <c r="E1" i="32"/>
  <c r="S54" i="20"/>
  <c r="T54" i="20" s="1"/>
  <c r="S76" i="20"/>
  <c r="T76" i="20" s="1"/>
  <c r="N73" i="20" a="1"/>
  <c r="N73" i="20" s="1"/>
  <c r="Q73" i="20" s="1"/>
  <c r="N63" i="20" a="1"/>
  <c r="N63" i="20" s="1"/>
  <c r="Q63" i="20" s="1"/>
  <c r="S50" i="20"/>
  <c r="T50" i="20" s="1"/>
  <c r="V79" i="20"/>
  <c r="BC79" i="20" s="1"/>
  <c r="M4" i="19"/>
  <c r="S72" i="20"/>
  <c r="T72" i="20" s="1"/>
  <c r="N81" i="20" a="1"/>
  <c r="N81" i="20" s="1"/>
  <c r="Q81" i="20" s="1"/>
  <c r="S64" i="20"/>
  <c r="T64" i="20" s="1"/>
  <c r="S46" i="20"/>
  <c r="T46" i="20" s="1"/>
  <c r="S69" i="20"/>
  <c r="T69" i="20" s="1"/>
  <c r="S47" i="20"/>
  <c r="T47" i="20" s="1"/>
  <c r="M66" i="20" a="1"/>
  <c r="M66" i="20" s="1"/>
  <c r="P66" i="20" s="1"/>
  <c r="N75" i="20" a="1"/>
  <c r="N75" i="20" s="1"/>
  <c r="Q75" i="20" s="1"/>
  <c r="S41" i="20"/>
  <c r="T41" i="20" s="1"/>
  <c r="U41" i="20" s="1"/>
  <c r="S45" i="20"/>
  <c r="T45" i="20" s="1"/>
  <c r="S55" i="20"/>
  <c r="T55" i="20" s="1"/>
  <c r="M75" i="20" a="1"/>
  <c r="M75" i="20" s="1"/>
  <c r="P75" i="20" s="1"/>
  <c r="N66" i="20" a="1"/>
  <c r="N66" i="20" s="1"/>
  <c r="Q66" i="20" s="1"/>
  <c r="S65" i="20"/>
  <c r="T65" i="20" s="1"/>
  <c r="S42" i="20"/>
  <c r="T42" i="20" s="1"/>
  <c r="S62" i="20"/>
  <c r="T62" i="20" s="1"/>
  <c r="S70" i="20"/>
  <c r="T70" i="20" s="1"/>
  <c r="V59" i="20"/>
  <c r="BD59" i="20" s="1"/>
  <c r="V82" i="20"/>
  <c r="AY82" i="20" s="1"/>
  <c r="V49" i="20"/>
  <c r="BD49" i="20" s="1"/>
  <c r="D43" i="29"/>
  <c r="F50" i="31"/>
  <c r="F43" i="31"/>
  <c r="J5" i="32"/>
  <c r="K5" i="32" s="1"/>
  <c r="J8" i="32"/>
  <c r="K8" i="32" s="1"/>
  <c r="J7" i="32"/>
  <c r="K7" i="32" s="1"/>
  <c r="AT53" i="20"/>
  <c r="G37" i="30"/>
  <c r="J13" i="13"/>
  <c r="K13" i="13" s="1"/>
  <c r="E38" i="31"/>
  <c r="V60" i="20"/>
  <c r="AR60" i="20" s="1"/>
  <c r="W4" i="22"/>
  <c r="X4" i="22" s="1"/>
  <c r="D39" i="29"/>
  <c r="E40" i="29"/>
  <c r="G57" i="29"/>
  <c r="K4" i="29" s="1"/>
  <c r="E43" i="29"/>
  <c r="G43" i="29"/>
  <c r="G36" i="29"/>
  <c r="F40" i="19"/>
  <c r="E51" i="31"/>
  <c r="E49" i="29"/>
  <c r="D57" i="29"/>
  <c r="E3" i="29" s="1"/>
  <c r="I4" i="29" s="1"/>
  <c r="E43" i="31"/>
  <c r="E36" i="31"/>
  <c r="G37" i="19"/>
  <c r="D47" i="29"/>
  <c r="E47" i="29"/>
  <c r="G44" i="29"/>
  <c r="E37" i="31"/>
  <c r="D41" i="29"/>
  <c r="E50" i="29"/>
  <c r="D37" i="29"/>
  <c r="G39" i="29"/>
  <c r="D48" i="29"/>
  <c r="E39" i="29"/>
  <c r="G51" i="29"/>
  <c r="G43" i="19"/>
  <c r="E36" i="29"/>
  <c r="D42" i="29"/>
  <c r="U40" i="20"/>
  <c r="AR40" i="20" s="1"/>
  <c r="G46" i="29"/>
  <c r="E37" i="29"/>
  <c r="G42" i="29"/>
  <c r="G37" i="29"/>
  <c r="C38" i="19"/>
  <c r="G49" i="19"/>
  <c r="D49" i="29"/>
  <c r="D51" i="29"/>
  <c r="E39" i="31"/>
  <c r="D46" i="29"/>
  <c r="C48" i="19"/>
  <c r="E45" i="31"/>
  <c r="E48" i="31"/>
  <c r="E50" i="31"/>
  <c r="C51" i="19"/>
  <c r="C47" i="19"/>
  <c r="E44" i="31"/>
  <c r="C46" i="19"/>
  <c r="C41" i="19"/>
  <c r="C50" i="19"/>
  <c r="C45" i="19"/>
  <c r="C42" i="19"/>
  <c r="C49" i="19"/>
  <c r="E40" i="31"/>
  <c r="J9" i="32"/>
  <c r="K9" i="32" s="1"/>
  <c r="G45" i="29"/>
  <c r="C44" i="19"/>
  <c r="E41" i="31"/>
  <c r="E42" i="31"/>
  <c r="E49" i="31"/>
  <c r="C40" i="19"/>
  <c r="E47" i="31"/>
  <c r="G41" i="30"/>
  <c r="G38" i="30"/>
  <c r="G57" i="30"/>
  <c r="K4" i="30" s="1"/>
  <c r="G44" i="30"/>
  <c r="G43" i="30"/>
  <c r="G48" i="30"/>
  <c r="M4" i="30"/>
  <c r="G39" i="30"/>
  <c r="J3" i="33"/>
  <c r="K3" i="33" s="1"/>
  <c r="G42" i="30"/>
  <c r="G49" i="30"/>
  <c r="J7" i="13"/>
  <c r="K7" i="13" s="1"/>
  <c r="J12" i="13"/>
  <c r="K12" i="13" s="1"/>
  <c r="J4" i="33"/>
  <c r="K4" i="33" s="1"/>
  <c r="F50" i="30"/>
  <c r="F57" i="30"/>
  <c r="G3" i="30" s="1"/>
  <c r="J4" i="30" s="1"/>
  <c r="G51" i="31"/>
  <c r="G48" i="31"/>
  <c r="C43" i="19"/>
  <c r="C37" i="19"/>
  <c r="J8" i="33"/>
  <c r="K8" i="33" s="1"/>
  <c r="F48" i="30"/>
  <c r="D49" i="30"/>
  <c r="G45" i="31"/>
  <c r="G39" i="31"/>
  <c r="F42" i="30"/>
  <c r="F51" i="30"/>
  <c r="F43" i="30"/>
  <c r="D43" i="30"/>
  <c r="C57" i="19"/>
  <c r="H4" i="19" s="1"/>
  <c r="D50" i="30"/>
  <c r="D40" i="30"/>
  <c r="G47" i="31"/>
  <c r="F46" i="30"/>
  <c r="D42" i="30"/>
  <c r="G43" i="31"/>
  <c r="C36" i="19"/>
  <c r="G40" i="19"/>
  <c r="D47" i="30"/>
  <c r="G41" i="19"/>
  <c r="G44" i="19"/>
  <c r="C41" i="31"/>
  <c r="G48" i="19"/>
  <c r="G57" i="19"/>
  <c r="K4" i="19" s="1"/>
  <c r="W3" i="22"/>
  <c r="X3" i="22" s="1"/>
  <c r="Y3" i="22" s="1"/>
  <c r="B61" i="29"/>
  <c r="W9" i="22"/>
  <c r="X9" i="22" s="1"/>
  <c r="W8" i="22"/>
  <c r="X8" i="22" s="1"/>
  <c r="C40" i="31"/>
  <c r="AT85" i="20"/>
  <c r="J6" i="34"/>
  <c r="K6" i="34" s="1"/>
  <c r="B61" i="31"/>
  <c r="C57" i="31"/>
  <c r="H4" i="31" s="1"/>
  <c r="C51" i="31"/>
  <c r="Y4" i="22"/>
  <c r="L4" i="31"/>
  <c r="L3" i="31"/>
  <c r="AV85" i="20"/>
  <c r="V51" i="20"/>
  <c r="U51" i="20"/>
  <c r="D36" i="30"/>
  <c r="D44" i="30"/>
  <c r="D38" i="30"/>
  <c r="D41" i="30"/>
  <c r="D45" i="30"/>
  <c r="D46" i="30"/>
  <c r="D39" i="30"/>
  <c r="D51" i="30"/>
  <c r="G40" i="31"/>
  <c r="G50" i="31"/>
  <c r="J5" i="33"/>
  <c r="K5" i="33" s="1"/>
  <c r="AR85" i="20"/>
  <c r="D45" i="31"/>
  <c r="F51" i="31"/>
  <c r="F49" i="31"/>
  <c r="F38" i="31"/>
  <c r="U39" i="20"/>
  <c r="V39" i="20"/>
  <c r="C48" i="31"/>
  <c r="C37" i="31"/>
  <c r="C44" i="31"/>
  <c r="C49" i="31"/>
  <c r="C47" i="31"/>
  <c r="C45" i="31"/>
  <c r="AW85" i="20"/>
  <c r="AU85" i="20"/>
  <c r="BC85" i="20"/>
  <c r="BB85" i="20"/>
  <c r="AO85" i="20"/>
  <c r="M4" i="29"/>
  <c r="M3" i="29"/>
  <c r="E50" i="19"/>
  <c r="F50" i="29"/>
  <c r="AY85" i="20"/>
  <c r="AZ85" i="20"/>
  <c r="V63" i="20"/>
  <c r="U63" i="20"/>
  <c r="E38" i="19"/>
  <c r="E45" i="19"/>
  <c r="AP53" i="20"/>
  <c r="AN79" i="20"/>
  <c r="AO79" i="20"/>
  <c r="AX40" i="20"/>
  <c r="AX82" i="20"/>
  <c r="BA82" i="20"/>
  <c r="AV82" i="20"/>
  <c r="BB82" i="20"/>
  <c r="AX53" i="20"/>
  <c r="AU53" i="20"/>
  <c r="BA53" i="20"/>
  <c r="AV53" i="20"/>
  <c r="AQ53" i="20"/>
  <c r="BC53" i="20"/>
  <c r="AO53" i="20"/>
  <c r="BD53" i="20"/>
  <c r="AY53" i="20"/>
  <c r="AR53" i="20"/>
  <c r="AZ53" i="20"/>
  <c r="AP82" i="20"/>
  <c r="BC82" i="20"/>
  <c r="BD82" i="20"/>
  <c r="AW53" i="20"/>
  <c r="AN53" i="20"/>
  <c r="BB53" i="20"/>
  <c r="AU79" i="20"/>
  <c r="BB79" i="20"/>
  <c r="AX79" i="20"/>
  <c r="AQ79" i="20"/>
  <c r="AY79" i="20"/>
  <c r="BA79" i="20"/>
  <c r="AP79" i="20"/>
  <c r="AR79" i="20"/>
  <c r="AV40" i="20"/>
  <c r="BD60" i="20"/>
  <c r="BD79" i="20"/>
  <c r="AP60" i="20"/>
  <c r="AZ79" i="20"/>
  <c r="AU40" i="20"/>
  <c r="AT67" i="20"/>
  <c r="C13" i="22"/>
  <c r="AR86" i="20"/>
  <c r="AP86" i="20"/>
  <c r="AS86" i="20"/>
  <c r="BD86" i="20"/>
  <c r="AU86" i="20"/>
  <c r="AT86" i="20"/>
  <c r="AQ86" i="20"/>
  <c r="AX86" i="20"/>
  <c r="AO86" i="20"/>
  <c r="BB86" i="20"/>
  <c r="AV86" i="20"/>
  <c r="AZ86" i="20"/>
  <c r="AW86" i="20"/>
  <c r="BA86" i="20"/>
  <c r="AY86" i="20"/>
  <c r="AN86" i="20"/>
  <c r="BC86" i="20"/>
  <c r="AT49" i="20"/>
  <c r="AN49" i="20"/>
  <c r="BA49" i="20"/>
  <c r="AQ49" i="20"/>
  <c r="BB49" i="20"/>
  <c r="AV49" i="20"/>
  <c r="AU67" i="20"/>
  <c r="AS67" i="20"/>
  <c r="BB67" i="20"/>
  <c r="BD67" i="20"/>
  <c r="AY67" i="20"/>
  <c r="AQ67" i="20"/>
  <c r="AN67" i="20"/>
  <c r="AO67" i="20"/>
  <c r="BA67" i="20"/>
  <c r="AW67" i="20"/>
  <c r="AP67" i="20"/>
  <c r="AZ67" i="20"/>
  <c r="AR67" i="20"/>
  <c r="AV67" i="20"/>
  <c r="AX67" i="20"/>
  <c r="BC67" i="20"/>
  <c r="BD71" i="20"/>
  <c r="AP71" i="20"/>
  <c r="AU71" i="20"/>
  <c r="AY71" i="20"/>
  <c r="AS71" i="20"/>
  <c r="AT71" i="20"/>
  <c r="AN71" i="20"/>
  <c r="AO71" i="20"/>
  <c r="AZ71" i="20"/>
  <c r="AV71" i="20"/>
  <c r="AX71" i="20"/>
  <c r="AQ71" i="20"/>
  <c r="AR71" i="20"/>
  <c r="BB71" i="20"/>
  <c r="AW71" i="20"/>
  <c r="BA71" i="20"/>
  <c r="BC71" i="20"/>
  <c r="AU52" i="20"/>
  <c r="AQ52" i="20"/>
  <c r="BD52" i="20"/>
  <c r="AN52" i="20"/>
  <c r="AY52" i="20"/>
  <c r="BA52" i="20"/>
  <c r="AO52" i="20"/>
  <c r="AS52" i="20"/>
  <c r="AR52" i="20"/>
  <c r="AT52" i="20"/>
  <c r="AP52" i="20"/>
  <c r="AX52" i="20"/>
  <c r="BB52" i="20"/>
  <c r="AZ52" i="20"/>
  <c r="BC52" i="20"/>
  <c r="AV52" i="20"/>
  <c r="AW52" i="20"/>
  <c r="AX60" i="20"/>
  <c r="AO38" i="20"/>
  <c r="AS38" i="20"/>
  <c r="AY38" i="20"/>
  <c r="AQ38" i="20"/>
  <c r="BD38" i="20"/>
  <c r="BC38" i="20"/>
  <c r="BA38" i="20"/>
  <c r="AV38" i="20"/>
  <c r="AW38" i="20"/>
  <c r="AN38" i="20"/>
  <c r="AP38" i="20"/>
  <c r="BB38" i="20"/>
  <c r="AT38" i="20"/>
  <c r="AR38" i="20"/>
  <c r="AZ38" i="20"/>
  <c r="AU38" i="20"/>
  <c r="AX38" i="20"/>
  <c r="G11" i="25"/>
  <c r="H12" i="25"/>
  <c r="B11" i="25"/>
  <c r="D11" i="25"/>
  <c r="C11" i="25"/>
  <c r="E11" i="25"/>
  <c r="F11" i="25"/>
  <c r="A13" i="25"/>
  <c r="B18" i="41"/>
  <c r="B18" i="40"/>
  <c r="B18" i="43"/>
  <c r="B18" i="42"/>
  <c r="C18" i="43"/>
  <c r="D18" i="43"/>
  <c r="A20" i="43"/>
  <c r="C18" i="42"/>
  <c r="D18" i="42"/>
  <c r="A20" i="42"/>
  <c r="D18" i="41"/>
  <c r="C18" i="41"/>
  <c r="A20" i="41"/>
  <c r="D18" i="40"/>
  <c r="C18" i="40"/>
  <c r="A20" i="40"/>
  <c r="J3" i="13"/>
  <c r="J10" i="13"/>
  <c r="B46" i="13" a="1"/>
  <c r="B39" i="34" a="1"/>
  <c r="B35" i="32" a="1"/>
  <c r="C16" i="22" a="1"/>
  <c r="B40" i="34" a="1"/>
  <c r="D13" i="22" a="1"/>
  <c r="B41" i="32" a="1"/>
  <c r="B61" i="30" a="1"/>
  <c r="B37" i="13" a="1"/>
  <c r="B41" i="33" a="1"/>
  <c r="B42" i="32" a="1"/>
  <c r="B36" i="13" a="1"/>
  <c r="B37" i="34" a="1"/>
  <c r="B61" i="19" a="1"/>
  <c r="B40" i="13" a="1"/>
  <c r="D74" i="31" a="1"/>
  <c r="D70" i="31" a="1"/>
  <c r="B36" i="33" a="1"/>
  <c r="D73" i="31" a="1"/>
  <c r="D76" i="31" a="1"/>
  <c r="B36" i="34" a="1"/>
  <c r="D19" i="42" a="1"/>
  <c r="B12" i="25" a="1"/>
  <c r="D12" i="25" a="1"/>
  <c r="D42" i="22" a="1"/>
  <c r="C19" i="43" a="1"/>
  <c r="C19" i="41" a="1"/>
  <c r="B19" i="40" a="1"/>
  <c r="D34" i="22" a="1"/>
  <c r="D41" i="22" a="1"/>
  <c r="B19" i="43" a="1"/>
  <c r="D31" i="22" a="1"/>
  <c r="D19" i="40" a="1"/>
  <c r="D30" i="22" a="1"/>
  <c r="B19" i="42" a="1"/>
  <c r="C13" i="25" a="1"/>
  <c r="D29" i="22" a="1"/>
  <c r="D43" i="22" a="1"/>
  <c r="G12" i="25" a="1"/>
  <c r="D39" i="22" a="1"/>
  <c r="D19" i="41" a="1"/>
  <c r="D38" i="22" a="1"/>
  <c r="C19" i="40" a="1"/>
  <c r="D19" i="43" a="1"/>
  <c r="C12" i="25" a="1"/>
  <c r="D40" i="22" a="1"/>
  <c r="D37" i="22" a="1"/>
  <c r="B42" i="34" a="1"/>
  <c r="D36" i="22" a="1"/>
  <c r="B19" i="41" a="1"/>
  <c r="D33" i="22" a="1"/>
  <c r="D28" i="22" a="1"/>
  <c r="D32" i="22" a="1"/>
  <c r="F12" i="25" a="1"/>
  <c r="E12" i="25" a="1"/>
  <c r="B38" i="33" a="1"/>
  <c r="C19" i="42" a="1"/>
  <c r="D35" i="22" a="1"/>
  <c r="F50" i="19" l="1"/>
  <c r="U61" i="20"/>
  <c r="AV59" i="20"/>
  <c r="F39" i="19"/>
  <c r="D57" i="19"/>
  <c r="E3" i="19" s="1"/>
  <c r="I4" i="19" s="1"/>
  <c r="AU56" i="20"/>
  <c r="V43" i="20"/>
  <c r="V48" i="20"/>
  <c r="BC48" i="20" s="1"/>
  <c r="AX59" i="20"/>
  <c r="F45" i="19"/>
  <c r="F48" i="19"/>
  <c r="J7" i="33"/>
  <c r="K7" i="33" s="1"/>
  <c r="J4" i="32"/>
  <c r="K4" i="32" s="1"/>
  <c r="J9" i="34"/>
  <c r="K9" i="34" s="1"/>
  <c r="B46" i="13"/>
  <c r="AZ48" i="20"/>
  <c r="AY48" i="20"/>
  <c r="AX48" i="20"/>
  <c r="BD48" i="20"/>
  <c r="AO48" i="20"/>
  <c r="BA48" i="20"/>
  <c r="AQ48" i="20"/>
  <c r="AR48" i="20"/>
  <c r="AU48" i="20"/>
  <c r="BB48" i="20"/>
  <c r="AP48" i="20"/>
  <c r="AN48" i="20"/>
  <c r="AS48" i="20"/>
  <c r="AW48" i="20"/>
  <c r="AT48" i="20"/>
  <c r="BA59" i="20"/>
  <c r="BB59" i="20"/>
  <c r="D41" i="19"/>
  <c r="C24" i="24"/>
  <c r="C19" i="24" s="1"/>
  <c r="AT59" i="20"/>
  <c r="AU59" i="20"/>
  <c r="AP49" i="20"/>
  <c r="AQ59" i="20"/>
  <c r="AS59" i="20"/>
  <c r="BC60" i="20"/>
  <c r="F40" i="29"/>
  <c r="AN85" i="20"/>
  <c r="AQ85" i="20"/>
  <c r="BD85" i="20"/>
  <c r="D49" i="19"/>
  <c r="G42" i="31"/>
  <c r="G49" i="29"/>
  <c r="G50" i="29"/>
  <c r="AY59" i="20"/>
  <c r="AR59" i="20"/>
  <c r="AO60" i="20"/>
  <c r="AS85" i="20"/>
  <c r="BA85" i="20"/>
  <c r="D40" i="19"/>
  <c r="D39" i="19"/>
  <c r="J5" i="34"/>
  <c r="K5" i="34" s="1"/>
  <c r="AW59" i="20"/>
  <c r="AW60" i="20"/>
  <c r="AX49" i="20"/>
  <c r="AN59" i="20"/>
  <c r="AO59" i="20"/>
  <c r="AX85" i="20"/>
  <c r="J10" i="32"/>
  <c r="K10" i="32" s="1"/>
  <c r="AZ59" i="20"/>
  <c r="AP59" i="20"/>
  <c r="BC59" i="20"/>
  <c r="E39" i="19"/>
  <c r="D47" i="19"/>
  <c r="W5" i="22"/>
  <c r="X5" i="22" s="1"/>
  <c r="Z5" i="22" s="1"/>
  <c r="D48" i="19"/>
  <c r="C16" i="22"/>
  <c r="B35" i="32"/>
  <c r="B39" i="34"/>
  <c r="AY49" i="20"/>
  <c r="G39" i="19"/>
  <c r="U81" i="20"/>
  <c r="AU81" i="20" s="1"/>
  <c r="BC49" i="20"/>
  <c r="AU49" i="20"/>
  <c r="E46" i="19"/>
  <c r="E42" i="19"/>
  <c r="G45" i="19"/>
  <c r="J4" i="13"/>
  <c r="K4" i="13" s="1"/>
  <c r="C23" i="24"/>
  <c r="C18" i="24" s="1"/>
  <c r="V73" i="20"/>
  <c r="J8" i="13"/>
  <c r="K8" i="13" s="1"/>
  <c r="V84" i="20"/>
  <c r="BA40" i="20"/>
  <c r="AW79" i="20"/>
  <c r="AU82" i="20"/>
  <c r="G51" i="19"/>
  <c r="G51" i="30"/>
  <c r="G42" i="19"/>
  <c r="D50" i="29"/>
  <c r="G48" i="29"/>
  <c r="G50" i="19"/>
  <c r="G45" i="30"/>
  <c r="D36" i="29"/>
  <c r="J3" i="34"/>
  <c r="K3" i="34" s="1"/>
  <c r="J6" i="33"/>
  <c r="K6" i="33" s="1"/>
  <c r="E4" i="29"/>
  <c r="AN40" i="20"/>
  <c r="AT79" i="20"/>
  <c r="F42" i="29"/>
  <c r="D44" i="31"/>
  <c r="E48" i="19"/>
  <c r="I48" i="19" s="1"/>
  <c r="E41" i="19"/>
  <c r="J7" i="34"/>
  <c r="K7" i="34" s="1"/>
  <c r="J11" i="13"/>
  <c r="K11" i="13" s="1"/>
  <c r="AY56" i="20"/>
  <c r="E3" i="24"/>
  <c r="B37" i="34"/>
  <c r="B36" i="13"/>
  <c r="B42" i="32"/>
  <c r="B41" i="33"/>
  <c r="B37" i="13"/>
  <c r="B61" i="30"/>
  <c r="B41" i="32"/>
  <c r="D13" i="22"/>
  <c r="B40" i="34"/>
  <c r="AS40" i="20"/>
  <c r="F44" i="29"/>
  <c r="E36" i="19"/>
  <c r="E43" i="19"/>
  <c r="C42" i="31"/>
  <c r="AW49" i="20"/>
  <c r="AS49" i="20"/>
  <c r="AW40" i="20"/>
  <c r="E37" i="19"/>
  <c r="F43" i="29"/>
  <c r="F4" i="19"/>
  <c r="W7" i="22"/>
  <c r="X7" i="22" s="1"/>
  <c r="E57" i="31"/>
  <c r="F3" i="31" s="1"/>
  <c r="AZ49" i="20"/>
  <c r="AR49" i="20"/>
  <c r="AY40" i="20"/>
  <c r="AT40" i="20"/>
  <c r="F48" i="29"/>
  <c r="C39" i="31"/>
  <c r="E47" i="19"/>
  <c r="C36" i="31"/>
  <c r="W6" i="22"/>
  <c r="X6" i="22" s="1"/>
  <c r="Z6" i="22" s="1"/>
  <c r="E44" i="19"/>
  <c r="J6" i="32"/>
  <c r="K6" i="32" s="1"/>
  <c r="U83" i="20"/>
  <c r="E40" i="19"/>
  <c r="I40" i="19" s="1"/>
  <c r="U80" i="20"/>
  <c r="AY61" i="20"/>
  <c r="AO49" i="20"/>
  <c r="BB40" i="20"/>
  <c r="F45" i="29"/>
  <c r="E49" i="19"/>
  <c r="E51" i="19"/>
  <c r="C46" i="31"/>
  <c r="F36" i="29"/>
  <c r="J8" i="34"/>
  <c r="K8" i="34" s="1"/>
  <c r="I50" i="19"/>
  <c r="B36" i="34"/>
  <c r="B36" i="33"/>
  <c r="B40" i="13"/>
  <c r="B61" i="19"/>
  <c r="B41" i="37" s="1"/>
  <c r="I17" i="24"/>
  <c r="C20" i="24"/>
  <c r="E20" i="24" s="1"/>
  <c r="O21" i="24"/>
  <c r="E17" i="24"/>
  <c r="D17" i="24"/>
  <c r="O20" i="24"/>
  <c r="O19" i="24"/>
  <c r="BA60" i="20"/>
  <c r="F37" i="29"/>
  <c r="AN60" i="20"/>
  <c r="AZ60" i="20"/>
  <c r="AP40" i="20"/>
  <c r="AQ82" i="20"/>
  <c r="D45" i="19"/>
  <c r="AR56" i="20"/>
  <c r="AV60" i="20"/>
  <c r="AU60" i="20"/>
  <c r="AT60" i="20"/>
  <c r="AS79" i="20"/>
  <c r="F51" i="29"/>
  <c r="D44" i="19"/>
  <c r="F47" i="29"/>
  <c r="E4" i="19"/>
  <c r="AY60" i="20"/>
  <c r="AQ60" i="20"/>
  <c r="BB60" i="20"/>
  <c r="BD40" i="20"/>
  <c r="AW82" i="20"/>
  <c r="AO82" i="20"/>
  <c r="AR82" i="20"/>
  <c r="AS82" i="20"/>
  <c r="M3" i="31"/>
  <c r="D38" i="19"/>
  <c r="F49" i="29"/>
  <c r="F39" i="29"/>
  <c r="D42" i="19"/>
  <c r="AQ40" i="20"/>
  <c r="AS60" i="20"/>
  <c r="AO40" i="20"/>
  <c r="AZ40" i="20"/>
  <c r="AT82" i="20"/>
  <c r="BC40" i="20"/>
  <c r="AN82" i="20"/>
  <c r="AZ82" i="20"/>
  <c r="D36" i="19"/>
  <c r="J5" i="13"/>
  <c r="K5" i="13" s="1"/>
  <c r="B38" i="33"/>
  <c r="B42" i="34"/>
  <c r="U42" i="20"/>
  <c r="V42" i="20"/>
  <c r="U77" i="20"/>
  <c r="V77" i="20"/>
  <c r="F42" i="19"/>
  <c r="F57" i="19"/>
  <c r="G3" i="19" s="1"/>
  <c r="F51" i="19"/>
  <c r="F44" i="19"/>
  <c r="F37" i="19"/>
  <c r="F49" i="19"/>
  <c r="F41" i="19"/>
  <c r="L4" i="19"/>
  <c r="L3" i="19"/>
  <c r="F38" i="19"/>
  <c r="F46" i="19"/>
  <c r="AZ56" i="20"/>
  <c r="U65" i="20"/>
  <c r="V65" i="20"/>
  <c r="U47" i="20"/>
  <c r="V47" i="20"/>
  <c r="V50" i="20"/>
  <c r="U50" i="20"/>
  <c r="V78" i="20"/>
  <c r="U78" i="20"/>
  <c r="C49" i="30"/>
  <c r="C41" i="30"/>
  <c r="C44" i="30"/>
  <c r="C46" i="30"/>
  <c r="C37" i="30"/>
  <c r="C50" i="30"/>
  <c r="C42" i="30"/>
  <c r="C47" i="30"/>
  <c r="C36" i="30"/>
  <c r="C57" i="30"/>
  <c r="H4" i="30" s="1"/>
  <c r="C39" i="30"/>
  <c r="C45" i="30"/>
  <c r="C38" i="30"/>
  <c r="C43" i="30"/>
  <c r="C51" i="30"/>
  <c r="C40" i="30"/>
  <c r="C48" i="30"/>
  <c r="F38" i="29"/>
  <c r="F46" i="29"/>
  <c r="F57" i="29"/>
  <c r="G3" i="29" s="1"/>
  <c r="D41" i="31"/>
  <c r="D36" i="31"/>
  <c r="D49" i="31"/>
  <c r="D39" i="31"/>
  <c r="D40" i="31"/>
  <c r="D48" i="31"/>
  <c r="D57" i="31"/>
  <c r="E3" i="31" s="1"/>
  <c r="D42" i="31"/>
  <c r="D47" i="31"/>
  <c r="D46" i="31"/>
  <c r="D51" i="31"/>
  <c r="I51" i="31" s="1"/>
  <c r="D43" i="31"/>
  <c r="D37" i="31"/>
  <c r="D50" i="31"/>
  <c r="L4" i="29"/>
  <c r="L3" i="29"/>
  <c r="V69" i="20"/>
  <c r="U69" i="20"/>
  <c r="U74" i="20"/>
  <c r="V74" i="20"/>
  <c r="D3" i="24"/>
  <c r="G3" i="24"/>
  <c r="H3" i="24"/>
  <c r="F3" i="24"/>
  <c r="G38" i="19"/>
  <c r="G47" i="19"/>
  <c r="G36" i="19"/>
  <c r="D44" i="29"/>
  <c r="D45" i="29"/>
  <c r="D38" i="29"/>
  <c r="D37" i="30"/>
  <c r="D48" i="30"/>
  <c r="D57" i="30"/>
  <c r="E3" i="30" s="1"/>
  <c r="V46" i="20"/>
  <c r="U46" i="20"/>
  <c r="U75" i="20"/>
  <c r="V75" i="20"/>
  <c r="E42" i="29"/>
  <c r="E45" i="29"/>
  <c r="E44" i="29"/>
  <c r="E38" i="29"/>
  <c r="E46" i="29"/>
  <c r="E41" i="29"/>
  <c r="E57" i="29"/>
  <c r="F3" i="29" s="1"/>
  <c r="F4" i="29" s="1"/>
  <c r="E51" i="29"/>
  <c r="E48" i="29"/>
  <c r="F43" i="19"/>
  <c r="V55" i="20"/>
  <c r="U55" i="20"/>
  <c r="V64" i="20"/>
  <c r="U64" i="20"/>
  <c r="V76" i="20"/>
  <c r="U76" i="20"/>
  <c r="V57" i="20"/>
  <c r="U57" i="20"/>
  <c r="E45" i="30"/>
  <c r="E42" i="30"/>
  <c r="E49" i="30"/>
  <c r="E43" i="30"/>
  <c r="E50" i="30"/>
  <c r="E48" i="30"/>
  <c r="E47" i="30"/>
  <c r="E37" i="30"/>
  <c r="E41" i="30"/>
  <c r="E38" i="30"/>
  <c r="E46" i="30"/>
  <c r="E57" i="30"/>
  <c r="F3" i="30" s="1"/>
  <c r="E39" i="30"/>
  <c r="E44" i="30"/>
  <c r="E36" i="30"/>
  <c r="E40" i="30"/>
  <c r="E51" i="30"/>
  <c r="C43" i="31"/>
  <c r="C50" i="31"/>
  <c r="AS56" i="20"/>
  <c r="G36" i="30"/>
  <c r="V45" i="20"/>
  <c r="U45" i="20"/>
  <c r="U54" i="20"/>
  <c r="V54" i="20"/>
  <c r="U58" i="20"/>
  <c r="V58" i="20"/>
  <c r="V44" i="20"/>
  <c r="U44" i="20"/>
  <c r="G57" i="31"/>
  <c r="K4" i="31" s="1"/>
  <c r="G44" i="31"/>
  <c r="G36" i="31"/>
  <c r="G46" i="31"/>
  <c r="G38" i="31"/>
  <c r="I38" i="31" s="1"/>
  <c r="G41" i="31"/>
  <c r="G49" i="31"/>
  <c r="J11" i="34"/>
  <c r="K11" i="34" s="1"/>
  <c r="L3" i="30"/>
  <c r="L4" i="30"/>
  <c r="G47" i="29"/>
  <c r="G40" i="29"/>
  <c r="G41" i="29"/>
  <c r="BA56" i="20"/>
  <c r="V70" i="20"/>
  <c r="U70" i="20"/>
  <c r="U72" i="20"/>
  <c r="V72" i="20"/>
  <c r="U66" i="20"/>
  <c r="V66" i="20"/>
  <c r="V41" i="20"/>
  <c r="G47" i="30"/>
  <c r="G40" i="30"/>
  <c r="G50" i="30"/>
  <c r="F42" i="31"/>
  <c r="F57" i="31"/>
  <c r="G3" i="31" s="1"/>
  <c r="F36" i="31"/>
  <c r="F47" i="31"/>
  <c r="F41" i="31"/>
  <c r="F37" i="31"/>
  <c r="F48" i="31"/>
  <c r="F39" i="31"/>
  <c r="F45" i="31"/>
  <c r="I45" i="31" s="1"/>
  <c r="F40" i="31"/>
  <c r="I40" i="31" s="1"/>
  <c r="F44" i="31"/>
  <c r="F46" i="31"/>
  <c r="F47" i="19"/>
  <c r="I47" i="19" s="1"/>
  <c r="Z4" i="22"/>
  <c r="AC4" i="22" s="1"/>
  <c r="AA4" i="22" s="1"/>
  <c r="AV79" i="20"/>
  <c r="U62" i="20"/>
  <c r="V62" i="20"/>
  <c r="U68" i="20"/>
  <c r="V68" i="20"/>
  <c r="AP56" i="20"/>
  <c r="AT56" i="20"/>
  <c r="AV56" i="20"/>
  <c r="AX56" i="20"/>
  <c r="AN56" i="20"/>
  <c r="BD56" i="20"/>
  <c r="AQ56" i="20"/>
  <c r="AO56" i="20"/>
  <c r="BC56" i="20"/>
  <c r="BB56" i="20"/>
  <c r="AW56" i="20"/>
  <c r="D51" i="19"/>
  <c r="I51" i="19" s="1"/>
  <c r="D46" i="19"/>
  <c r="I46" i="19" s="1"/>
  <c r="D43" i="19"/>
  <c r="D37" i="19"/>
  <c r="I37" i="19" s="1"/>
  <c r="C43" i="29"/>
  <c r="I43" i="29" s="1"/>
  <c r="C36" i="29"/>
  <c r="I36" i="29" s="1"/>
  <c r="C47" i="29"/>
  <c r="C39" i="29"/>
  <c r="C51" i="29"/>
  <c r="I51" i="29" s="1"/>
  <c r="C41" i="29"/>
  <c r="C57" i="29"/>
  <c r="H4" i="29" s="1"/>
  <c r="C38" i="29"/>
  <c r="C50" i="29"/>
  <c r="I50" i="29" s="1"/>
  <c r="C40" i="29"/>
  <c r="I40" i="29" s="1"/>
  <c r="C37" i="29"/>
  <c r="I37" i="29" s="1"/>
  <c r="C45" i="29"/>
  <c r="C48" i="29"/>
  <c r="C49" i="29"/>
  <c r="C44" i="29"/>
  <c r="C42" i="29"/>
  <c r="C46" i="29"/>
  <c r="F40" i="30"/>
  <c r="F36" i="30"/>
  <c r="F37" i="30"/>
  <c r="F39" i="30"/>
  <c r="F47" i="30"/>
  <c r="F49" i="30"/>
  <c r="F38" i="30"/>
  <c r="F45" i="30"/>
  <c r="F41" i="30"/>
  <c r="F44" i="30"/>
  <c r="I38" i="19"/>
  <c r="D70" i="31"/>
  <c r="E70" i="31" s="1"/>
  <c r="I39" i="19"/>
  <c r="I42" i="30"/>
  <c r="I41" i="19"/>
  <c r="I45" i="19"/>
  <c r="Y6" i="22"/>
  <c r="Z3" i="22"/>
  <c r="AC3" i="22" s="1"/>
  <c r="AA3" i="22" s="1"/>
  <c r="Y5" i="22"/>
  <c r="Z7" i="22"/>
  <c r="Y7" i="22"/>
  <c r="Y8" i="22"/>
  <c r="Z8" i="22"/>
  <c r="Z9" i="22"/>
  <c r="Y9" i="22"/>
  <c r="F17" i="24"/>
  <c r="T5" i="29" s="1"/>
  <c r="BB39" i="20"/>
  <c r="AZ39" i="20"/>
  <c r="AN39" i="20"/>
  <c r="AP39" i="20"/>
  <c r="BC39" i="20"/>
  <c r="AO39" i="20"/>
  <c r="AU39" i="20"/>
  <c r="AY39" i="20"/>
  <c r="AR39" i="20"/>
  <c r="AQ39" i="20"/>
  <c r="AW39" i="20"/>
  <c r="AS39" i="20"/>
  <c r="BD39" i="20"/>
  <c r="AV39" i="20"/>
  <c r="BA39" i="20"/>
  <c r="AT39" i="20"/>
  <c r="AX39" i="20"/>
  <c r="BB63" i="20"/>
  <c r="AW63" i="20"/>
  <c r="AN63" i="20"/>
  <c r="AZ63" i="20"/>
  <c r="AV63" i="20"/>
  <c r="AQ63" i="20"/>
  <c r="AU63" i="20"/>
  <c r="BD63" i="20"/>
  <c r="AP63" i="20"/>
  <c r="AY63" i="20"/>
  <c r="BA63" i="20"/>
  <c r="AT63" i="20"/>
  <c r="BC63" i="20"/>
  <c r="AX63" i="20"/>
  <c r="AS63" i="20"/>
  <c r="AO63" i="20"/>
  <c r="AR63" i="20"/>
  <c r="AY51" i="20"/>
  <c r="AV51" i="20"/>
  <c r="AT51" i="20"/>
  <c r="AW51" i="20"/>
  <c r="AX51" i="20"/>
  <c r="AQ51" i="20"/>
  <c r="AU51" i="20"/>
  <c r="AR51" i="20"/>
  <c r="AP51" i="20"/>
  <c r="AS51" i="20"/>
  <c r="AN51" i="20"/>
  <c r="AZ51" i="20"/>
  <c r="BD51" i="20"/>
  <c r="AO51" i="20"/>
  <c r="BA51" i="20"/>
  <c r="BB51" i="20"/>
  <c r="BC51" i="20"/>
  <c r="D76" i="31"/>
  <c r="E76" i="31" s="1"/>
  <c r="D74" i="31"/>
  <c r="E74" i="31" s="1"/>
  <c r="D73" i="31"/>
  <c r="E73" i="31" s="1"/>
  <c r="D38" i="22"/>
  <c r="D37" i="22"/>
  <c r="D35" i="22"/>
  <c r="D36" i="22"/>
  <c r="D40" i="22"/>
  <c r="D41" i="22"/>
  <c r="D32" i="22"/>
  <c r="D43" i="22"/>
  <c r="D34" i="22"/>
  <c r="D29" i="22"/>
  <c r="D42" i="22"/>
  <c r="D31" i="22"/>
  <c r="D30" i="22"/>
  <c r="D39" i="22"/>
  <c r="D28" i="22"/>
  <c r="D33" i="22"/>
  <c r="G12" i="25"/>
  <c r="E12" i="25"/>
  <c r="D12" i="25"/>
  <c r="B12" i="25"/>
  <c r="C12" i="25"/>
  <c r="C13" i="25"/>
  <c r="F12" i="25"/>
  <c r="A14" i="25"/>
  <c r="B19" i="43"/>
  <c r="B19" i="41"/>
  <c r="B19" i="40"/>
  <c r="B19" i="42"/>
  <c r="C19" i="43"/>
  <c r="D19" i="43"/>
  <c r="A21" i="43"/>
  <c r="B20" i="43" a="1"/>
  <c r="B20" i="43" s="1"/>
  <c r="C19" i="42"/>
  <c r="D19" i="42"/>
  <c r="A21" i="42"/>
  <c r="B20" i="42" a="1"/>
  <c r="B20" i="42" s="1"/>
  <c r="D19" i="41"/>
  <c r="C19" i="41"/>
  <c r="A21" i="41"/>
  <c r="B20" i="41" a="1"/>
  <c r="B20" i="41" s="1"/>
  <c r="C19" i="40"/>
  <c r="D19" i="40"/>
  <c r="A21" i="40"/>
  <c r="B20" i="40" a="1"/>
  <c r="B20" i="40" s="1"/>
  <c r="K3" i="13"/>
  <c r="K10" i="13"/>
  <c r="D16" i="22" a="1"/>
  <c r="D79" i="31" a="1"/>
  <c r="D66" i="31" a="1"/>
  <c r="D80" i="31" a="1"/>
  <c r="D71" i="31" a="1"/>
  <c r="D75" i="31" a="1"/>
  <c r="D77" i="31" a="1"/>
  <c r="D72" i="31" a="1"/>
  <c r="D68" i="31" a="1"/>
  <c r="D80" i="30" a="1"/>
  <c r="D71" i="30" a="1"/>
  <c r="D69" i="31" a="1"/>
  <c r="D76" i="30" a="1"/>
  <c r="D67" i="30" a="1"/>
  <c r="D78" i="30" a="1"/>
  <c r="D74" i="30" a="1"/>
  <c r="D73" i="30" a="1"/>
  <c r="D70" i="30" a="1"/>
  <c r="D67" i="31" a="1"/>
  <c r="D69" i="30" a="1"/>
  <c r="D79" i="30" a="1"/>
  <c r="D66" i="30" a="1"/>
  <c r="D68" i="30" a="1"/>
  <c r="D78" i="31" a="1"/>
  <c r="D81" i="31" a="1"/>
  <c r="D77" i="30" a="1"/>
  <c r="D75" i="30" a="1"/>
  <c r="D72" i="30" a="1"/>
  <c r="D81" i="30" a="1"/>
  <c r="C15" i="22" a="1"/>
  <c r="D13" i="25" a="1"/>
  <c r="C18" i="22" a="1"/>
  <c r="D20" i="40" a="1"/>
  <c r="F13" i="25" a="1"/>
  <c r="C20" i="41" a="1"/>
  <c r="B13" i="25" a="1"/>
  <c r="D18" i="22" a="1"/>
  <c r="H13" i="25" a="1"/>
  <c r="E13" i="25" a="1"/>
  <c r="D17" i="22" a="1"/>
  <c r="D20" i="42" a="1"/>
  <c r="D20" i="43" a="1"/>
  <c r="C20" i="42" a="1"/>
  <c r="H14" i="25" a="1"/>
  <c r="C19" i="22" a="1"/>
  <c r="C17" i="22" a="1"/>
  <c r="D14" i="22" a="1"/>
  <c r="D20" i="41" a="1"/>
  <c r="D19" i="22" a="1"/>
  <c r="C14" i="22" a="1"/>
  <c r="C20" i="40" a="1"/>
  <c r="C20" i="43" a="1"/>
  <c r="G13" i="25" a="1"/>
  <c r="D15" i="22" a="1"/>
  <c r="D16" i="22" l="1"/>
  <c r="BD43" i="20"/>
  <c r="BB43" i="20"/>
  <c r="AY43" i="20"/>
  <c r="AQ43" i="20"/>
  <c r="AZ43" i="20"/>
  <c r="AT43" i="20"/>
  <c r="AO43" i="20"/>
  <c r="BA43" i="20"/>
  <c r="BC43" i="20"/>
  <c r="AS43" i="20"/>
  <c r="AR43" i="20"/>
  <c r="AN43" i="20"/>
  <c r="AW43" i="20"/>
  <c r="AX43" i="20"/>
  <c r="AU43" i="20"/>
  <c r="AP43" i="20"/>
  <c r="AV43" i="20"/>
  <c r="AC5" i="22"/>
  <c r="AA5" i="22" s="1"/>
  <c r="I47" i="29"/>
  <c r="BA81" i="20"/>
  <c r="AX81" i="20"/>
  <c r="BC61" i="20"/>
  <c r="AU61" i="20"/>
  <c r="AT61" i="20"/>
  <c r="AZ61" i="20"/>
  <c r="AN61" i="20"/>
  <c r="AS61" i="20"/>
  <c r="AX61" i="20"/>
  <c r="AQ61" i="20"/>
  <c r="AP61" i="20"/>
  <c r="BD61" i="20"/>
  <c r="AO61" i="20"/>
  <c r="AR61" i="20"/>
  <c r="BB61" i="20"/>
  <c r="BA61" i="20"/>
  <c r="AW61" i="20"/>
  <c r="AV61" i="20"/>
  <c r="BB81" i="20"/>
  <c r="AV48" i="20"/>
  <c r="I49" i="29"/>
  <c r="AW81" i="20"/>
  <c r="I48" i="29"/>
  <c r="I48" i="31"/>
  <c r="AT81" i="20"/>
  <c r="E19" i="24"/>
  <c r="I19" i="24"/>
  <c r="D19" i="24"/>
  <c r="I36" i="19"/>
  <c r="AO81" i="20"/>
  <c r="AY81" i="20"/>
  <c r="AS81" i="20"/>
  <c r="I46" i="29"/>
  <c r="AQ81" i="20"/>
  <c r="AQ84" i="20"/>
  <c r="AY84" i="20"/>
  <c r="AZ84" i="20"/>
  <c r="AX84" i="20"/>
  <c r="AN84" i="20"/>
  <c r="AP84" i="20"/>
  <c r="BA84" i="20"/>
  <c r="AW84" i="20"/>
  <c r="BD84" i="20"/>
  <c r="AU84" i="20"/>
  <c r="AV84" i="20"/>
  <c r="AO84" i="20"/>
  <c r="AR84" i="20"/>
  <c r="AT84" i="20"/>
  <c r="AS84" i="20"/>
  <c r="BC84" i="20"/>
  <c r="BB84" i="20"/>
  <c r="AP74" i="20"/>
  <c r="AO73" i="20"/>
  <c r="BA73" i="20"/>
  <c r="AP73" i="20"/>
  <c r="AV73" i="20"/>
  <c r="BC73" i="20"/>
  <c r="AT73" i="20"/>
  <c r="AQ73" i="20"/>
  <c r="AR73" i="20"/>
  <c r="BD73" i="20"/>
  <c r="AZ73" i="20"/>
  <c r="AX73" i="20"/>
  <c r="AN73" i="20"/>
  <c r="BB73" i="20"/>
  <c r="AY73" i="20"/>
  <c r="AU73" i="20"/>
  <c r="AS73" i="20"/>
  <c r="AW73" i="20"/>
  <c r="AP81" i="20"/>
  <c r="I18" i="24"/>
  <c r="E18" i="24"/>
  <c r="D18" i="24"/>
  <c r="O18" i="24"/>
  <c r="I47" i="31"/>
  <c r="I46" i="30"/>
  <c r="AZ81" i="20"/>
  <c r="BD81" i="20"/>
  <c r="AR81" i="20"/>
  <c r="AV81" i="20"/>
  <c r="AN81" i="20"/>
  <c r="BC81" i="20"/>
  <c r="D66" i="31"/>
  <c r="E66" i="31" s="1"/>
  <c r="D79" i="31"/>
  <c r="E79" i="31" s="1"/>
  <c r="I43" i="19"/>
  <c r="I51" i="30"/>
  <c r="I44" i="31"/>
  <c r="I49" i="19"/>
  <c r="D72" i="31"/>
  <c r="E72" i="31" s="1"/>
  <c r="D77" i="31"/>
  <c r="E77" i="31" s="1"/>
  <c r="D75" i="31"/>
  <c r="E75" i="31" s="1"/>
  <c r="D71" i="31"/>
  <c r="E71" i="31" s="1"/>
  <c r="D80" i="31"/>
  <c r="E80" i="31" s="1"/>
  <c r="I36" i="30"/>
  <c r="I50" i="30"/>
  <c r="I39" i="31"/>
  <c r="I40" i="30"/>
  <c r="AV80" i="20"/>
  <c r="AN80" i="20"/>
  <c r="AO80" i="20"/>
  <c r="AY80" i="20"/>
  <c r="AP80" i="20"/>
  <c r="AQ80" i="20"/>
  <c r="BB80" i="20"/>
  <c r="AZ80" i="20"/>
  <c r="BD80" i="20"/>
  <c r="AU80" i="20"/>
  <c r="AX80" i="20"/>
  <c r="BA80" i="20"/>
  <c r="AR80" i="20"/>
  <c r="BC80" i="20"/>
  <c r="AS80" i="20"/>
  <c r="AT80" i="20"/>
  <c r="AW80" i="20"/>
  <c r="I45" i="29"/>
  <c r="I37" i="31"/>
  <c r="I50" i="31"/>
  <c r="I42" i="19"/>
  <c r="I44" i="19"/>
  <c r="BC83" i="20"/>
  <c r="AP83" i="20"/>
  <c r="BD83" i="20"/>
  <c r="AS83" i="20"/>
  <c r="AR83" i="20"/>
  <c r="AW83" i="20"/>
  <c r="AN83" i="20"/>
  <c r="AZ83" i="20"/>
  <c r="AO83" i="20"/>
  <c r="AU83" i="20"/>
  <c r="AQ83" i="20"/>
  <c r="AY83" i="20"/>
  <c r="AX83" i="20"/>
  <c r="AT83" i="20"/>
  <c r="AV83" i="20"/>
  <c r="BB83" i="20"/>
  <c r="BA83" i="20"/>
  <c r="I42" i="31"/>
  <c r="D81" i="31"/>
  <c r="E81" i="31" s="1"/>
  <c r="D78" i="31"/>
  <c r="E78" i="31" s="1"/>
  <c r="D67" i="31"/>
  <c r="E67" i="31" s="1"/>
  <c r="D69" i="31"/>
  <c r="E69" i="31" s="1"/>
  <c r="D68" i="31"/>
  <c r="E68" i="31" s="1"/>
  <c r="I43" i="31"/>
  <c r="I44" i="29"/>
  <c r="I46" i="31"/>
  <c r="I36" i="31"/>
  <c r="I42" i="29"/>
  <c r="I39" i="29"/>
  <c r="D15" i="22"/>
  <c r="C14" i="22"/>
  <c r="D19" i="22"/>
  <c r="D14" i="22"/>
  <c r="C17" i="22"/>
  <c r="C19" i="22"/>
  <c r="D17" i="22"/>
  <c r="D18" i="22"/>
  <c r="C18" i="22"/>
  <c r="C15" i="22"/>
  <c r="BC41" i="20"/>
  <c r="AV41" i="20"/>
  <c r="AQ41" i="20"/>
  <c r="AZ41" i="20"/>
  <c r="BA41" i="20"/>
  <c r="AX41" i="20"/>
  <c r="AY41" i="20"/>
  <c r="AR41" i="20"/>
  <c r="BB41" i="20"/>
  <c r="AS41" i="20"/>
  <c r="AS76" i="20"/>
  <c r="BC76" i="20"/>
  <c r="AN76" i="20"/>
  <c r="AY76" i="20"/>
  <c r="AZ76" i="20"/>
  <c r="AV76" i="20"/>
  <c r="AX76" i="20"/>
  <c r="AP76" i="20"/>
  <c r="AW76" i="20"/>
  <c r="AO76" i="20"/>
  <c r="BB76" i="20"/>
  <c r="AU76" i="20"/>
  <c r="AT76" i="20"/>
  <c r="BD76" i="20"/>
  <c r="BA76" i="20"/>
  <c r="AQ76" i="20"/>
  <c r="AR76" i="20"/>
  <c r="I47" i="30"/>
  <c r="BD78" i="20"/>
  <c r="AN78" i="20"/>
  <c r="AY78" i="20"/>
  <c r="BC78" i="20"/>
  <c r="BB78" i="20"/>
  <c r="AX78" i="20"/>
  <c r="AP78" i="20"/>
  <c r="AZ78" i="20"/>
  <c r="BA78" i="20"/>
  <c r="AT78" i="20"/>
  <c r="AS78" i="20"/>
  <c r="AR78" i="20"/>
  <c r="AU78" i="20"/>
  <c r="AO78" i="20"/>
  <c r="AQ78" i="20"/>
  <c r="AV78" i="20"/>
  <c r="AW78" i="20"/>
  <c r="AV77" i="20"/>
  <c r="BA77" i="20"/>
  <c r="BC77" i="20"/>
  <c r="AQ77" i="20"/>
  <c r="AO77" i="20"/>
  <c r="AZ77" i="20"/>
  <c r="AN77" i="20"/>
  <c r="AX77" i="20"/>
  <c r="AP77" i="20"/>
  <c r="AT77" i="20"/>
  <c r="AY77" i="20"/>
  <c r="AR77" i="20"/>
  <c r="AW77" i="20"/>
  <c r="BB77" i="20"/>
  <c r="AU77" i="20"/>
  <c r="AS77" i="20"/>
  <c r="I41" i="29"/>
  <c r="BD62" i="20"/>
  <c r="AT62" i="20"/>
  <c r="AQ62" i="20"/>
  <c r="AO62" i="20"/>
  <c r="AV62" i="20"/>
  <c r="BA62" i="20"/>
  <c r="AU62" i="20"/>
  <c r="AP62" i="20"/>
  <c r="AZ62" i="20"/>
  <c r="AW62" i="20"/>
  <c r="BB62" i="20"/>
  <c r="AX62" i="20"/>
  <c r="AN62" i="20"/>
  <c r="AS62" i="20"/>
  <c r="AR62" i="20"/>
  <c r="AY62" i="20"/>
  <c r="BC62" i="20"/>
  <c r="AP70" i="20"/>
  <c r="AO70" i="20"/>
  <c r="BB70" i="20"/>
  <c r="AQ70" i="20"/>
  <c r="BC70" i="20"/>
  <c r="AU70" i="20"/>
  <c r="AR70" i="20"/>
  <c r="AY70" i="20"/>
  <c r="AS70" i="20"/>
  <c r="BD70" i="20"/>
  <c r="AW70" i="20"/>
  <c r="AV70" i="20"/>
  <c r="AT70" i="20"/>
  <c r="AX70" i="20"/>
  <c r="AN70" i="20"/>
  <c r="BA70" i="20"/>
  <c r="AZ70" i="20"/>
  <c r="AY44" i="20"/>
  <c r="AV44" i="20"/>
  <c r="AQ44" i="20"/>
  <c r="AW44" i="20"/>
  <c r="BB44" i="20"/>
  <c r="BD44" i="20"/>
  <c r="AR44" i="20"/>
  <c r="AU44" i="20"/>
  <c r="AZ44" i="20"/>
  <c r="AN44" i="20"/>
  <c r="AO44" i="20"/>
  <c r="AP44" i="20"/>
  <c r="BA44" i="20"/>
  <c r="BC44" i="20"/>
  <c r="AT44" i="20"/>
  <c r="AX44" i="20"/>
  <c r="AS44" i="20"/>
  <c r="AQ75" i="20"/>
  <c r="AS75" i="20"/>
  <c r="AN75" i="20"/>
  <c r="AV75" i="20"/>
  <c r="BC75" i="20"/>
  <c r="BA75" i="20"/>
  <c r="BD75" i="20"/>
  <c r="AT75" i="20"/>
  <c r="AX75" i="20"/>
  <c r="AW75" i="20"/>
  <c r="AP75" i="20"/>
  <c r="BB75" i="20"/>
  <c r="AZ75" i="20"/>
  <c r="AU75" i="20"/>
  <c r="AY75" i="20"/>
  <c r="AR75" i="20"/>
  <c r="AO75" i="20"/>
  <c r="C4" i="24"/>
  <c r="I49" i="31"/>
  <c r="AY66" i="20"/>
  <c r="BC66" i="20"/>
  <c r="AT66" i="20"/>
  <c r="BD66" i="20"/>
  <c r="BB66" i="20"/>
  <c r="AN66" i="20"/>
  <c r="AX66" i="20"/>
  <c r="AW66" i="20"/>
  <c r="AO66" i="20"/>
  <c r="AR66" i="20"/>
  <c r="AS66" i="20"/>
  <c r="BA66" i="20"/>
  <c r="AZ66" i="20"/>
  <c r="AQ66" i="20"/>
  <c r="AP66" i="20"/>
  <c r="AU66" i="20"/>
  <c r="AV66" i="20"/>
  <c r="G4" i="30"/>
  <c r="F4" i="30"/>
  <c r="AS64" i="20"/>
  <c r="AP64" i="20"/>
  <c r="AO64" i="20"/>
  <c r="AY64" i="20"/>
  <c r="AW64" i="20"/>
  <c r="AV64" i="20"/>
  <c r="AQ64" i="20"/>
  <c r="AT64" i="20"/>
  <c r="AN64" i="20"/>
  <c r="AR64" i="20"/>
  <c r="BC64" i="20"/>
  <c r="BD64" i="20"/>
  <c r="AX64" i="20"/>
  <c r="AU64" i="20"/>
  <c r="BA64" i="20"/>
  <c r="BB64" i="20"/>
  <c r="AZ64" i="20"/>
  <c r="AU46" i="20"/>
  <c r="BA46" i="20"/>
  <c r="AZ46" i="20"/>
  <c r="AX46" i="20"/>
  <c r="AY46" i="20"/>
  <c r="BB46" i="20"/>
  <c r="AN46" i="20"/>
  <c r="BC46" i="20"/>
  <c r="AP46" i="20"/>
  <c r="AO46" i="20"/>
  <c r="AS46" i="20"/>
  <c r="AW46" i="20"/>
  <c r="AQ46" i="20"/>
  <c r="AT46" i="20"/>
  <c r="BD46" i="20"/>
  <c r="AV46" i="20"/>
  <c r="AR46" i="20"/>
  <c r="I43" i="30"/>
  <c r="AW50" i="20"/>
  <c r="AQ50" i="20"/>
  <c r="AT50" i="20"/>
  <c r="AZ50" i="20"/>
  <c r="AY50" i="20"/>
  <c r="AV50" i="20"/>
  <c r="AR50" i="20"/>
  <c r="AX50" i="20"/>
  <c r="AU50" i="20"/>
  <c r="AP50" i="20"/>
  <c r="AN50" i="20"/>
  <c r="BA50" i="20"/>
  <c r="AS50" i="20"/>
  <c r="AO50" i="20"/>
  <c r="BC50" i="20"/>
  <c r="BB50" i="20"/>
  <c r="BD50" i="20"/>
  <c r="AU41" i="20"/>
  <c r="AT42" i="20"/>
  <c r="AR42" i="20"/>
  <c r="AN42" i="20"/>
  <c r="AP42" i="20"/>
  <c r="AZ42" i="20"/>
  <c r="AY42" i="20"/>
  <c r="AQ42" i="20"/>
  <c r="AU42" i="20"/>
  <c r="AX42" i="20"/>
  <c r="AS42" i="20"/>
  <c r="BB42" i="20"/>
  <c r="BD42" i="20"/>
  <c r="AW42" i="20"/>
  <c r="AV42" i="20"/>
  <c r="BA42" i="20"/>
  <c r="AO42" i="20"/>
  <c r="BC42" i="20"/>
  <c r="J4" i="31"/>
  <c r="G4" i="31"/>
  <c r="AS74" i="20"/>
  <c r="BA74" i="20"/>
  <c r="AX74" i="20"/>
  <c r="BB74" i="20"/>
  <c r="AR74" i="20"/>
  <c r="BD74" i="20"/>
  <c r="AQ74" i="20"/>
  <c r="AO74" i="20"/>
  <c r="AW74" i="20"/>
  <c r="AZ74" i="20"/>
  <c r="AY74" i="20"/>
  <c r="AU74" i="20"/>
  <c r="AT74" i="20"/>
  <c r="AN74" i="20"/>
  <c r="BC74" i="20"/>
  <c r="AV74" i="20"/>
  <c r="I41" i="31"/>
  <c r="I38" i="30"/>
  <c r="I37" i="30"/>
  <c r="AP41" i="20"/>
  <c r="BC72" i="20"/>
  <c r="AV72" i="20"/>
  <c r="AZ72" i="20"/>
  <c r="AO72" i="20"/>
  <c r="AX72" i="20"/>
  <c r="AW72" i="20"/>
  <c r="AY72" i="20"/>
  <c r="AQ72" i="20"/>
  <c r="AT72" i="20"/>
  <c r="BA72" i="20"/>
  <c r="BB72" i="20"/>
  <c r="BD72" i="20"/>
  <c r="AS72" i="20"/>
  <c r="AR72" i="20"/>
  <c r="AU72" i="20"/>
  <c r="AN72" i="20"/>
  <c r="AP72" i="20"/>
  <c r="AN58" i="20"/>
  <c r="AQ58" i="20"/>
  <c r="AV58" i="20"/>
  <c r="AX58" i="20"/>
  <c r="BC58" i="20"/>
  <c r="AZ58" i="20"/>
  <c r="AP58" i="20"/>
  <c r="AY58" i="20"/>
  <c r="AS58" i="20"/>
  <c r="AR58" i="20"/>
  <c r="AU58" i="20"/>
  <c r="AO58" i="20"/>
  <c r="BD58" i="20"/>
  <c r="AW58" i="20"/>
  <c r="BA58" i="20"/>
  <c r="AT58" i="20"/>
  <c r="BB58" i="20"/>
  <c r="AW55" i="20"/>
  <c r="AU55" i="20"/>
  <c r="AQ55" i="20"/>
  <c r="AR55" i="20"/>
  <c r="AT55" i="20"/>
  <c r="AN55" i="20"/>
  <c r="AZ55" i="20"/>
  <c r="AP55" i="20"/>
  <c r="AV55" i="20"/>
  <c r="BB55" i="20"/>
  <c r="BA55" i="20"/>
  <c r="BD55" i="20"/>
  <c r="AX55" i="20"/>
  <c r="AY55" i="20"/>
  <c r="AS55" i="20"/>
  <c r="AO55" i="20"/>
  <c r="BC55" i="20"/>
  <c r="AZ69" i="20"/>
  <c r="AW69" i="20"/>
  <c r="AQ69" i="20"/>
  <c r="AS69" i="20"/>
  <c r="AO69" i="20"/>
  <c r="AT69" i="20"/>
  <c r="AN69" i="20"/>
  <c r="AP69" i="20"/>
  <c r="BA69" i="20"/>
  <c r="BC69" i="20"/>
  <c r="AR69" i="20"/>
  <c r="BD69" i="20"/>
  <c r="AU69" i="20"/>
  <c r="AV69" i="20"/>
  <c r="AY69" i="20"/>
  <c r="AX69" i="20"/>
  <c r="J4" i="29"/>
  <c r="G4" i="29"/>
  <c r="I45" i="30"/>
  <c r="AO41" i="20"/>
  <c r="AN41" i="20"/>
  <c r="I4" i="30"/>
  <c r="E4" i="30"/>
  <c r="BB69" i="20"/>
  <c r="F4" i="31"/>
  <c r="I4" i="31"/>
  <c r="E4" i="31"/>
  <c r="I39" i="30"/>
  <c r="I44" i="30"/>
  <c r="AU47" i="20"/>
  <c r="BB47" i="20"/>
  <c r="AQ47" i="20"/>
  <c r="AV47" i="20"/>
  <c r="AO47" i="20"/>
  <c r="BA47" i="20"/>
  <c r="AP47" i="20"/>
  <c r="AR47" i="20"/>
  <c r="BC47" i="20"/>
  <c r="AS47" i="20"/>
  <c r="AW47" i="20"/>
  <c r="AY47" i="20"/>
  <c r="AN47" i="20"/>
  <c r="AX47" i="20"/>
  <c r="AT47" i="20"/>
  <c r="AZ47" i="20"/>
  <c r="BD47" i="20"/>
  <c r="J4" i="19"/>
  <c r="G4" i="19"/>
  <c r="BD41" i="20"/>
  <c r="AW41" i="20"/>
  <c r="AU54" i="20"/>
  <c r="AW54" i="20"/>
  <c r="AV54" i="20"/>
  <c r="AS54" i="20"/>
  <c r="AR54" i="20"/>
  <c r="BA54" i="20"/>
  <c r="AO54" i="20"/>
  <c r="BB54" i="20"/>
  <c r="AX54" i="20"/>
  <c r="AQ54" i="20"/>
  <c r="BD54" i="20"/>
  <c r="AZ54" i="20"/>
  <c r="AY54" i="20"/>
  <c r="AN54" i="20"/>
  <c r="AP54" i="20"/>
  <c r="AT54" i="20"/>
  <c r="BC54" i="20"/>
  <c r="AZ57" i="20"/>
  <c r="AV57" i="20"/>
  <c r="AT57" i="20"/>
  <c r="AU57" i="20"/>
  <c r="AR57" i="20"/>
  <c r="AQ57" i="20"/>
  <c r="AY57" i="20"/>
  <c r="AP57" i="20"/>
  <c r="BA57" i="20"/>
  <c r="AX57" i="20"/>
  <c r="BC57" i="20"/>
  <c r="BD57" i="20"/>
  <c r="AN57" i="20"/>
  <c r="AO57" i="20"/>
  <c r="AS57" i="20"/>
  <c r="BB57" i="20"/>
  <c r="AW57" i="20"/>
  <c r="I41" i="30"/>
  <c r="AR65" i="20"/>
  <c r="I38" i="29"/>
  <c r="BD68" i="20"/>
  <c r="AW68" i="20"/>
  <c r="AQ68" i="20"/>
  <c r="AP68" i="20"/>
  <c r="AO68" i="20"/>
  <c r="AY68" i="20"/>
  <c r="BB68" i="20"/>
  <c r="AT68" i="20"/>
  <c r="AZ68" i="20"/>
  <c r="AR68" i="20"/>
  <c r="BC68" i="20"/>
  <c r="AX68" i="20"/>
  <c r="AS68" i="20"/>
  <c r="AU68" i="20"/>
  <c r="BA68" i="20"/>
  <c r="AV68" i="20"/>
  <c r="AN68" i="20"/>
  <c r="AT41" i="20"/>
  <c r="AW45" i="20"/>
  <c r="AR45" i="20"/>
  <c r="AQ45" i="20"/>
  <c r="AU45" i="20"/>
  <c r="AN45" i="20"/>
  <c r="AS45" i="20"/>
  <c r="BC45" i="20"/>
  <c r="BD45" i="20"/>
  <c r="AT45" i="20"/>
  <c r="AY45" i="20"/>
  <c r="AO45" i="20"/>
  <c r="AP45" i="20"/>
  <c r="AZ45" i="20"/>
  <c r="BA45" i="20"/>
  <c r="AV45" i="20"/>
  <c r="AX45" i="20"/>
  <c r="BB45" i="20"/>
  <c r="I48" i="30"/>
  <c r="I49" i="30"/>
  <c r="AO65" i="20"/>
  <c r="AU65" i="20"/>
  <c r="BD65" i="20"/>
  <c r="BA65" i="20"/>
  <c r="AW65" i="20"/>
  <c r="AY65" i="20"/>
  <c r="AX65" i="20"/>
  <c r="AN65" i="20"/>
  <c r="BC65" i="20"/>
  <c r="AZ65" i="20"/>
  <c r="AS65" i="20"/>
  <c r="AQ65" i="20"/>
  <c r="AP65" i="20"/>
  <c r="AV65" i="20"/>
  <c r="BB65" i="20"/>
  <c r="AT65" i="20"/>
  <c r="BD77" i="20"/>
  <c r="AC9" i="22"/>
  <c r="AA9" i="22" s="1"/>
  <c r="AC8" i="22"/>
  <c r="AA8" i="22" s="1"/>
  <c r="AC7" i="22"/>
  <c r="AA7" i="22" s="1"/>
  <c r="AC6" i="22"/>
  <c r="AA6" i="22" s="1"/>
  <c r="C26" i="37"/>
  <c r="D74" i="30"/>
  <c r="E74" i="30" s="1"/>
  <c r="D67" i="30"/>
  <c r="E67" i="30" s="1"/>
  <c r="D81" i="30"/>
  <c r="E81" i="30" s="1"/>
  <c r="D71" i="30"/>
  <c r="E71" i="30" s="1"/>
  <c r="D68" i="30"/>
  <c r="E68" i="30" s="1"/>
  <c r="D75" i="30"/>
  <c r="E75" i="30" s="1"/>
  <c r="D66" i="30"/>
  <c r="D69" i="30"/>
  <c r="E69" i="30" s="1"/>
  <c r="D78" i="30"/>
  <c r="E78" i="30" s="1"/>
  <c r="D76" i="30"/>
  <c r="E76" i="30" s="1"/>
  <c r="D70" i="30"/>
  <c r="E70" i="30" s="1"/>
  <c r="D80" i="30"/>
  <c r="E80" i="30" s="1"/>
  <c r="D72" i="30"/>
  <c r="E72" i="30" s="1"/>
  <c r="D77" i="30"/>
  <c r="E77" i="30" s="1"/>
  <c r="D79" i="30"/>
  <c r="E79" i="30" s="1"/>
  <c r="D73" i="30"/>
  <c r="E73" i="30" s="1"/>
  <c r="H13" i="25"/>
  <c r="H14" i="25"/>
  <c r="E13" i="25"/>
  <c r="B13" i="25"/>
  <c r="D13" i="25"/>
  <c r="G13" i="25"/>
  <c r="F13" i="25"/>
  <c r="A15" i="25"/>
  <c r="D20" i="43"/>
  <c r="C20" i="43"/>
  <c r="A22" i="43"/>
  <c r="B21" i="43" a="1"/>
  <c r="B21" i="43" s="1"/>
  <c r="C20" i="42"/>
  <c r="D20" i="42"/>
  <c r="A22" i="42"/>
  <c r="B21" i="42" a="1"/>
  <c r="B21" i="42" s="1"/>
  <c r="C20" i="41"/>
  <c r="D20" i="41"/>
  <c r="A22" i="41"/>
  <c r="B21" i="41" a="1"/>
  <c r="B21" i="41" s="1"/>
  <c r="C20" i="40"/>
  <c r="D20" i="40"/>
  <c r="A22" i="40"/>
  <c r="B21" i="40" a="1"/>
  <c r="B21" i="40" s="1"/>
  <c r="G41" i="22" a="1"/>
  <c r="G30" i="22" a="1"/>
  <c r="G43" i="22" a="1"/>
  <c r="G36" i="22" a="1"/>
  <c r="G42" i="22" a="1"/>
  <c r="G33" i="22" a="1"/>
  <c r="G39" i="22" a="1"/>
  <c r="G32" i="22" a="1"/>
  <c r="G31" i="22" a="1"/>
  <c r="G28" i="22" a="1"/>
  <c r="G40" i="22" a="1"/>
  <c r="G37" i="22" a="1"/>
  <c r="G34" i="22" a="1"/>
  <c r="G38" i="22" a="1"/>
  <c r="G29" i="22" a="1"/>
  <c r="G35" i="22" a="1"/>
  <c r="D78" i="29" a="1"/>
  <c r="E37" i="22" a="1"/>
  <c r="E30" i="22" a="1"/>
  <c r="H38" i="22" a="1"/>
  <c r="H37" i="22" a="1"/>
  <c r="D73" i="29" a="1"/>
  <c r="J35" i="22" a="1"/>
  <c r="D73" i="19" a="1"/>
  <c r="J29" i="22" a="1"/>
  <c r="D67" i="19" a="1"/>
  <c r="I35" i="22" a="1"/>
  <c r="I43" i="22" a="1"/>
  <c r="F28" i="22" a="1"/>
  <c r="F40" i="22" a="1"/>
  <c r="H35" i="22" a="1"/>
  <c r="J37" i="22" a="1"/>
  <c r="D75" i="19" a="1"/>
  <c r="I41" i="22" a="1"/>
  <c r="D71" i="29" a="1"/>
  <c r="I34" i="22" a="1"/>
  <c r="F31" i="22" a="1"/>
  <c r="D69" i="29" a="1"/>
  <c r="I32" i="22" a="1"/>
  <c r="D79" i="29" a="1"/>
  <c r="E42" i="22" a="1"/>
  <c r="E41" i="22" a="1"/>
  <c r="H39" i="22" a="1"/>
  <c r="H31" i="22" a="1"/>
  <c r="J34" i="22" a="1"/>
  <c r="D72" i="19" a="1"/>
  <c r="J38" i="22" a="1"/>
  <c r="D76" i="19" a="1"/>
  <c r="J43" i="22" a="1"/>
  <c r="D81" i="19" a="1"/>
  <c r="I42" i="22" a="1"/>
  <c r="I33" i="22" a="1"/>
  <c r="F33" i="22" a="1"/>
  <c r="F41" i="22" a="1"/>
  <c r="E36" i="22" a="1"/>
  <c r="H41" i="22" a="1"/>
  <c r="J36" i="22" a="1"/>
  <c r="D74" i="19" a="1"/>
  <c r="D67" i="29" a="1"/>
  <c r="I40" i="22" a="1"/>
  <c r="D76" i="29" a="1"/>
  <c r="E43" i="22" a="1"/>
  <c r="H42" i="22" a="1"/>
  <c r="H34" i="22" a="1"/>
  <c r="J32" i="22" a="1"/>
  <c r="D70" i="19" a="1"/>
  <c r="J33" i="22" a="1"/>
  <c r="D71" i="19" a="1"/>
  <c r="I31" i="22" a="1"/>
  <c r="I37" i="22" a="1"/>
  <c r="F43" i="22" a="1"/>
  <c r="F36" i="22" a="1"/>
  <c r="D81" i="29" a="1"/>
  <c r="E40" i="22" a="1"/>
  <c r="H30" i="22" a="1"/>
  <c r="I38" i="22" a="1"/>
  <c r="F32" i="22" a="1"/>
  <c r="F35" i="22" a="1"/>
  <c r="D77" i="29" a="1"/>
  <c r="E32" i="22" a="1"/>
  <c r="E34" i="22" a="1"/>
  <c r="H28" i="22" a="1"/>
  <c r="J28" i="22" a="1"/>
  <c r="D66" i="19" a="1"/>
  <c r="J42" i="22" a="1"/>
  <c r="D80" i="19" a="1"/>
  <c r="I36" i="22" a="1"/>
  <c r="I39" i="22" a="1"/>
  <c r="D72" i="29" a="1"/>
  <c r="F38" i="22" a="1"/>
  <c r="E33" i="22" a="1"/>
  <c r="H32" i="22" a="1"/>
  <c r="J40" i="22" a="1"/>
  <c r="D78" i="19" a="1"/>
  <c r="F39" i="22" a="1"/>
  <c r="D74" i="29" a="1"/>
  <c r="E28" i="22" a="1"/>
  <c r="H29" i="22" a="1"/>
  <c r="J39" i="22" a="1"/>
  <c r="D77" i="19" a="1"/>
  <c r="I30" i="22" a="1"/>
  <c r="F29" i="22" a="1"/>
  <c r="E29" i="22" a="1"/>
  <c r="H33" i="22" a="1"/>
  <c r="J41" i="22" a="1"/>
  <c r="D79" i="19" a="1"/>
  <c r="D66" i="29" a="1"/>
  <c r="F30" i="22" a="1"/>
  <c r="D70" i="29" a="1"/>
  <c r="E35" i="22" a="1"/>
  <c r="E38" i="22" a="1"/>
  <c r="H43" i="22" a="1"/>
  <c r="H36" i="22" a="1"/>
  <c r="J30" i="22" a="1"/>
  <c r="D68" i="19" a="1"/>
  <c r="I29" i="22" a="1"/>
  <c r="I28" i="22" a="1"/>
  <c r="D75" i="29" a="1"/>
  <c r="F37" i="22" a="1"/>
  <c r="F34" i="22" a="1"/>
  <c r="F42" i="22" a="1"/>
  <c r="D80" i="29" a="1"/>
  <c r="E39" i="22" a="1"/>
  <c r="E31" i="22" a="1"/>
  <c r="H40" i="22" a="1"/>
  <c r="J31" i="22" a="1"/>
  <c r="D69" i="19" a="1"/>
  <c r="D68" i="29" a="1"/>
  <c r="C21" i="41" a="1"/>
  <c r="E14" i="25" a="1"/>
  <c r="F14" i="25" a="1"/>
  <c r="C21" i="42" a="1"/>
  <c r="G14" i="25" a="1"/>
  <c r="D21" i="40" a="1"/>
  <c r="D4" i="24" a="1"/>
  <c r="B14" i="25" a="1"/>
  <c r="D21" i="42" a="1"/>
  <c r="H15" i="25" a="1"/>
  <c r="D14" i="25" a="1"/>
  <c r="D21" i="43" a="1"/>
  <c r="C21" i="40" a="1"/>
  <c r="D21" i="41" a="1"/>
  <c r="C14" i="25" a="1"/>
  <c r="C21" i="43" a="1"/>
  <c r="G35" i="22" l="1"/>
  <c r="G29" i="22"/>
  <c r="G38" i="22"/>
  <c r="G34" i="22"/>
  <c r="G37" i="22"/>
  <c r="G40" i="22"/>
  <c r="G28" i="22"/>
  <c r="G31" i="22"/>
  <c r="G32" i="22"/>
  <c r="G39" i="22"/>
  <c r="G33" i="22"/>
  <c r="G42" i="22"/>
  <c r="G36" i="22"/>
  <c r="G43" i="22"/>
  <c r="G30" i="22"/>
  <c r="G41" i="22"/>
  <c r="F19" i="24"/>
  <c r="D83" i="31"/>
  <c r="E83" i="31" s="1" a="1"/>
  <c r="E83" i="31" s="1"/>
  <c r="F18" i="24"/>
  <c r="D20" i="24"/>
  <c r="F20" i="24" s="1"/>
  <c r="L19" i="24"/>
  <c r="L18" i="24"/>
  <c r="M18" i="24" s="1"/>
  <c r="L17" i="24"/>
  <c r="M17" i="24" s="1"/>
  <c r="D68" i="29"/>
  <c r="E68" i="29" s="1"/>
  <c r="D69" i="19"/>
  <c r="E69" i="19" s="1"/>
  <c r="J31" i="22"/>
  <c r="H40" i="22"/>
  <c r="E31" i="22"/>
  <c r="E39" i="22"/>
  <c r="D80" i="29"/>
  <c r="E80" i="29" s="1"/>
  <c r="F42" i="22"/>
  <c r="F34" i="22"/>
  <c r="F37" i="22"/>
  <c r="D75" i="29"/>
  <c r="E75" i="29" s="1"/>
  <c r="I28" i="22"/>
  <c r="I29" i="22"/>
  <c r="D68" i="19"/>
  <c r="J30" i="22"/>
  <c r="H36" i="22"/>
  <c r="H43" i="22"/>
  <c r="E38" i="22"/>
  <c r="E35" i="22"/>
  <c r="D70" i="29"/>
  <c r="E70" i="29" s="1"/>
  <c r="F30" i="22"/>
  <c r="D66" i="29"/>
  <c r="D79" i="19"/>
  <c r="J41" i="22"/>
  <c r="H33" i="22"/>
  <c r="E29" i="22"/>
  <c r="F29" i="22"/>
  <c r="I30" i="22"/>
  <c r="D77" i="19"/>
  <c r="J39" i="22"/>
  <c r="H29" i="22"/>
  <c r="E28" i="22"/>
  <c r="D74" i="29"/>
  <c r="E74" i="29" s="1"/>
  <c r="F39" i="22"/>
  <c r="D78" i="19"/>
  <c r="J40" i="22"/>
  <c r="H32" i="22"/>
  <c r="E33" i="22"/>
  <c r="F38" i="22"/>
  <c r="D72" i="29"/>
  <c r="E72" i="29" s="1"/>
  <c r="I39" i="22"/>
  <c r="I36" i="22"/>
  <c r="D80" i="19"/>
  <c r="E80" i="19" s="1"/>
  <c r="J42" i="22"/>
  <c r="D66" i="19"/>
  <c r="J28" i="22"/>
  <c r="H28" i="22"/>
  <c r="E34" i="22"/>
  <c r="E32" i="22"/>
  <c r="D77" i="29"/>
  <c r="E77" i="29" s="1"/>
  <c r="F35" i="22"/>
  <c r="F32" i="22"/>
  <c r="I38" i="22"/>
  <c r="H30" i="22"/>
  <c r="E40" i="22"/>
  <c r="D81" i="29"/>
  <c r="E81" i="29" s="1"/>
  <c r="F36" i="22"/>
  <c r="F43" i="22"/>
  <c r="I37" i="22"/>
  <c r="I31" i="22"/>
  <c r="D71" i="19"/>
  <c r="J33" i="22"/>
  <c r="D70" i="19"/>
  <c r="J32" i="22"/>
  <c r="H34" i="22"/>
  <c r="H42" i="22"/>
  <c r="E43" i="22"/>
  <c r="D76" i="29"/>
  <c r="E76" i="29" s="1"/>
  <c r="I40" i="22"/>
  <c r="D67" i="29"/>
  <c r="E67" i="29" s="1"/>
  <c r="D74" i="19"/>
  <c r="J36" i="22"/>
  <c r="H41" i="22"/>
  <c r="E36" i="22"/>
  <c r="F41" i="22"/>
  <c r="F33" i="22"/>
  <c r="I33" i="22"/>
  <c r="I42" i="22"/>
  <c r="D81" i="19"/>
  <c r="J43" i="22"/>
  <c r="D76" i="19"/>
  <c r="E76" i="19" s="1"/>
  <c r="J38" i="22"/>
  <c r="D72" i="19"/>
  <c r="J34" i="22"/>
  <c r="H31" i="22"/>
  <c r="H39" i="22"/>
  <c r="E41" i="22"/>
  <c r="E42" i="22"/>
  <c r="D79" i="29"/>
  <c r="E79" i="29" s="1"/>
  <c r="I32" i="22"/>
  <c r="D69" i="29"/>
  <c r="E69" i="29" s="1"/>
  <c r="F31" i="22"/>
  <c r="I34" i="22"/>
  <c r="D71" i="29"/>
  <c r="E71" i="29" s="1"/>
  <c r="I41" i="22"/>
  <c r="D75" i="19"/>
  <c r="J37" i="22"/>
  <c r="H35" i="22"/>
  <c r="F40" i="22"/>
  <c r="F28" i="22"/>
  <c r="I43" i="22"/>
  <c r="I35" i="22"/>
  <c r="D67" i="19"/>
  <c r="E67" i="19" s="1"/>
  <c r="J29" i="22"/>
  <c r="D73" i="19"/>
  <c r="J35" i="22"/>
  <c r="D73" i="29"/>
  <c r="E73" i="29" s="1"/>
  <c r="H37" i="22"/>
  <c r="H38" i="22"/>
  <c r="E30" i="22"/>
  <c r="E37" i="22"/>
  <c r="D78" i="29"/>
  <c r="E78" i="29" s="1"/>
  <c r="D4" i="24"/>
  <c r="E66" i="30"/>
  <c r="D83" i="30"/>
  <c r="B14" i="25"/>
  <c r="H15" i="25"/>
  <c r="G14" i="25"/>
  <c r="D14" i="25"/>
  <c r="E14" i="25"/>
  <c r="C14" i="25"/>
  <c r="F14" i="25"/>
  <c r="A16" i="25"/>
  <c r="C21" i="43"/>
  <c r="D21" i="43"/>
  <c r="B22" i="43" a="1"/>
  <c r="B22" i="43" s="1"/>
  <c r="A23" i="43"/>
  <c r="C21" i="42"/>
  <c r="D21" i="42"/>
  <c r="B22" i="42" a="1"/>
  <c r="B22" i="42" s="1"/>
  <c r="A23" i="42"/>
  <c r="D21" i="41"/>
  <c r="C21" i="41"/>
  <c r="B22" i="41" a="1"/>
  <c r="B22" i="41" s="1"/>
  <c r="A23" i="41"/>
  <c r="D21" i="40"/>
  <c r="C21" i="40"/>
  <c r="B22" i="40" a="1"/>
  <c r="B22" i="40" s="1"/>
  <c r="A23" i="40"/>
  <c r="E83" i="30" a="1"/>
  <c r="D22" i="40" a="1"/>
  <c r="C22" i="41" a="1"/>
  <c r="D15" i="25" a="1"/>
  <c r="D22" i="43" a="1"/>
  <c r="C22" i="40" a="1"/>
  <c r="E15" i="25" a="1"/>
  <c r="D22" i="41" a="1"/>
  <c r="C16" i="25" a="1"/>
  <c r="B15" i="25" a="1"/>
  <c r="C22" i="42" a="1"/>
  <c r="C22" i="43" a="1"/>
  <c r="F15" i="25" a="1"/>
  <c r="D22" i="42" a="1"/>
  <c r="G15" i="25" a="1"/>
  <c r="C15" i="25" a="1"/>
  <c r="C28" i="37" l="1"/>
  <c r="T5" i="31"/>
  <c r="K30" i="22"/>
  <c r="L30" i="22" s="1"/>
  <c r="M19" i="24"/>
  <c r="L20" i="24"/>
  <c r="O17" i="24" s="1"/>
  <c r="B41" i="24" s="1"/>
  <c r="C29" i="37"/>
  <c r="T5" i="19"/>
  <c r="T5" i="30"/>
  <c r="C27" i="37"/>
  <c r="K42" i="22"/>
  <c r="L42" i="22" s="1"/>
  <c r="K34" i="22"/>
  <c r="L34" i="22" s="1"/>
  <c r="K28" i="22"/>
  <c r="L28" i="22" s="1"/>
  <c r="K37" i="22"/>
  <c r="L37" i="22" s="1"/>
  <c r="K40" i="22"/>
  <c r="L40" i="22" s="1"/>
  <c r="K41" i="22"/>
  <c r="L41" i="22" s="1"/>
  <c r="J41" i="19"/>
  <c r="E81" i="19"/>
  <c r="E74" i="19"/>
  <c r="J48" i="19"/>
  <c r="E70" i="19"/>
  <c r="J50" i="19"/>
  <c r="J51" i="19"/>
  <c r="E79" i="19"/>
  <c r="J43" i="19"/>
  <c r="J49" i="19"/>
  <c r="E75" i="19"/>
  <c r="K33" i="22"/>
  <c r="L33" i="22" s="1"/>
  <c r="E66" i="29"/>
  <c r="D83" i="29"/>
  <c r="E83" i="29" s="1" a="1"/>
  <c r="E83" i="29" s="1"/>
  <c r="J44" i="19"/>
  <c r="E68" i="19"/>
  <c r="J45" i="19"/>
  <c r="K39" i="22"/>
  <c r="L39" i="22" s="1"/>
  <c r="J37" i="19"/>
  <c r="E71" i="19"/>
  <c r="J38" i="19"/>
  <c r="D83" i="19"/>
  <c r="E83" i="19" s="1" a="1"/>
  <c r="E83" i="19" s="1"/>
  <c r="J46" i="19"/>
  <c r="E66" i="19"/>
  <c r="J47" i="19"/>
  <c r="E77" i="19"/>
  <c r="J36" i="19"/>
  <c r="K31" i="22"/>
  <c r="L31" i="22" s="1"/>
  <c r="E72" i="19"/>
  <c r="J40" i="19"/>
  <c r="K43" i="22"/>
  <c r="L43" i="22" s="1"/>
  <c r="J39" i="19"/>
  <c r="E78" i="19"/>
  <c r="K35" i="22"/>
  <c r="L35" i="22" s="1"/>
  <c r="K36" i="22"/>
  <c r="L36" i="22" s="1"/>
  <c r="K29" i="22"/>
  <c r="L29" i="22" s="1"/>
  <c r="K38" i="22"/>
  <c r="L38" i="22" s="1"/>
  <c r="J42" i="19"/>
  <c r="E73" i="19"/>
  <c r="K32" i="22"/>
  <c r="L32" i="22" s="1"/>
  <c r="E83" i="30"/>
  <c r="D15" i="25"/>
  <c r="B15" i="25"/>
  <c r="E15" i="25"/>
  <c r="G15" i="25"/>
  <c r="C15" i="25"/>
  <c r="C16" i="25"/>
  <c r="F15" i="25"/>
  <c r="A17" i="25"/>
  <c r="D22" i="43"/>
  <c r="C22" i="43"/>
  <c r="B23" i="43" a="1"/>
  <c r="B23" i="43" s="1"/>
  <c r="C22" i="42"/>
  <c r="D22" i="42"/>
  <c r="B23" i="42" a="1"/>
  <c r="B23" i="42" s="1"/>
  <c r="C22" i="41"/>
  <c r="D22" i="41"/>
  <c r="B23" i="41" a="1"/>
  <c r="B23" i="41" s="1"/>
  <c r="C22" i="40"/>
  <c r="D22" i="40"/>
  <c r="B23" i="40" a="1"/>
  <c r="B23" i="40" s="1"/>
  <c r="C23" i="41" a="1"/>
  <c r="C23" i="42" a="1"/>
  <c r="B16" i="25" a="1"/>
  <c r="C23" i="40" a="1"/>
  <c r="D16" i="25" a="1"/>
  <c r="D23" i="41" a="1"/>
  <c r="D23" i="40" a="1"/>
  <c r="H17" i="25" a="1"/>
  <c r="H16" i="25" a="1"/>
  <c r="D23" i="43" a="1"/>
  <c r="C23" i="43" a="1"/>
  <c r="F16" i="25" a="1"/>
  <c r="D23" i="42" a="1"/>
  <c r="G16" i="25" a="1"/>
  <c r="E16" i="25" a="1"/>
  <c r="K45" i="22" l="1"/>
  <c r="H16" i="25"/>
  <c r="H17" i="25"/>
  <c r="G16" i="25"/>
  <c r="B16" i="25"/>
  <c r="D16" i="25"/>
  <c r="E16" i="25"/>
  <c r="F16" i="25"/>
  <c r="A18" i="25"/>
  <c r="D23" i="43"/>
  <c r="C23" i="43"/>
  <c r="D23" i="42"/>
  <c r="C23" i="42"/>
  <c r="C23" i="41"/>
  <c r="D23" i="41"/>
  <c r="D23" i="40"/>
  <c r="C23" i="40"/>
  <c r="L45" i="22" a="1"/>
  <c r="F17" i="25" a="1"/>
  <c r="E17" i="25" a="1"/>
  <c r="D17" i="25" a="1"/>
  <c r="B17" i="25" a="1"/>
  <c r="G17" i="25" a="1"/>
  <c r="C17" i="25" a="1"/>
  <c r="H18" i="25" a="1"/>
  <c r="L45" i="22" l="1"/>
  <c r="E17" i="25"/>
  <c r="H18" i="25"/>
  <c r="C17" i="25"/>
  <c r="G17" i="25"/>
  <c r="D17" i="25"/>
  <c r="B17" i="25"/>
  <c r="F17" i="25"/>
  <c r="F18" i="25" a="1"/>
  <c r="B18" i="25" a="1"/>
  <c r="E18" i="25" a="1"/>
  <c r="D18" i="25" a="1"/>
  <c r="G18" i="25" a="1"/>
  <c r="C18" i="25" a="1"/>
  <c r="E18" i="25" l="1"/>
  <c r="G18" i="25"/>
  <c r="C18" i="25"/>
  <c r="D18" i="25"/>
  <c r="B18" i="25"/>
  <c r="F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Rick Summers</author>
  </authors>
  <commentList>
    <comment ref="A89" authorId="0" shapeId="0" xr:uid="{0FD58972-6FEF-4D07-8494-8D52700A29D4}">
      <text>
        <r>
          <rPr>
            <b/>
            <sz val="9"/>
            <color indexed="81"/>
            <rFont val="Tahoma"/>
            <family val="2"/>
          </rPr>
          <t>Rick Summers:</t>
        </r>
        <r>
          <rPr>
            <sz val="9"/>
            <color indexed="81"/>
            <rFont val="Tahoma"/>
            <family val="2"/>
          </rPr>
          <t xml:space="preserve">
X Position of Box Plot?</t>
        </r>
      </text>
    </comment>
    <comment ref="B89" authorId="0" shapeId="0" xr:uid="{924F9AF2-2B70-445F-BCE9-A0FD176ECF0C}">
      <text>
        <r>
          <rPr>
            <b/>
            <sz val="9"/>
            <color indexed="81"/>
            <rFont val="Tahoma"/>
            <family val="2"/>
          </rPr>
          <t>Rick Summers:</t>
        </r>
        <r>
          <rPr>
            <sz val="9"/>
            <color indexed="81"/>
            <rFont val="Tahoma"/>
            <family val="2"/>
          </rPr>
          <t xml:space="preserve">
Y position of BoxPlot?</t>
        </r>
      </text>
    </comment>
    <comment ref="C89" authorId="0" shapeId="0" xr:uid="{AEBD68E4-DE7E-4592-9257-B32BFD7CED18}">
      <text>
        <r>
          <rPr>
            <b/>
            <sz val="9"/>
            <color indexed="81"/>
            <rFont val="Tahoma"/>
            <family val="2"/>
          </rPr>
          <t>Rick Summers:</t>
        </r>
        <r>
          <rPr>
            <sz val="9"/>
            <color indexed="81"/>
            <rFont val="Tahoma"/>
            <family val="2"/>
          </rPr>
          <t xml:space="preserve">
Width of the BoxPlot</t>
        </r>
      </text>
    </comment>
    <comment ref="D89" authorId="0" shapeId="0" xr:uid="{10182B8C-3209-4B9C-B0B5-2465A825C0C8}">
      <text>
        <r>
          <rPr>
            <b/>
            <sz val="9"/>
            <color indexed="81"/>
            <rFont val="Tahoma"/>
            <family val="2"/>
          </rPr>
          <t>Rick Summers:</t>
        </r>
        <r>
          <rPr>
            <sz val="9"/>
            <color indexed="81"/>
            <rFont val="Tahoma"/>
            <family val="2"/>
          </rPr>
          <t xml:space="preserve">
Height of the BoxPlot</t>
        </r>
      </text>
    </comment>
    <comment ref="E89" authorId="0" shapeId="0" xr:uid="{2CAE2F3E-D282-4059-9732-CF3BB489D143}">
      <text>
        <r>
          <rPr>
            <b/>
            <sz val="9"/>
            <color indexed="81"/>
            <rFont val="Tahoma"/>
            <family val="2"/>
          </rPr>
          <t>Rick Summers:</t>
        </r>
        <r>
          <rPr>
            <sz val="9"/>
            <color indexed="81"/>
            <rFont val="Tahoma"/>
            <family val="2"/>
          </rPr>
          <t xml:space="preserve">
Scale of box plot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Rick Summers</author>
  </authors>
  <commentList>
    <comment ref="A89" authorId="0" shapeId="0" xr:uid="{A20CB351-9724-4AFE-A8E5-2F7343AE8BE3}">
      <text>
        <r>
          <rPr>
            <b/>
            <sz val="9"/>
            <color indexed="81"/>
            <rFont val="Tahoma"/>
            <family val="2"/>
          </rPr>
          <t>Rick Summers:</t>
        </r>
        <r>
          <rPr>
            <sz val="9"/>
            <color indexed="81"/>
            <rFont val="Tahoma"/>
            <family val="2"/>
          </rPr>
          <t xml:space="preserve">
X Position of Box Plot?</t>
        </r>
      </text>
    </comment>
    <comment ref="B89" authorId="0" shapeId="0" xr:uid="{C5A59D8C-9D4B-4222-B228-E1568C0924EA}">
      <text>
        <r>
          <rPr>
            <b/>
            <sz val="9"/>
            <color indexed="81"/>
            <rFont val="Tahoma"/>
            <family val="2"/>
          </rPr>
          <t>Rick Summers:</t>
        </r>
        <r>
          <rPr>
            <sz val="9"/>
            <color indexed="81"/>
            <rFont val="Tahoma"/>
            <family val="2"/>
          </rPr>
          <t xml:space="preserve">
Y position of BoxPlot?</t>
        </r>
      </text>
    </comment>
    <comment ref="C89" authorId="0" shapeId="0" xr:uid="{9ED35A51-302A-4318-BB79-9514C6B8E380}">
      <text>
        <r>
          <rPr>
            <b/>
            <sz val="9"/>
            <color indexed="81"/>
            <rFont val="Tahoma"/>
            <family val="2"/>
          </rPr>
          <t>Rick Summers:</t>
        </r>
        <r>
          <rPr>
            <sz val="9"/>
            <color indexed="81"/>
            <rFont val="Tahoma"/>
            <family val="2"/>
          </rPr>
          <t xml:space="preserve">
Width of the BoxPlot</t>
        </r>
      </text>
    </comment>
    <comment ref="D89" authorId="0" shapeId="0" xr:uid="{3E76AE14-CD53-4B21-84E2-348E790273A7}">
      <text>
        <r>
          <rPr>
            <b/>
            <sz val="9"/>
            <color indexed="81"/>
            <rFont val="Tahoma"/>
            <family val="2"/>
          </rPr>
          <t>Rick Summers:</t>
        </r>
        <r>
          <rPr>
            <sz val="9"/>
            <color indexed="81"/>
            <rFont val="Tahoma"/>
            <family val="2"/>
          </rPr>
          <t xml:space="preserve">
Height of the BoxPlot</t>
        </r>
      </text>
    </comment>
    <comment ref="E89" authorId="0" shapeId="0" xr:uid="{0E8BCCD0-BCB8-4541-8C21-0CEC7C646684}">
      <text>
        <r>
          <rPr>
            <b/>
            <sz val="9"/>
            <color indexed="81"/>
            <rFont val="Tahoma"/>
            <family val="2"/>
          </rPr>
          <t>Rick Summers:</t>
        </r>
        <r>
          <rPr>
            <sz val="9"/>
            <color indexed="81"/>
            <rFont val="Tahoma"/>
            <family val="2"/>
          </rPr>
          <t xml:space="preserve">
Scale of box plot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Rick Summers</author>
  </authors>
  <commentList>
    <comment ref="A89" authorId="0" shapeId="0" xr:uid="{6CDCE013-D8F4-47DB-A2ED-E0EF47EA0B8F}">
      <text>
        <r>
          <rPr>
            <b/>
            <sz val="9"/>
            <color indexed="81"/>
            <rFont val="Tahoma"/>
            <family val="2"/>
          </rPr>
          <t>Rick Summers:</t>
        </r>
        <r>
          <rPr>
            <sz val="9"/>
            <color indexed="81"/>
            <rFont val="Tahoma"/>
            <family val="2"/>
          </rPr>
          <t xml:space="preserve">
X Position of Box Plot?</t>
        </r>
      </text>
    </comment>
    <comment ref="B89" authorId="0" shapeId="0" xr:uid="{B32C52BA-1BFF-4F12-8409-856DC760F7A5}">
      <text>
        <r>
          <rPr>
            <b/>
            <sz val="9"/>
            <color indexed="81"/>
            <rFont val="Tahoma"/>
            <family val="2"/>
          </rPr>
          <t>Rick Summers:</t>
        </r>
        <r>
          <rPr>
            <sz val="9"/>
            <color indexed="81"/>
            <rFont val="Tahoma"/>
            <family val="2"/>
          </rPr>
          <t xml:space="preserve">
Y position of BoxPlot?</t>
        </r>
      </text>
    </comment>
    <comment ref="C89" authorId="0" shapeId="0" xr:uid="{7570A082-9E63-4FF6-9FE4-15F7350B02AC}">
      <text>
        <r>
          <rPr>
            <b/>
            <sz val="9"/>
            <color indexed="81"/>
            <rFont val="Tahoma"/>
            <family val="2"/>
          </rPr>
          <t>Rick Summers:</t>
        </r>
        <r>
          <rPr>
            <sz val="9"/>
            <color indexed="81"/>
            <rFont val="Tahoma"/>
            <family val="2"/>
          </rPr>
          <t xml:space="preserve">
Width of the BoxPlot</t>
        </r>
      </text>
    </comment>
    <comment ref="D89" authorId="0" shapeId="0" xr:uid="{AA7D2E64-5DDF-45E3-82A1-6B4D05EA00D6}">
      <text>
        <r>
          <rPr>
            <b/>
            <sz val="9"/>
            <color indexed="81"/>
            <rFont val="Tahoma"/>
            <family val="2"/>
          </rPr>
          <t>Rick Summers:</t>
        </r>
        <r>
          <rPr>
            <sz val="9"/>
            <color indexed="81"/>
            <rFont val="Tahoma"/>
            <family val="2"/>
          </rPr>
          <t xml:space="preserve">
Height of the BoxPlot</t>
        </r>
      </text>
    </comment>
    <comment ref="E89" authorId="0" shapeId="0" xr:uid="{B0665285-4201-443B-89E3-9426434E0617}">
      <text>
        <r>
          <rPr>
            <b/>
            <sz val="9"/>
            <color indexed="81"/>
            <rFont val="Tahoma"/>
            <family val="2"/>
          </rPr>
          <t>Rick Summers:</t>
        </r>
        <r>
          <rPr>
            <sz val="9"/>
            <color indexed="81"/>
            <rFont val="Tahoma"/>
            <family val="2"/>
          </rPr>
          <t xml:space="preserve">
Scale of box plot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Rick Summers</author>
  </authors>
  <commentList>
    <comment ref="A89" authorId="0" shapeId="0" xr:uid="{4D53A9FA-47A2-429F-B184-CE309109D6C6}">
      <text>
        <r>
          <rPr>
            <b/>
            <sz val="9"/>
            <color indexed="81"/>
            <rFont val="Tahoma"/>
            <family val="2"/>
          </rPr>
          <t>Rick Summers:</t>
        </r>
        <r>
          <rPr>
            <sz val="9"/>
            <color indexed="81"/>
            <rFont val="Tahoma"/>
            <family val="2"/>
          </rPr>
          <t xml:space="preserve">
X Position of Box Plot?</t>
        </r>
      </text>
    </comment>
    <comment ref="B89" authorId="0" shapeId="0" xr:uid="{0F1664B6-C405-446F-A586-2AC89CA3EFD3}">
      <text>
        <r>
          <rPr>
            <b/>
            <sz val="9"/>
            <color indexed="81"/>
            <rFont val="Tahoma"/>
            <family val="2"/>
          </rPr>
          <t>Rick Summers:</t>
        </r>
        <r>
          <rPr>
            <sz val="9"/>
            <color indexed="81"/>
            <rFont val="Tahoma"/>
            <family val="2"/>
          </rPr>
          <t xml:space="preserve">
Y position of BoxPlot?</t>
        </r>
      </text>
    </comment>
    <comment ref="C89" authorId="0" shapeId="0" xr:uid="{2E715C18-AAD6-442F-92B0-8607D667C035}">
      <text>
        <r>
          <rPr>
            <b/>
            <sz val="9"/>
            <color indexed="81"/>
            <rFont val="Tahoma"/>
            <family val="2"/>
          </rPr>
          <t>Rick Summers:</t>
        </r>
        <r>
          <rPr>
            <sz val="9"/>
            <color indexed="81"/>
            <rFont val="Tahoma"/>
            <family val="2"/>
          </rPr>
          <t xml:space="preserve">
Width of the BoxPlot</t>
        </r>
      </text>
    </comment>
    <comment ref="D89" authorId="0" shapeId="0" xr:uid="{0BB24066-54CB-4EF6-AE90-1693E0A17874}">
      <text>
        <r>
          <rPr>
            <b/>
            <sz val="9"/>
            <color indexed="81"/>
            <rFont val="Tahoma"/>
            <family val="2"/>
          </rPr>
          <t>Rick Summers:</t>
        </r>
        <r>
          <rPr>
            <sz val="9"/>
            <color indexed="81"/>
            <rFont val="Tahoma"/>
            <family val="2"/>
          </rPr>
          <t xml:space="preserve">
Height of the BoxPlot</t>
        </r>
      </text>
    </comment>
    <comment ref="E89" authorId="0" shapeId="0" xr:uid="{6D788F90-BB4A-45B7-AFE8-6954D134CC95}">
      <text>
        <r>
          <rPr>
            <b/>
            <sz val="9"/>
            <color indexed="81"/>
            <rFont val="Tahoma"/>
            <family val="2"/>
          </rPr>
          <t>Rick Summers:</t>
        </r>
        <r>
          <rPr>
            <sz val="9"/>
            <color indexed="81"/>
            <rFont val="Tahoma"/>
            <family val="2"/>
          </rPr>
          <t xml:space="preserve">
Scale of box plot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<sst xmlns="http://schemas.openxmlformats.org/spreadsheetml/2006/main" count="1686" uniqueCount="813">
  <si>
    <t>Top Q</t>
  </si>
  <si>
    <t>Median</t>
  </si>
  <si>
    <t>Bottom Q</t>
  </si>
  <si>
    <t>Top Decile</t>
  </si>
  <si>
    <t>Bottom Decile</t>
  </si>
  <si>
    <t>For Line</t>
  </si>
  <si>
    <t>For Bars</t>
  </si>
  <si>
    <t>Target Company</t>
  </si>
  <si>
    <t>Do Not Delete this sheet. This is used for exporting function.</t>
  </si>
  <si>
    <t>Slide #</t>
  </si>
  <si>
    <t>Export</t>
  </si>
  <si>
    <t>Source</t>
  </si>
  <si>
    <t>Left</t>
  </si>
  <si>
    <t>Top</t>
  </si>
  <si>
    <t>Width</t>
  </si>
  <si>
    <t>Height</t>
  </si>
  <si>
    <t>Exit</t>
  </si>
  <si>
    <t>Min</t>
  </si>
  <si>
    <t>Max</t>
  </si>
  <si>
    <t/>
  </si>
  <si>
    <t>Advanced Micro Devices Inc</t>
  </si>
  <si>
    <t>Stmicroelectronics Nv</t>
  </si>
  <si>
    <t>3674</t>
  </si>
  <si>
    <t>Semiconductors And Related Devices</t>
  </si>
  <si>
    <t>Amkor Technology, Inc.</t>
  </si>
  <si>
    <t>Analog Devices Inc</t>
  </si>
  <si>
    <t>Canadian Solar Inc.</t>
  </si>
  <si>
    <t>Jinkosolar Holding Co., Ltd.</t>
  </si>
  <si>
    <t>Microchip Technology Inc</t>
  </si>
  <si>
    <t>Nxp Semiconductors N.V.</t>
  </si>
  <si>
    <t>On Semiconductor Corp</t>
  </si>
  <si>
    <t>Semiconductor Manufacturing International Corp</t>
  </si>
  <si>
    <t>Skyworks Solutions, Inc.</t>
  </si>
  <si>
    <t>United Microelectronics Corp</t>
  </si>
  <si>
    <t>TitlePage</t>
  </si>
  <si>
    <t>ExecutiveSummaryFirstPage</t>
  </si>
  <si>
    <t>CashConversionByIndustryPage</t>
  </si>
  <si>
    <t>CCC</t>
  </si>
  <si>
    <t>PeerGroupAnalysis</t>
  </si>
  <si>
    <t>X</t>
  </si>
  <si>
    <t>Y</t>
  </si>
  <si>
    <t>Scale</t>
  </si>
  <si>
    <t>Drivers</t>
  </si>
  <si>
    <t>AssumptionsPage</t>
  </si>
  <si>
    <t>TrendingPage</t>
  </si>
  <si>
    <t>BenefitSummaryPage</t>
  </si>
  <si>
    <t>TwoArrowPage</t>
  </si>
  <si>
    <t>LiquidityDriversPage</t>
  </si>
  <si>
    <t>ProfitabilityDriversPage</t>
  </si>
  <si>
    <t>LeverageDriversPage</t>
  </si>
  <si>
    <t>TurnoverDriversPage</t>
  </si>
  <si>
    <t>WCTA</t>
  </si>
  <si>
    <t>CASHCL</t>
  </si>
  <si>
    <t>CASHTA</t>
  </si>
  <si>
    <t>CASHSALE</t>
  </si>
  <si>
    <t>CCRatio</t>
  </si>
  <si>
    <t>CATA</t>
  </si>
  <si>
    <t>CL_EQ</t>
  </si>
  <si>
    <t>QRAT</t>
  </si>
  <si>
    <t>QTA</t>
  </si>
  <si>
    <t>INVCA</t>
  </si>
  <si>
    <t>Score</t>
  </si>
  <si>
    <t>Industry Median</t>
  </si>
  <si>
    <t>Liquidity Indicators</t>
  </si>
  <si>
    <t>Column Titles:</t>
  </si>
  <si>
    <t>ColumnWidth:</t>
  </si>
  <si>
    <t>Metric Formula</t>
  </si>
  <si>
    <t>Health Indicator</t>
  </si>
  <si>
    <t>Cash Ratio</t>
  </si>
  <si>
    <t>Cash / CL</t>
  </si>
  <si>
    <t>Cash to Total Asssets</t>
  </si>
  <si>
    <t>Cash / TA</t>
  </si>
  <si>
    <t>Cash To Sales</t>
  </si>
  <si>
    <t>Cash / Sales</t>
  </si>
  <si>
    <t>(CA-CL) / Total Assets</t>
  </si>
  <si>
    <t>Current Assets to Total Assets</t>
  </si>
  <si>
    <t>Current Liability Ratio</t>
  </si>
  <si>
    <t>Quick Ratio</t>
  </si>
  <si>
    <t>CA / CL</t>
  </si>
  <si>
    <t>CL / Equities</t>
  </si>
  <si>
    <t>(Cash + AR) / CL</t>
  </si>
  <si>
    <t>CA / TA</t>
  </si>
  <si>
    <t>Quick Assets to Total Assets</t>
  </si>
  <si>
    <t>(Cash + AR) / TA</t>
  </si>
  <si>
    <t>Inventory Total Assets</t>
  </si>
  <si>
    <t>Inventory / CA</t>
  </si>
  <si>
    <t>Liquidity Score</t>
  </si>
  <si>
    <t>Current Ratio</t>
  </si>
  <si>
    <t>Normal</t>
  </si>
  <si>
    <t>Inverted</t>
  </si>
  <si>
    <t>Raw</t>
  </si>
  <si>
    <t>Cooked</t>
  </si>
  <si>
    <t>CAGR</t>
  </si>
  <si>
    <t>DSO</t>
  </si>
  <si>
    <t>PeerDemographicsPage</t>
  </si>
  <si>
    <t>SIC2D</t>
  </si>
  <si>
    <t>REV1</t>
  </si>
  <si>
    <t>COGS</t>
  </si>
  <si>
    <t>AP</t>
  </si>
  <si>
    <t>CCRATIO</t>
  </si>
  <si>
    <t>EBITDA1</t>
  </si>
  <si>
    <t>EM1</t>
  </si>
  <si>
    <t>GP</t>
  </si>
  <si>
    <t>NI</t>
  </si>
  <si>
    <t>EBIT</t>
  </si>
  <si>
    <t>GPPE</t>
  </si>
  <si>
    <t>NPPE</t>
  </si>
  <si>
    <t>ROA</t>
  </si>
  <si>
    <t>ROE</t>
  </si>
  <si>
    <t>GM1</t>
  </si>
  <si>
    <t>NP1</t>
  </si>
  <si>
    <t>EBITTA</t>
  </si>
  <si>
    <t>WCAP</t>
  </si>
  <si>
    <t>WCAP1</t>
  </si>
  <si>
    <t>WCSALES</t>
  </si>
  <si>
    <t>ITURNS</t>
  </si>
  <si>
    <t>FATURN</t>
  </si>
  <si>
    <t>TATURN</t>
  </si>
  <si>
    <t>EQTURNS</t>
  </si>
  <si>
    <t>RTURNS</t>
  </si>
  <si>
    <t>QASALES</t>
  </si>
  <si>
    <t>CASALES</t>
  </si>
  <si>
    <t>DBTEQ</t>
  </si>
  <si>
    <t>DBTTA</t>
  </si>
  <si>
    <t>FNMULTI</t>
  </si>
  <si>
    <t>FAEQLTL</t>
  </si>
  <si>
    <t>RETA</t>
  </si>
  <si>
    <t>REVPEREE</t>
  </si>
  <si>
    <t>PeerOverviewPage</t>
  </si>
  <si>
    <t>SHORT</t>
  </si>
  <si>
    <t>BOTH</t>
  </si>
  <si>
    <t>LONG</t>
  </si>
  <si>
    <t>Done</t>
  </si>
  <si>
    <t>Row of CCC:</t>
  </si>
  <si>
    <t>EE</t>
  </si>
  <si>
    <t>DIO</t>
  </si>
  <si>
    <t>DPO</t>
  </si>
  <si>
    <t>Hain Celestial Group</t>
  </si>
  <si>
    <t>Mondelez</t>
  </si>
  <si>
    <t>Rank:</t>
  </si>
  <si>
    <t>DSOUQ</t>
  </si>
  <si>
    <t>DPOUQ</t>
  </si>
  <si>
    <t>DIOUQ</t>
  </si>
  <si>
    <t>M</t>
  </si>
  <si>
    <t>TQ</t>
  </si>
  <si>
    <t>B</t>
  </si>
  <si>
    <t>BD</t>
  </si>
  <si>
    <t>BQ</t>
  </si>
  <si>
    <t>TD</t>
  </si>
  <si>
    <t>Columns:</t>
  </si>
  <si>
    <t>▼</t>
  </si>
  <si>
    <t>▲</t>
  </si>
  <si>
    <t>Left:</t>
  </si>
  <si>
    <t>Top:</t>
  </si>
  <si>
    <t>Height:</t>
  </si>
  <si>
    <t>Opportunity Calculation</t>
  </si>
  <si>
    <t>DSO Opp</t>
  </si>
  <si>
    <t>DIO Opp</t>
  </si>
  <si>
    <t>DPO Opp</t>
  </si>
  <si>
    <t>CCC Opp</t>
  </si>
  <si>
    <t>DSO (Sales)</t>
  </si>
  <si>
    <t>AR</t>
  </si>
  <si>
    <t>CASHEQUIV</t>
  </si>
  <si>
    <t>CIKID</t>
  </si>
  <si>
    <t>CLEQ</t>
  </si>
  <si>
    <t>CONAME</t>
  </si>
  <si>
    <t>CREATEDBY</t>
  </si>
  <si>
    <t>CREATEDON</t>
  </si>
  <si>
    <t>CURRASSETS</t>
  </si>
  <si>
    <t>CURRLIAB</t>
  </si>
  <si>
    <t>DATAYEAR</t>
  </si>
  <si>
    <t>FACTID</t>
  </si>
  <si>
    <t>GA1M</t>
  </si>
  <si>
    <t>INVENTORY</t>
  </si>
  <si>
    <t>INVSALES</t>
  </si>
  <si>
    <t>ISTARGET</t>
  </si>
  <si>
    <t>MKTCAP</t>
  </si>
  <si>
    <t>RETAINEDE</t>
  </si>
  <si>
    <t>SGA1</t>
  </si>
  <si>
    <t>SGAMULT</t>
  </si>
  <si>
    <t>SGM1</t>
  </si>
  <si>
    <t>SHORTNAME</t>
  </si>
  <si>
    <t>SICCODE</t>
  </si>
  <si>
    <t>SQLQRY</t>
  </si>
  <si>
    <t>TEQLIAB</t>
  </si>
  <si>
    <t>TLIAB</t>
  </si>
  <si>
    <t>TOTALASSETS</t>
  </si>
  <si>
    <t>TOTALEQUITY</t>
  </si>
  <si>
    <t>UPDATEDBY</t>
  </si>
  <si>
    <t>UPDATEDON</t>
  </si>
  <si>
    <t>YSCID</t>
  </si>
  <si>
    <t>ACTUALROCE</t>
  </si>
  <si>
    <t>CAPITALEMPLOYED_TA_CL_</t>
  </si>
  <si>
    <t>DIO_COGS_</t>
  </si>
  <si>
    <t>DPO_COGS_</t>
  </si>
  <si>
    <t>DSO_SALES_</t>
  </si>
  <si>
    <t>NEWROCEWITHTWCIMPPROVEMENT</t>
  </si>
  <si>
    <t>ONEDAYCOGS</t>
  </si>
  <si>
    <t>ONEDAYSALES</t>
  </si>
  <si>
    <t>TWC_BASEDONCOGS_</t>
  </si>
  <si>
    <t>TWCSCOPE</t>
  </si>
  <si>
    <t>MIN</t>
  </si>
  <si>
    <t>MAX</t>
  </si>
  <si>
    <t>TARGET</t>
  </si>
  <si>
    <t>SK:CJ</t>
  </si>
  <si>
    <t>SK:AM</t>
  </si>
  <si>
    <t>SK:CG</t>
  </si>
  <si>
    <t>SK:CE</t>
  </si>
  <si>
    <t>OneDaySales</t>
  </si>
  <si>
    <t>DSO Row</t>
  </si>
  <si>
    <t>OneDaySales Col</t>
  </si>
  <si>
    <t>SK:CL</t>
  </si>
  <si>
    <t>DIO (COGS)</t>
  </si>
  <si>
    <t>SK:AN</t>
  </si>
  <si>
    <t>SK:CI</t>
  </si>
  <si>
    <t>SK:CF</t>
  </si>
  <si>
    <t>SK:V</t>
  </si>
  <si>
    <t>SK:T</t>
  </si>
  <si>
    <t>Inventory</t>
  </si>
  <si>
    <t>DIO Row</t>
  </si>
  <si>
    <t>SK:CK</t>
  </si>
  <si>
    <t>DPO (COGS)</t>
  </si>
  <si>
    <t>SK:CH</t>
  </si>
  <si>
    <t>SK:AO</t>
  </si>
  <si>
    <t>DPO Row</t>
  </si>
  <si>
    <t>SK:W</t>
  </si>
  <si>
    <t>Coname</t>
  </si>
  <si>
    <t>SicCode</t>
  </si>
  <si>
    <t>FRACTION</t>
  </si>
  <si>
    <t>REVERSED</t>
  </si>
  <si>
    <t>Star Adjustment:</t>
  </si>
  <si>
    <t>Report:</t>
  </si>
  <si>
    <t>Paranoid:</t>
  </si>
  <si>
    <t>Rank</t>
  </si>
  <si>
    <t>Index</t>
  </si>
  <si>
    <t>CccPage</t>
  </si>
  <si>
    <t>DsoPage</t>
  </si>
  <si>
    <t>DioPage</t>
  </si>
  <si>
    <t>DpoPage</t>
  </si>
  <si>
    <t>Companies</t>
  </si>
  <si>
    <t>Campbell Soup</t>
  </si>
  <si>
    <t>Conagra Brands</t>
  </si>
  <si>
    <t>General Mills</t>
  </si>
  <si>
    <t>Hershey</t>
  </si>
  <si>
    <t>Hormel Foods</t>
  </si>
  <si>
    <t>J M SMUCKER</t>
  </si>
  <si>
    <t>Kellogg</t>
  </si>
  <si>
    <t>Kraft Heinz</t>
  </si>
  <si>
    <t>Mccormick &amp; Co</t>
  </si>
  <si>
    <t>Tyson Foods</t>
  </si>
  <si>
    <t>ShortName:</t>
  </si>
  <si>
    <t>OP1</t>
  </si>
  <si>
    <t>Return on Assets</t>
  </si>
  <si>
    <t>Net Income / TA</t>
  </si>
  <si>
    <t>Return on Equity</t>
  </si>
  <si>
    <t>Net Income / Equity</t>
  </si>
  <si>
    <t>Working Capital to Total Assets</t>
  </si>
  <si>
    <t>Gross Profit Margin %</t>
  </si>
  <si>
    <t>(Sales - COGS) / Sales</t>
  </si>
  <si>
    <t>Net Profit Margin</t>
  </si>
  <si>
    <t>Net Income / Sales</t>
  </si>
  <si>
    <t>Operating Profit Margin</t>
  </si>
  <si>
    <t>EBIT / Sales</t>
  </si>
  <si>
    <t>EBIT to Total Assets</t>
  </si>
  <si>
    <t>EBIT / TA</t>
  </si>
  <si>
    <t>SG&amp;A Expenses / Sales</t>
  </si>
  <si>
    <t>Profitability Score</t>
  </si>
  <si>
    <t>Debt to Equity Ratio</t>
  </si>
  <si>
    <t>Debt to Total Assets</t>
  </si>
  <si>
    <t>Financial Leverage Multiplier</t>
  </si>
  <si>
    <t>Fixed Assets to Equity &amp; LT Liab</t>
  </si>
  <si>
    <t>Retained Earnings to Total Assets</t>
  </si>
  <si>
    <t>Leverage Score</t>
  </si>
  <si>
    <t>TL / Equity</t>
  </si>
  <si>
    <t>TL / TA</t>
  </si>
  <si>
    <t>TA / Equity</t>
  </si>
  <si>
    <t>Retained Earn / TA</t>
  </si>
  <si>
    <t>Inventory Turnover</t>
  </si>
  <si>
    <t>Fixed Assets Turnover</t>
  </si>
  <si>
    <t>Total Assets Turnover</t>
  </si>
  <si>
    <t>Equity Turnover</t>
  </si>
  <si>
    <t>Inventory to Sales</t>
  </si>
  <si>
    <t>Receivables Turnover</t>
  </si>
  <si>
    <t>Quick Assets to Sales</t>
  </si>
  <si>
    <t>COGS / Inventory</t>
  </si>
  <si>
    <t>Sales / PPE</t>
  </si>
  <si>
    <t>Sales / Total Assets</t>
  </si>
  <si>
    <t>Sales / Equity</t>
  </si>
  <si>
    <t>Inventory / Sales</t>
  </si>
  <si>
    <t>Sales / AR</t>
  </si>
  <si>
    <t>Sales / Working Cap</t>
  </si>
  <si>
    <t>Turnover Score</t>
  </si>
  <si>
    <t>Industry</t>
  </si>
  <si>
    <t>Capital Goods</t>
  </si>
  <si>
    <t>Materials</t>
  </si>
  <si>
    <t>Retailing</t>
  </si>
  <si>
    <t>Energy</t>
  </si>
  <si>
    <t>Utilities</t>
  </si>
  <si>
    <t>Food and Staples Retailing</t>
  </si>
  <si>
    <t>Base</t>
  </si>
  <si>
    <t>Delta 1</t>
  </si>
  <si>
    <t>Delta 2</t>
  </si>
  <si>
    <r>
      <t xml:space="preserve">Optimizing cash requires balancing many things, including pricing, vendor costs, capital structure, and working capital policies. If one of these four pillars falls, a company may not generate enough cash flow to survive, irrespective of the demand for its products or services. Therefore, it’s imperative for business leaders to understand the many different individuals and departments who are responsible for proper cash flow management. </t>
    </r>
    <r>
      <rPr>
        <sz val="10.5"/>
        <color rgb="FFFFFFFF"/>
        <rFont val="Arial"/>
        <family val="2"/>
      </rPr>
      <t>The cash conversion cycle for Consumer Durables and Apparel ranged from 68 days to 196 days, where median is pegged at 107 days.</t>
    </r>
  </si>
  <si>
    <t>Text</t>
  </si>
  <si>
    <t>GR Start</t>
  </si>
  <si>
    <t>CS Width</t>
  </si>
  <si>
    <t>GR Step</t>
  </si>
  <si>
    <t>Count</t>
  </si>
  <si>
    <t>First Row</t>
  </si>
  <si>
    <t>SubIndustry</t>
  </si>
  <si>
    <t>Year</t>
  </si>
  <si>
    <t>Years</t>
  </si>
  <si>
    <t>DSO X</t>
  </si>
  <si>
    <t>DSO Y</t>
  </si>
  <si>
    <t>DIO X</t>
  </si>
  <si>
    <t>DIO Y</t>
  </si>
  <si>
    <t>DPO X</t>
  </si>
  <si>
    <t>DPO Y</t>
  </si>
  <si>
    <t>CCC X</t>
  </si>
  <si>
    <t>CCC Y</t>
  </si>
  <si>
    <t>(TitlePage)</t>
  </si>
  <si>
    <t>(DisclaimerPage)</t>
  </si>
  <si>
    <t>(ContentsPage)</t>
  </si>
  <si>
    <t>(ExecutiveSummaryTitlePage)</t>
  </si>
  <si>
    <t>(GlossaryTitlePage)</t>
  </si>
  <si>
    <t>(ChangingGearsPage)</t>
  </si>
  <si>
    <t>(GlossaryPage)</t>
  </si>
  <si>
    <t>(PeerDemographicsTitlePage)</t>
  </si>
  <si>
    <t>(ComponentsAnalysisTitlePage)</t>
  </si>
  <si>
    <t>(FinancialDriverTitlePage)</t>
  </si>
  <si>
    <t>(AppendixTitlePage)</t>
  </si>
  <si>
    <t>(MethodologyPage)</t>
  </si>
  <si>
    <t>(AboutUsPage)</t>
  </si>
  <si>
    <t>(Contact Page)</t>
  </si>
  <si>
    <t>(BlankPage)</t>
  </si>
  <si>
    <t>(ExecutiveSummarySecondPage)</t>
  </si>
  <si>
    <t>Candlestick X</t>
  </si>
  <si>
    <t>Candlestick Y</t>
  </si>
  <si>
    <t>Candlestick Scale</t>
  </si>
  <si>
    <t>Histogram X</t>
  </si>
  <si>
    <t>Histogram Y</t>
  </si>
  <si>
    <t>Histogram Scale</t>
  </si>
  <si>
    <t>Table Row</t>
  </si>
  <si>
    <t>Table Column</t>
  </si>
  <si>
    <t>Value</t>
  </si>
  <si>
    <t>UID_D</t>
  </si>
  <si>
    <t>WCTA_AC</t>
  </si>
  <si>
    <t>CASHCL_AD</t>
  </si>
  <si>
    <t>CASHTA_AE</t>
  </si>
  <si>
    <t>CASHSALE_AF</t>
  </si>
  <si>
    <t>CCRATIO_AG</t>
  </si>
  <si>
    <t>CATA_AH</t>
  </si>
  <si>
    <t>CLEQ_AI</t>
  </si>
  <si>
    <t>QRAT_AJ</t>
  </si>
  <si>
    <t>QTA_AK</t>
  </si>
  <si>
    <t>INVCA_AL</t>
  </si>
  <si>
    <t>WCTA_AM</t>
  </si>
  <si>
    <t>CASHCL_AN</t>
  </si>
  <si>
    <t>CASHTA_AO</t>
  </si>
  <si>
    <t>CASHSALE_AP</t>
  </si>
  <si>
    <t>CCRATIO_AQ</t>
  </si>
  <si>
    <t>CATA_AR</t>
  </si>
  <si>
    <t>CLEQ_AS</t>
  </si>
  <si>
    <t>QRAT_AT</t>
  </si>
  <si>
    <t>QTA_AU</t>
  </si>
  <si>
    <t>INVCA_AV</t>
  </si>
  <si>
    <t>LIQUIDITYSCORE</t>
  </si>
  <si>
    <t>EBITDAPERCENTILERANKING</t>
  </si>
  <si>
    <t>ROA_BJ</t>
  </si>
  <si>
    <t>ROE_BK</t>
  </si>
  <si>
    <t>GM1_BL</t>
  </si>
  <si>
    <t>NP1_BM</t>
  </si>
  <si>
    <t>SGAM_BN</t>
  </si>
  <si>
    <t>OM1_BO</t>
  </si>
  <si>
    <t>EBITTA_BP</t>
  </si>
  <si>
    <t>ROA_BQ</t>
  </si>
  <si>
    <t>ROE_BR</t>
  </si>
  <si>
    <t>GM1_BS</t>
  </si>
  <si>
    <t>NP1_BT</t>
  </si>
  <si>
    <t>SGAM_BU</t>
  </si>
  <si>
    <t>OM1_BV</t>
  </si>
  <si>
    <t>EBITTA_BW</t>
  </si>
  <si>
    <t>PROFITABILITYSCORE</t>
  </si>
  <si>
    <t>AVGWORKINGCAPITAL</t>
  </si>
  <si>
    <t>NETSALES_AVG_WCAP_CC</t>
  </si>
  <si>
    <t>ITURNS_CD</t>
  </si>
  <si>
    <t>FATURN_CE</t>
  </si>
  <si>
    <t>TATURN_CF</t>
  </si>
  <si>
    <t>EQTURNS_CG</t>
  </si>
  <si>
    <t>INVSALES_CH</t>
  </si>
  <si>
    <t>RTURNS_CI</t>
  </si>
  <si>
    <t>QASALES_CJ</t>
  </si>
  <si>
    <t>CASALES_CK</t>
  </si>
  <si>
    <t>NETSALES_AVG_WCAP_CL</t>
  </si>
  <si>
    <t>ITURNS_CM</t>
  </si>
  <si>
    <t>FATURN_CN</t>
  </si>
  <si>
    <t>TATURN_CO</t>
  </si>
  <si>
    <t>EQTURNS_CP</t>
  </si>
  <si>
    <t>INVSALES_CQ</t>
  </si>
  <si>
    <t>RTURNS_CR</t>
  </si>
  <si>
    <t>QASALES_CS</t>
  </si>
  <si>
    <t>CASALES_CT</t>
  </si>
  <si>
    <t>TURNOVERSCORE</t>
  </si>
  <si>
    <t>DBTEQ_CV</t>
  </si>
  <si>
    <t>DBTTA_CW</t>
  </si>
  <si>
    <t>FNMULTI_CX</t>
  </si>
  <si>
    <t>FAEQLTL_CY</t>
  </si>
  <si>
    <t>RETA_CZ</t>
  </si>
  <si>
    <t>DBTEQ_DA</t>
  </si>
  <si>
    <t>DBTTA_DB</t>
  </si>
  <si>
    <t>FNMULTI_DC</t>
  </si>
  <si>
    <t>FAEQLTL_DD</t>
  </si>
  <si>
    <t>RETA_DE</t>
  </si>
  <si>
    <t>LEVERAGESCORE</t>
  </si>
  <si>
    <t>COMPOSITESCORE</t>
  </si>
  <si>
    <t>UID_DM</t>
  </si>
  <si>
    <t>SEGMENT</t>
  </si>
  <si>
    <t>SEGLOW</t>
  </si>
  <si>
    <t>SEGHI</t>
  </si>
  <si>
    <t>Benefit Summary</t>
  </si>
  <si>
    <t>0.00 M</t>
  </si>
  <si>
    <t>TOTAL WORKING CAPITAL % SALES</t>
  </si>
  <si>
    <t>DSO (AR)</t>
  </si>
  <si>
    <t>DIO (INVENTORY) BASED ON COGS</t>
  </si>
  <si>
    <t>DPO (AP) BASED ON COGS</t>
  </si>
  <si>
    <t>TWC (TOTAL)</t>
  </si>
  <si>
    <t>PERFORMANCE GAP % NET DEBT</t>
  </si>
  <si>
    <t>NET PROFIT IMPACT - LOWER FINANCIAL CHARGES ($)</t>
  </si>
  <si>
    <t>DEBT COST - YEAR 1</t>
  </si>
  <si>
    <t>WACC - YEAR 1</t>
  </si>
  <si>
    <t>ROCE</t>
  </si>
  <si>
    <t>CAPITAL EMPLOYED</t>
  </si>
  <si>
    <t>TOTAL WORKING CAPITAL SCOPE</t>
  </si>
  <si>
    <t>ACTUAL ROCE</t>
  </si>
  <si>
    <t>NEW ROCE WITH TWC IMPROVEMENT</t>
  </si>
  <si>
    <t>NAME</t>
  </si>
  <si>
    <t xml:space="preserve">X </t>
  </si>
  <si>
    <t>NONE</t>
  </si>
  <si>
    <t>Profitability Indicators</t>
  </si>
  <si>
    <t>SG&amp;A Margin</t>
  </si>
  <si>
    <t>Leverage Indicators</t>
  </si>
  <si>
    <t>PPE/(equity + LT Liab)</t>
  </si>
  <si>
    <t>Turnover Indicators</t>
  </si>
  <si>
    <t>Sales to Working Capital Ratio</t>
  </si>
  <si>
    <t>(CA - Inventory)/ Sales</t>
  </si>
  <si>
    <t>Sales to Current Assets</t>
  </si>
  <si>
    <t>Net Sales / CA</t>
  </si>
  <si>
    <t>X0</t>
  </si>
  <si>
    <t>X1</t>
  </si>
  <si>
    <t>Y0</t>
  </si>
  <si>
    <t>Y1</t>
  </si>
  <si>
    <t>Composite Median</t>
  </si>
  <si>
    <t>Composite Top Quartile</t>
  </si>
  <si>
    <t>EBITDA Median</t>
  </si>
  <si>
    <t>EDITDA Top Quartile</t>
  </si>
  <si>
    <t>LiquidityTwoArrowPage</t>
  </si>
  <si>
    <t>ProfitabilityTwoArrowPage</t>
  </si>
  <si>
    <t>LeverageTwoArrowPage</t>
  </si>
  <si>
    <t>TurnoverTwoArrowPage</t>
  </si>
  <si>
    <t>T</t>
  </si>
  <si>
    <t>From CccPage:</t>
  </si>
  <si>
    <t>50%</t>
  </si>
  <si>
    <t>75%</t>
  </si>
  <si>
    <t>25%</t>
  </si>
  <si>
    <t>Target</t>
  </si>
  <si>
    <t>Top Quartile Cutoff</t>
  </si>
  <si>
    <t>Top Decile Cutoff</t>
  </si>
  <si>
    <t>Bottom Quartile Cutoff</t>
  </si>
  <si>
    <t>Bottom</t>
  </si>
  <si>
    <t>CccPage_CCC</t>
  </si>
  <si>
    <t>LiquidityDriversPage_LiquidityScore</t>
  </si>
  <si>
    <t>LiquidityDriversPage_WCTA</t>
  </si>
  <si>
    <t>LiquidityDriversPage_CashRatio</t>
  </si>
  <si>
    <t>LiquidityDriversPage_CurrentRatio</t>
  </si>
  <si>
    <t>ProfitabilityDriversPage_ProfitabilityScore</t>
  </si>
  <si>
    <t>ProfitabilityDriversPage_SGAMargin</t>
  </si>
  <si>
    <t>ProfitabilityDriversPage_ROA</t>
  </si>
  <si>
    <t>LeverageDriversPage_LeverageScore</t>
  </si>
  <si>
    <t>LeverageDriversPage_DebttoEquityRatio</t>
  </si>
  <si>
    <t>LeverageDriversPage_FinancialLeverageMultiplier</t>
  </si>
  <si>
    <t>TurnoverDriversPage_TotalAssetsTurnover</t>
  </si>
  <si>
    <t>TurnoverDriversPage_EquityTurnover</t>
  </si>
  <si>
    <t>TurnoverDriversPage_InventoryTurnover</t>
  </si>
  <si>
    <t>TurnoverDriversPage_SalestoWorkingCapital</t>
  </si>
  <si>
    <t>DsoPage_Dso</t>
  </si>
  <si>
    <t>DioPage_Dio</t>
  </si>
  <si>
    <t>DpoPage_Dpo</t>
  </si>
  <si>
    <t>RANK</t>
  </si>
  <si>
    <t>QUARTILE</t>
  </si>
  <si>
    <t>RAW RANK</t>
  </si>
  <si>
    <t>RAW QUARTILE</t>
  </si>
  <si>
    <t>INVERTED</t>
  </si>
  <si>
    <t>TurnoverDriversPage_ReceivablesTurnover</t>
  </si>
  <si>
    <t>AX71</t>
  </si>
  <si>
    <t>AY71</t>
  </si>
  <si>
    <t>AZ73</t>
  </si>
  <si>
    <t>SIC2DDESCRIPTION</t>
  </si>
  <si>
    <t>SUBINDUSTRY</t>
  </si>
  <si>
    <t>Campbell Soup Co</t>
  </si>
  <si>
    <t>Food And Kindred Products</t>
  </si>
  <si>
    <t>Grain Mill Products</t>
  </si>
  <si>
    <t>Sugar And Confectionery Products</t>
  </si>
  <si>
    <t>Meat Packing Plants</t>
  </si>
  <si>
    <t>Canned Fruits And Specialties</t>
  </si>
  <si>
    <t>Summary</t>
  </si>
  <si>
    <t>ExecutiveSummaryFirstPage_Drivers</t>
  </si>
  <si>
    <t>Mid</t>
  </si>
  <si>
    <t>Worksheet</t>
  </si>
  <si>
    <t>Slide</t>
  </si>
  <si>
    <t>*</t>
  </si>
  <si>
    <t>CName</t>
  </si>
  <si>
    <t>TRUE</t>
  </si>
  <si>
    <t>ShortName</t>
  </si>
  <si>
    <t>IndustryGroup</t>
  </si>
  <si>
    <t>Title</t>
  </si>
  <si>
    <t>Working Capital Diagnostics</t>
  </si>
  <si>
    <t>mmmm dd, yyyy</t>
  </si>
  <si>
    <t>July 30, 2022</t>
  </si>
  <si>
    <t>AnalysisPeriod</t>
  </si>
  <si>
    <t>2020</t>
  </si>
  <si>
    <t>Filename</t>
  </si>
  <si>
    <t>CPB_AM_WC_Diagnostics_30-Jul-2022_02</t>
  </si>
  <si>
    <t>Folder</t>
  </si>
  <si>
    <t>C:\www\PeerAMidPortal\PPTTemplate\RSummers</t>
  </si>
  <si>
    <t>SicDescription</t>
  </si>
  <si>
    <t>CccPage_CCC = 0.50</t>
  </si>
  <si>
    <t>CccPage_CCC &lt; 0.10</t>
  </si>
  <si>
    <t>CccPage_CCC = 0.10</t>
  </si>
  <si>
    <t>CccPage_CCC = 0.25</t>
  </si>
  <si>
    <t>AND((0.25 &lt; CccPage_CCC), (CccPage_CCC &lt; 0.00))</t>
  </si>
  <si>
    <t>AND((0.50 &lt; CccPage_CCC), (CccPage_CCC &lt; 0.25))</t>
  </si>
  <si>
    <t>AND((0.50 &lt; CccPage_CCC), (CccPage_CCC &lt; 0.75))</t>
  </si>
  <si>
    <t>CccPage_CCC = 0.75</t>
  </si>
  <si>
    <t>AND((0.75 &lt; CccPage_CCC), (CccPage_CCC &lt; 0.90))</t>
  </si>
  <si>
    <t>CccPage_CCC &gt;= 0.90</t>
  </si>
  <si>
    <t>DsoPage_DSO</t>
  </si>
  <si>
    <t>DsoPage_DSO = 0.50</t>
  </si>
  <si>
    <t>DsoPage_DSO &lt; 0.10</t>
  </si>
  <si>
    <t>DsoPage_DSO = 0.10</t>
  </si>
  <si>
    <t>DsoPage_DSO = 0.25</t>
  </si>
  <si>
    <t>AND((0.25 &lt; DsoPage_DSO), (DsoPage_DSO &lt; 0.00))</t>
  </si>
  <si>
    <t>AND((0.50 &lt; DsoPage_DSO), (DsoPage_DSO &lt; 0.25))</t>
  </si>
  <si>
    <t>AND((0.50 &lt; DsoPage_DSO), (DsoPage_DSO &lt; 0.75))</t>
  </si>
  <si>
    <t>DsoPage_DSO = 0.75</t>
  </si>
  <si>
    <t>AND((0.75 &lt; DsoPage_DSO), (DsoPage_DSO &lt; 0.90))</t>
  </si>
  <si>
    <t>DsoPage_DSO &gt;= 0.90</t>
  </si>
  <si>
    <t>DioPage_DIO</t>
  </si>
  <si>
    <t>DioPage_DIO = 0.50</t>
  </si>
  <si>
    <t>DioPage_DIO &lt; 0.10</t>
  </si>
  <si>
    <t>DioPage_DIO = 0.10</t>
  </si>
  <si>
    <t>DioPage_DIO = 0.25</t>
  </si>
  <si>
    <t>AND((0.25 &lt; DioPage_DIO), (DioPage_DIO &lt; 0.00))</t>
  </si>
  <si>
    <t>AND((0.50 &lt; DioPage_DIO), (DioPage_DIO &lt; 0.75))</t>
  </si>
  <si>
    <t>DioPage_DIO = 0.75</t>
  </si>
  <si>
    <t>AND((0.75 &lt; DioPage_DIO), (DioPage_DIO &lt; 0.90))</t>
  </si>
  <si>
    <t>DioPage_DIO &gt;= 0.90</t>
  </si>
  <si>
    <t>DpoPage_DPO</t>
  </si>
  <si>
    <t>DpoPage_DPO = 0.50</t>
  </si>
  <si>
    <t>DpoPage_DPO &gt; 0.90</t>
  </si>
  <si>
    <t>DpoPage_DPO = 0.90</t>
  </si>
  <si>
    <t>DpoPage_DPO = 0.75</t>
  </si>
  <si>
    <t>AND((0.75 &lt; DpoPage_DPO), (DpoPage_DPO &lt; 0.90))</t>
  </si>
  <si>
    <t>AND((0.50 &lt; DpoPage_DPO), (DpoPage_DPO &lt; 0.25))</t>
  </si>
  <si>
    <t>DpoPage_DPO = 0.25</t>
  </si>
  <si>
    <t>AND((0.25 &lt; DpoPage_DPO), (DpoPage_DPO &lt; 0.10))</t>
  </si>
  <si>
    <t>DpoPage_DPO &lt;= 0.10</t>
  </si>
  <si>
    <t>BenefitSummaryPage_CCC</t>
  </si>
  <si>
    <t>BenefitSummaryPage_CCC = 0.50</t>
  </si>
  <si>
    <t>BenefitSummaryPage_CCC &lt; 0.10</t>
  </si>
  <si>
    <t>BenefitSummaryPage_CCC = 0.10</t>
  </si>
  <si>
    <t>BenefitSummaryPage_CCC = 0.25</t>
  </si>
  <si>
    <t>AND((0.25 &lt; BenefitSummaryPage_CCC), (BenefitSummaryPage_CCC &lt; 0.00))</t>
  </si>
  <si>
    <t>AND((0.50 &lt; BenefitSummaryPage_CCC), (BenefitSummaryPage_CCC &lt; 0.25))</t>
  </si>
  <si>
    <t>AND((0.50 &lt; BenefitSummaryPage_CCC), (BenefitSummaryPage_CCC &lt; 0.75))</t>
  </si>
  <si>
    <t>BenefitSummaryPage_CCC = 0.75</t>
  </si>
  <si>
    <t>AND((0.75 &lt; BenefitSummaryPage_CCC), (BenefitSummaryPage_CCC &lt; 0.90))</t>
  </si>
  <si>
    <t>BenefitSummaryPage_CCC &gt;= 0.90</t>
  </si>
  <si>
    <t>LiquidityDriversPage_LiquidityScore &gt;= 0.75</t>
  </si>
  <si>
    <t>AND((0.50 &lt; LiquidityDriversPage_LiquidityScore), (LiquidityDriversPage_LiquidityScore &lt; 0.75))</t>
  </si>
  <si>
    <t>AND((0.25 &lt; LiquidityDriversPage_LiquidityScore), (LiquidityDriversPage_LiquidityScore &lt;= 0.50))</t>
  </si>
  <si>
    <t>LiquidityDriversPage_WCTA &gt;= 0.75</t>
  </si>
  <si>
    <t>AND((0.50 &lt; LiquidityDriversPage_WCTA), (LiquidityDriversPage_WCTA &lt; 0.75))</t>
  </si>
  <si>
    <t>AND((0.25 &lt; LiquidityDriversPage_WCTA), (LiquidityDriversPage_WCTA &lt;= 0.50))</t>
  </si>
  <si>
    <t>LiquidityDriversPage_CashRatio &gt;= 0.75</t>
  </si>
  <si>
    <t>AND((0.50 &lt; LiquidityDriversPage_CashRatio), (LiquidityDriversPage_CashRatio &lt; 0.75))</t>
  </si>
  <si>
    <t>AND((0.25 &lt; LiquidityDriversPage_CashRatio), (LiquidityDriversPage_CashRatio &lt;= 0.50))</t>
  </si>
  <si>
    <t>LiquidityDriversPage_CurrentRatio &gt;= 0.75</t>
  </si>
  <si>
    <t>AND((0.50 &lt; LiquidityDriversPage_CurrentRatio), (LiquidityDriversPage_CurrentRatio &lt; 0.75))</t>
  </si>
  <si>
    <t>AND((0.25 &lt; LiquidityDriversPage_CurrentRatio), (LiquidityDriversPage_CurrentRatio &lt;= 0.50))</t>
  </si>
  <si>
    <t>ProfitabilityDriversPage_ProfitabilityScore &gt;= 0.75</t>
  </si>
  <si>
    <t>AND((0.50 &lt; ProfitabilityDriversPage_ProfitabilityScore), (ProfitabilityDriversPage_ProfitabilityScore &lt; 0.75))</t>
  </si>
  <si>
    <t>AND((0.25 &lt; ProfitabilityDriversPage_ProfitabilityScore), (ProfitabilityDriversPage_ProfitabilityScore &lt;= 0.50))</t>
  </si>
  <si>
    <t>ProfitabilityDriversPage_SGAMargin &gt;= 0.75</t>
  </si>
  <si>
    <t>AND((0.50 &lt; ProfitabilityDriversPage_SGAMargin), (ProfitabilityDriversPage_SGAMargin &lt; 0.75))</t>
  </si>
  <si>
    <t>AND((0.25 &lt; ProfitabilityDriversPage_SGAMargin), (ProfitabilityDriversPage_SGAMargin &lt;= 0.50))</t>
  </si>
  <si>
    <t>ProfitabilityDriversPage_ROA &gt;= 0.75</t>
  </si>
  <si>
    <t>AND((0.50 &lt; ProfitabilityDriversPage_ROA), (ProfitabilityDriversPage_ROA &lt; 0.75))</t>
  </si>
  <si>
    <t>AND((0.25 &lt; ProfitabilityDriversPage_ROA), (ProfitabilityDriversPage_ROA &lt;= 0.50))</t>
  </si>
  <si>
    <t>LeverageDriversPage_LeverageScore &gt;= 0.75</t>
  </si>
  <si>
    <t>AND((0.50 &lt; LeverageDriversPage_LeverageScore), (LeverageDriversPage_LeverageScore &lt; 0.75))</t>
  </si>
  <si>
    <t>AND((0.25 &lt; LeverageDriversPage_LeverageScore), (LeverageDriversPage_LeverageScore &lt;= 0.50))</t>
  </si>
  <si>
    <t>LeverageDriversPage_DebttoEquityRatio &lt;= 0.25</t>
  </si>
  <si>
    <t>AND((0.50 &lt; LeverageDriversPage_DebttoEquityRatio), (LeverageDriversPage_DebttoEquityRatio &lt; 0.25))</t>
  </si>
  <si>
    <t>AND((0.75 &lt; LeverageDriversPage_DebttoEquityRatio), (LeverageDriversPage_DebttoEquityRatio &lt;= 0.50))</t>
  </si>
  <si>
    <t>LeverageDriversPage_DebttoEquityRatio &gt;= 0.75</t>
  </si>
  <si>
    <t>LeverageDriversPage_DebttoEquityRatio &lt; 0</t>
  </si>
  <si>
    <t>LeverageDriversPage_FinancialLeverageMultiplier &gt;= 0.75</t>
  </si>
  <si>
    <t>AND((0.50 &lt; LeverageDriversPage_FinancialLeverageMultiplier), (LeverageDriversPage_FinancialLeverageMultiplier &lt; 0.75))</t>
  </si>
  <si>
    <t>AND((0.25 &lt; LeverageDriversPage_FinancialLeverageMultiplier), (LeverageDriversPage_FinancialLeverageMultiplier &lt;= 0.50))</t>
  </si>
  <si>
    <t>TurnoverDriversPage_TotalAssetsTurnover &gt;= 0.75</t>
  </si>
  <si>
    <t>AND((0.50 &lt; TurnoverDriversPage_TotalAssetsTurnover), (TurnoverDriversPage_TotalAssetsTurnover &lt; 0.75))</t>
  </si>
  <si>
    <t>AND((0.25 &lt; TurnoverDriversPage_TotalAssetsTurnover), (TurnoverDriversPage_TotalAssetsTurnover &lt;= 0.50))</t>
  </si>
  <si>
    <t>TurnoverDriversPage_TotalAssetsTurnover &lt;= 0.25</t>
  </si>
  <si>
    <t>TurnoverDriversPage_ReceivableTurnover</t>
  </si>
  <si>
    <t>TurnoverDriversPage_ReceivableTurnover &gt;= 0.75</t>
  </si>
  <si>
    <t>AND((0.50 &lt; TurnoverDriversPage_ReceivableTurnover), (TurnoverDriversPage_ReceivableTurnover &lt; 0.75))</t>
  </si>
  <si>
    <t>AND((0.25 &lt; TurnoverDriversPage_ReceivableTurnover), (TurnoverDriversPage_ReceivableTurnover &lt;= 0.50))</t>
  </si>
  <si>
    <t>TurnoverDriversPage_EquityTurnover &gt;= 0.75</t>
  </si>
  <si>
    <t>AND((0.50 &lt; TurnoverDriversPage_EquityTurnover), (TurnoverDriversPage_EquityTurnover &lt; 0.75))</t>
  </si>
  <si>
    <t>AND((0.25 &lt; TurnoverDriversPage_EquityTurnover), (TurnoverDriversPage_EquityTurnover &lt;= 0.50))</t>
  </si>
  <si>
    <t>TurnoverDriversPage_InventoryTurnover &gt;= 0.75</t>
  </si>
  <si>
    <t>AND((0.50 &lt; TurnoverDriversPage_InventoryTurnover), (TurnoverDriversPage_InventoryTurnover &lt; 0.75))</t>
  </si>
  <si>
    <t>AND((0.25 &lt; TurnoverDriversPage_InventoryTurnover), (TurnoverDriversPage_InventoryTurnover &lt;= 0.50))</t>
  </si>
  <si>
    <t>TurnoverDriversPage_SalestoWorkingCapital &gt;= 0.75</t>
  </si>
  <si>
    <t>AND((0.50 &lt; TurnoverDriversPage_SalestoWorkingCapital), (TurnoverDriversPage_SalestoWorkingCapital &lt; 0.75))</t>
  </si>
  <si>
    <t>AND((0.25 &lt; TurnoverDriversPage_SalestoWorkingCapital), (TurnoverDriversPage_SalestoWorkingCapital &lt;= 0.50))</t>
  </si>
  <si>
    <t>Q3 - Q1</t>
  </si>
  <si>
    <t>IQR</t>
  </si>
  <si>
    <t>Q1-IQR</t>
  </si>
  <si>
    <t>Q3+IQR</t>
  </si>
  <si>
    <t>LL</t>
  </si>
  <si>
    <t>UL</t>
  </si>
  <si>
    <t>COMPANY 0</t>
  </si>
  <si>
    <t>OUTLIER?</t>
  </si>
  <si>
    <t>COMPANY 1</t>
  </si>
  <si>
    <t>COMPANY 2</t>
  </si>
  <si>
    <t>COMPANY 4</t>
  </si>
  <si>
    <t>COMPANY 5</t>
  </si>
  <si>
    <t>COMPANY 6</t>
  </si>
  <si>
    <t>COMPANY7</t>
  </si>
  <si>
    <t>COMPANY 8</t>
  </si>
  <si>
    <t>COMPANY 9</t>
  </si>
  <si>
    <t>COMPANY 10</t>
  </si>
  <si>
    <t>COMPANY 11</t>
  </si>
  <si>
    <t>COMPANY 12</t>
  </si>
  <si>
    <t>COMPANY 13</t>
  </si>
  <si>
    <t>COMPANY 3</t>
  </si>
  <si>
    <t>COMPANY 14</t>
  </si>
  <si>
    <t>COMPANY 15</t>
  </si>
  <si>
    <t>COMPANY 16</t>
  </si>
  <si>
    <t>VALUE</t>
  </si>
  <si>
    <t>COMPANY</t>
  </si>
  <si>
    <t>CO #</t>
  </si>
  <si>
    <t>REV1 OUT?</t>
  </si>
  <si>
    <t>CAGR OUT?</t>
  </si>
  <si>
    <t>EM1 OUT?</t>
  </si>
  <si>
    <t>EE OUT?</t>
  </si>
  <si>
    <t>GM1 OUT?</t>
  </si>
  <si>
    <t>CCC OUT?</t>
  </si>
  <si>
    <t>ANY OUT?</t>
  </si>
  <si>
    <t>Row</t>
  </si>
  <si>
    <t>CAMPBELL SOUP CO</t>
  </si>
  <si>
    <t>CONAGRA BRANDS INC</t>
  </si>
  <si>
    <t>20 Food And Kindred Products : Manufacturing</t>
  </si>
  <si>
    <t>GENERAL MILLS INC</t>
  </si>
  <si>
    <t>HAIN CELESTIAL GROUP INC</t>
  </si>
  <si>
    <t>HAIN CELESTIAL GROUP</t>
  </si>
  <si>
    <t>HERSHEY CO</t>
  </si>
  <si>
    <t>HORMEL FOODS CORP</t>
  </si>
  <si>
    <t>J M SMUCKER CO</t>
  </si>
  <si>
    <t>BRF SA</t>
  </si>
  <si>
    <t>CAMPBELL SOUP</t>
  </si>
  <si>
    <t>DANONE</t>
  </si>
  <si>
    <t>HERSHEY</t>
  </si>
  <si>
    <t>HORMEL FOODS</t>
  </si>
  <si>
    <t>KELLOGG CO</t>
  </si>
  <si>
    <t>KELLOGG</t>
  </si>
  <si>
    <t>KRAFT HEINZ CO</t>
  </si>
  <si>
    <t>KRAFT HEINZ</t>
  </si>
  <si>
    <t>Canned, Frozen, And Preserved Fruits, Vegetables, And Food Specialties</t>
  </si>
  <si>
    <t>LAMB WESTON HOLDINGS INC</t>
  </si>
  <si>
    <t>LAMB WESTON HOLDINGS</t>
  </si>
  <si>
    <t>MCCORMICK &amp; CO INC</t>
  </si>
  <si>
    <t>Miscellaneous Food Preparations And Kindred Products</t>
  </si>
  <si>
    <t>MONDELEZ INTERNATIONAL INC</t>
  </si>
  <si>
    <t>MONDELEZ</t>
  </si>
  <si>
    <t>PILGRIMS PRIDE CORP</t>
  </si>
  <si>
    <t>PILGRIMS PRIDE</t>
  </si>
  <si>
    <t>Poultry Slaughtering And Processing</t>
  </si>
  <si>
    <t>TYSON FOODS INC</t>
  </si>
  <si>
    <t>Companies:</t>
  </si>
  <si>
    <t>Target Row:</t>
  </si>
  <si>
    <t>Country</t>
  </si>
  <si>
    <t>DataYear</t>
  </si>
  <si>
    <t>COUNTRY</t>
  </si>
  <si>
    <t>BRAZIL</t>
  </si>
  <si>
    <t>Brf Sa</t>
  </si>
  <si>
    <t>UNITED STATES</t>
  </si>
  <si>
    <t>Conagra Brands Inc</t>
  </si>
  <si>
    <t>DANONE S.A.</t>
  </si>
  <si>
    <t>Danone S.A.</t>
  </si>
  <si>
    <t>General Mills Inc</t>
  </si>
  <si>
    <t>HAIN CELESTIAL</t>
  </si>
  <si>
    <t>Hain Celestial Group Inc</t>
  </si>
  <si>
    <t>Hain Celestial</t>
  </si>
  <si>
    <t>Hershey Co</t>
  </si>
  <si>
    <t>Hormel Foods Corp</t>
  </si>
  <si>
    <t>J M Smucker Co</t>
  </si>
  <si>
    <t>Kellogg Co</t>
  </si>
  <si>
    <t>Kraft Heinz Co</t>
  </si>
  <si>
    <t>LAMB WESTON</t>
  </si>
  <si>
    <t>Lamb Weston Holdings Inc</t>
  </si>
  <si>
    <t>Lamb Weston</t>
  </si>
  <si>
    <t>Mccormick &amp; Co Inc</t>
  </si>
  <si>
    <t>Mondelez International Inc</t>
  </si>
  <si>
    <t>Pilgrims Pride Corp</t>
  </si>
  <si>
    <t>Tyson Foods Inc</t>
  </si>
  <si>
    <t>SNMC</t>
  </si>
  <si>
    <t>DISPLAYNAME</t>
  </si>
  <si>
    <t>DisplayName</t>
  </si>
  <si>
    <t>((DisplayName)) is a Best in Class Performer</t>
  </si>
  <si>
    <t>((DisplayName)) is a Top Decile Performer</t>
  </si>
  <si>
    <t>((DisplayName)) is a Top Quartile Performer</t>
  </si>
  <si>
    <t>((DisplayName)) is performing better than Top Quartile Performer.</t>
  </si>
  <si>
    <t>((DisplayName)) is Performing between Top Quartile and Median</t>
  </si>
  <si>
    <t>((DisplayName)) is Performing between Median and Bottom Quartile</t>
  </si>
  <si>
    <t>((DisplayName)) is a Bottom Quartile Performer</t>
  </si>
  <si>
    <t>((DisplayName)) is Performing between Bottom Quartile and Bottom Decile</t>
  </si>
  <si>
    <t>((DisplayName)) is a Bottom Decile Performer</t>
  </si>
  <si>
    <t>((DisplayName)) is a Median Performer.</t>
  </si>
  <si>
    <t>((DisplayName)) is Performing between Top Quartile and Top Decile</t>
  </si>
  <si>
    <t>((DisplayName))’s Liquidity Score indicates that they have enough cash to meet the immediate and short-term financial obligations.</t>
  </si>
  <si>
    <t>((DisplayName))’s Liquidity Score indicates that they may have enough cash to meet the immediate and short-term financial obligations.</t>
  </si>
  <si>
    <t>((DisplayName))’s Liquidity Score indicates that they may not have enough cash to meet the immediate and short-term financial obligations.</t>
  </si>
  <si>
    <t>((DisplayName)) may have many total current liabilities, which may reduce their ability to cover their short-term financial obligations.</t>
  </si>
  <si>
    <t>((DisplayName)) may have too many total current liabilities, which may reduce their ability to cover their short-term financial obligations.</t>
  </si>
  <si>
    <t>((DisplayName))’s high cash ratio indicates that, they have sufficient cash and cash equivalents on hand to pay off short-term debt.</t>
  </si>
  <si>
    <t>((DisplayName))’s moderate cash ratio indicates that, they may have sufficient cash and cash equivalents on hand to pay off short-term debt.</t>
  </si>
  <si>
    <t>((DisplayName))’s low cash ratio indicates that, there are more current liabilities than cash and cash equivalents. In this situation, there is insufficient cash on hand to pay off short-term debt.</t>
  </si>
  <si>
    <t>((DisplayName))’s high ratio indicates that they have more current assets than current liabilities to cover its debts.</t>
  </si>
  <si>
    <t>((DisplayName))’s moderate ratio indicates that they may have more current liabilities than the current assets and which may not be sufficiant to cover its debts.</t>
  </si>
  <si>
    <t>((DisplayName))’s low to moderate ratio indicates that they may have more current liabilities than the current assets and which may not be sufficient to cover its debts.</t>
  </si>
  <si>
    <t>((DisplayName))’s low ratio indicates that they have more current liabilities than the current assets and which may not be sufficiant to cover its debts.</t>
  </si>
  <si>
    <t>((DisplayName))’s Profitability Score indicates that they are highly profitable organization.</t>
  </si>
  <si>
    <t>((DisplayName))’s Profitability Score indicates that they are moderate to highly profitable organization.</t>
  </si>
  <si>
    <t>((DisplayName))’s Profitability Score indicates that they are low to moderately profitable organization.</t>
  </si>
  <si>
    <t>((DisplayName))’s Profitability Score indicates that they are not a profitable organization.</t>
  </si>
  <si>
    <t>((DisplayName)) is a top quartile performer, and are effectively managing their SG&amp;A expenses.</t>
  </si>
  <si>
    <t>((DisplayName)) are performing better than their median counterparts, and and may have some SG&amp;A costs savings opportunities.</t>
  </si>
  <si>
    <t>((DisplayName)) will need to optimize their SG&amp;A spend which will enable to liberate capital for more strategic leverage within operations or drive savings to the bottom line.</t>
  </si>
  <si>
    <t>((DisplayName))’s high return on assets compared with the industry average indicates efficient use of company's assets.</t>
  </si>
  <si>
    <t>((DisplayName))’s moderate to high return on assets compared with the industry average indicates efficient use of company's assets.</t>
  </si>
  <si>
    <t>((DisplayName))’s low to moderate return on assets compared with the industry average indicates inefficient use of company's assets.</t>
  </si>
  <si>
    <t>((DisplayName))’s low return on assets compared with the industry average indicates inefficient use of company's assets.</t>
  </si>
  <si>
    <t>((DisplayName)) are effectively generating sales for every dollar of working capital used.</t>
  </si>
  <si>
    <t>((DisplayName)) are moderately effective in generating sales for every dollar of working capital used.</t>
  </si>
  <si>
    <t>((DisplayName))’s low ratio means the equity of the company's shareholders is bigger, and it does not require any money to finance its business and operations for growth</t>
  </si>
  <si>
    <t>((DisplayName))’s Low to moderate ratio is preferred as it indicates less debt on a company's balance sheet.</t>
  </si>
  <si>
    <t>((DisplayName))’s high Debt to Equity Ratio indicates that they are associated with high levels of risks, associated with aggressive leveraging practices. Company may be in financial distress and unable to pay their debtors.</t>
  </si>
  <si>
    <t>((DisplayName))’s lower financial leverage ratio is usually a mark of a financially responsible business with a steady revenue stream.</t>
  </si>
  <si>
    <t>((DisplayName))’s moderate financial leverage ratio is usually a mark of a financially responsible business with a steady revenue stream.</t>
  </si>
  <si>
    <t>((DisplayName))’s financial leverage ratio is excessive, it means they're allocating most of its cash flow to paying off debts and is more prone to defaulting on loans.</t>
  </si>
  <si>
    <t>((DisplayName)) is more efficient in generating revenue from its assets</t>
  </si>
  <si>
    <t>((DisplayName)) is moderately efficient in generating revenue from its assets</t>
  </si>
  <si>
    <t>((DisplayName)) is less efficient in generating revenue from its assets</t>
  </si>
  <si>
    <t>((DisplayName)) is inefficient in generating revenue from its assets</t>
  </si>
  <si>
    <t>((DisplayName))’s high turnover ratio indicates their customers are paying them on time and they have a positive cashflow.</t>
  </si>
  <si>
    <t>((DisplayName))’s moderate turnover ratio indicates some of their customers are paying them on time and they have a intermittent positive cashflow.</t>
  </si>
  <si>
    <t>((DisplayName))’s low turnover ratio indicates they need to explore improving their accounts receivable turnover ratio by setting limits on the amount of credit sales. Set a dollar amount or a percentage based on current cash sales. Review their credit terms.</t>
  </si>
  <si>
    <t>((DisplayName))’s high equity turnover indicates that they are unable to use their equity efficiently</t>
  </si>
  <si>
    <t>((DisplayName))’s moderate to high equity turnover indicates that they are able to use their equity efficiently to generate the revenue.</t>
  </si>
  <si>
    <t>((DisplayName))’s low equity turnover indicates that they are unable to use their equity efficiently to generate the revenue.</t>
  </si>
  <si>
    <t>((DisplayName))’s high turnover implies strong sales and, with the low inventory. High inventory turnover also will allow them to have more power to negotiate with their suppliers.</t>
  </si>
  <si>
    <t>((DisplayName))’s moderate to high turnover implies strong sales and, with the low inventory. High inventory turnover also will allow them to have more power to negotiate with their suppliers.</t>
  </si>
  <si>
    <t>((DisplayName))’s low turnover implies weak sales and, with the excess inventory. Company needs to focus on lowering the cost of goods sold, and reducing their supplier's lead time.</t>
  </si>
  <si>
    <t>((DisplayName))’s high ratio indicates that, they can support the sales without adding any debt. It also indicates they are efficient and they are well utilizing their current assets and liabilities to support growth in sales</t>
  </si>
  <si>
    <t>((DisplayName))’s moderate to high ratio indicates that, they can support the sales without adding any debt.</t>
  </si>
  <si>
    <t>((DisplayName))’s low ratio indicates that, they are not utilizing current assets and liabilities to support their growth in sales</t>
  </si>
  <si>
    <t>((DisplayName))'s debt-to-equity ratio is negative, which means that the company has more liabilities than assets— and it would be considered extremely risky.</t>
  </si>
  <si>
    <t>((DisplayName)) needs to focus on their working capital turnover in order to generate better sales for every dollar of working capital used.</t>
  </si>
  <si>
    <t>IsTarget</t>
  </si>
  <si>
    <t>Working</t>
  </si>
  <si>
    <t>ShortNameMixedCase</t>
  </si>
  <si>
    <t>'Campbell Soup</t>
  </si>
  <si>
    <t>LiquidityDriversPage_CashRatio &lt;= 0.25</t>
  </si>
  <si>
    <t>LiquidityDriversPage_CurrentRatio &lt;= 0.25</t>
  </si>
  <si>
    <t>ProfitabilityDriversPage_ProfitabilityScore &lt;= 0.25</t>
  </si>
  <si>
    <t>LiquidityDriversPage_LiquidityScore &lt;= 0.25</t>
  </si>
  <si>
    <t>LiquidityDriversPage_WCTA &lt;= 0.25</t>
  </si>
  <si>
    <t>ProfitabilityDriversPage_SGAMargin &lt;= 0.25</t>
  </si>
  <si>
    <t>ProfitabilityDriversPage_ROA &lt;= 0.25</t>
  </si>
  <si>
    <t>LeverageDriversPage_LeverageScore &lt;= 0.25</t>
  </si>
  <si>
    <t>LeverageDriversPage_FinancialLeverageMultiplier &lt;= 0.25</t>
  </si>
  <si>
    <t>TurnoverDriversPage_ReceivableTurnover &lt;= 0.25</t>
  </si>
  <si>
    <t>TurnoverDriversPage_EquityTurnover &lt;= 0.25</t>
  </si>
  <si>
    <t>TurnoverDriversPage_InventoryTurnover &lt;= 0.25</t>
  </si>
  <si>
    <t>TurnoverDriversPage_SalestoWorkingCapital &lt;= 0.25</t>
  </si>
  <si>
    <t>AND((0.50 &lt; DpoPage_DPO), (DpoPage_DPO &lt;= 0.75))</t>
  </si>
  <si>
    <t>AND((0.50 &lt; DioPage_DIO), (DioPage_DIO &lt;= 0.25))</t>
  </si>
  <si>
    <t>was 155</t>
  </si>
  <si>
    <t>was 180</t>
  </si>
  <si>
    <t>was 160</t>
  </si>
  <si>
    <t>was 150%</t>
  </si>
  <si>
    <t>C:\PeerAMid\PeerAMid\PeerAMidPortal\PPTTemplate\Placeholder.bmp</t>
  </si>
  <si>
    <t>which column on row 57 to start boxplot with</t>
  </si>
  <si>
    <t>ExchangeRateText</t>
  </si>
  <si>
    <t>Pretty Name:</t>
  </si>
  <si>
    <t>140 top is too low</t>
  </si>
  <si>
    <t>520 height is too short</t>
  </si>
  <si>
    <t>BoxPlot:</t>
  </si>
  <si>
    <t>Width:</t>
  </si>
  <si>
    <t>((DisplayName))’s higher ratio indicates that they are able to cover their short-term financial obligations</t>
  </si>
  <si>
    <t>((DisplayName))’s moderate ratio indicates that they may be able to cover their short-term financial obligations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</si>
</sst>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quot;$&quot;#,##0_);[Red]\(&quot;$&quot;#,##0\)"/>
    <numFmt numFmtId="43" formatCode="_(* #,##0.00_);_(* \(#,##0.00\);_(* &quot;-&quot;??_);_(@_)"/>
    <numFmt numFmtId="164" formatCode="0.0%"/>
    <numFmt numFmtId="165" formatCode="0.000"/>
    <numFmt numFmtId="166" formatCode="0.000000"/>
  </numFmts>
  <fonts count="26">
    <font>
      <sz val="11"/>
      <color theme="1"/>
      <name val="Calibri"/>
      <family val="2"/>
      <scheme val="minor"/>
    </font>
    <font>
      <sz val="11"/>
      <color rgb="FF3F3F76"/>
      <name val="Calibri"/>
      <family val="2"/>
      <scheme val="minor"/>
    </font>
    <font>
      <sz val="11"/>
      <color theme="1"/>
      <name val="Calibri"/>
      <family val="2"/>
      <scheme val="minor"/>
    </font>
    <font>
      <sz val="11"/>
      <color rgb="FF000000"/>
      <name val="Segoe UI"/>
      <family val="2"/>
    </font>
    <font>
      <sz val="8"/>
      <color theme="1"/>
      <name val="Arial Nova Cond"/>
      <family val="2"/>
    </font>
    <font>
      <b/>
      <sz val="8"/>
      <color theme="1"/>
      <name val="Arial Nova Cond"/>
      <family val="2"/>
    </font>
    <font>
      <sz val="8"/>
      <color rgb="FF646464"/>
      <name val="Arial Nova Cond"/>
      <family val="2"/>
    </font>
    <font>
      <sz val="8"/>
      <color rgb="FF77787A"/>
      <name val="Arial Nova Cond"/>
      <family val="2"/>
    </font>
    <font>
      <sz val="8"/>
      <name val="Arial Nova Cond"/>
      <family val="2"/>
    </font>
    <font>
      <b/>
      <sz val="8"/>
      <name val="Arial Nova Cond"/>
      <family val="2"/>
    </font>
    <font>
      <sz val="8"/>
      <color rgb="FF002B49"/>
      <name val="Arial Nova Cond"/>
      <family val="2"/>
    </font>
    <font>
      <b/>
      <sz val="8"/>
      <color rgb="FFFF0000"/>
      <name val="Arial Nova Cond"/>
      <family val="2"/>
    </font>
    <font>
      <i/>
      <sz val="8"/>
      <name val="Arial Nova Cond"/>
      <family val="2"/>
    </font>
    <font>
      <b/>
      <sz val="8"/>
      <color theme="0"/>
      <name val="Arial Nova Cond"/>
      <family val="2"/>
    </font>
    <font>
      <sz val="8"/>
      <color rgb="FFFFC000"/>
      <name val="Arial Nova Cond"/>
      <family val="2"/>
    </font>
    <font>
      <sz val="8"/>
      <color rgb="FF5E8AB4"/>
      <name val="Arial Nova Cond"/>
      <family val="2"/>
    </font>
    <font>
      <sz val="8"/>
      <color theme="0"/>
      <name val="Arial Nova Cond"/>
      <family val="2"/>
    </font>
    <font>
      <sz val="10.5"/>
      <color rgb="FFFFFFFF"/>
      <name val="Arial"/>
      <family val="2"/>
    </font>
    <font>
      <sz val="11"/>
      <color rgb="FF000000"/>
      <name val="Arial Nova Cond"/>
      <family val="2"/>
    </font>
    <font>
      <sz val="10"/>
      <color theme="1"/>
      <name val="Arial (body)"/>
      <family val="2"/>
    </font>
    <font>
      <sz val="9"/>
      <color theme="1"/>
      <name val="Arial Nova Cond"/>
      <family val="2"/>
    </font>
    <font>
      <sz val="9"/>
      <color rgb="FFFF0000"/>
      <name val="Arial Nova Cond"/>
      <family val="2"/>
    </font>
    <font>
      <sz val="8"/>
      <color rgb="FFFF0000"/>
      <name val="Arial Nova Cond"/>
      <family val="2"/>
    </font>
    <font>
      <sz val="8"/>
      <color theme="0" tint="-0.499984740745262"/>
      <name val="Arial Nova Cond"/>
      <family val="2"/>
    </font>
    <font>
      <b/>
      <sz val="9"/>
      <color indexed="81"/>
      <name val="Tahoma"/>
      <family val="2"/>
    </font>
    <font>
      <sz val="9"/>
      <color indexed="81"/>
      <name val="Tahoma"/>
      <family val="2"/>
    </font>
  </fonts>
  <fills count="24">
    <fill>
      <patternFill patternType="none"/>
    </fill>
    <fill>
      <patternFill patternType="gray125"/>
    </fill>
    <fill>
      <patternFill patternType="solid">
        <fgColor rgb="FFFFCC99"/>
      </patternFill>
    </fill>
    <fill>
      <patternFill patternType="solid">
        <fgColor theme="4" tint="0.79998168889431442"/>
        <bgColor indexed="64"/>
      </patternFill>
    </fill>
    <fill>
      <patternFill patternType="solid">
        <fgColor theme="3"/>
        <bgColor indexed="64"/>
      </patternFill>
    </fill>
    <fill>
      <patternFill patternType="solid">
        <fgColor rgb="FFFCFDFD"/>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002B49"/>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rgb="FFFFC000"/>
        <bgColor indexed="64"/>
      </patternFill>
    </fill>
    <fill>
      <patternFill patternType="solid">
        <fgColor rgb="FF538AB4"/>
        <bgColor indexed="64"/>
      </patternFill>
    </fill>
    <fill>
      <patternFill patternType="solid">
        <fgColor theme="1"/>
        <bgColor indexed="64"/>
      </patternFill>
    </fill>
    <fill>
      <patternFill patternType="solid">
        <fgColor rgb="FF002060"/>
        <bgColor indexed="64"/>
      </patternFill>
    </fill>
    <fill>
      <patternFill patternType="solid">
        <fgColor rgb="FF5E8AB4"/>
        <bgColor indexed="64"/>
      </patternFill>
    </fill>
    <fill>
      <patternFill patternType="solid">
        <fgColor theme="4" tint="-0.499984740745262"/>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rgb="FFFF0000"/>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right/>
      <top style="thin">
        <color indexed="64"/>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indexed="64"/>
      </top>
      <bottom/>
      <diagonal/>
    </border>
    <border>
      <left/>
      <right/>
      <top style="thin">
        <color auto="1"/>
      </top>
      <bottom style="thin">
        <color indexed="64"/>
      </bottom>
      <diagonal/>
    </border>
    <border>
      <left style="thin">
        <color theme="0" tint="-0.14996795556505021"/>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tint="-0.24994659260841701"/>
      </left>
      <right style="thin">
        <color theme="0" tint="-0.24994659260841701"/>
      </right>
      <top style="thin">
        <color indexed="64"/>
      </top>
      <bottom style="thin">
        <color indexed="64"/>
      </bottom>
      <diagonal/>
    </border>
    <border>
      <left/>
      <right/>
      <top/>
      <bottom style="thin">
        <color indexed="64"/>
      </bottom>
      <diagonal/>
    </border>
    <border>
      <left/>
      <right style="thin">
        <color indexed="64"/>
      </right>
      <top/>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s>
  <cellStyleXfs count="7">
    <xf numFmtId="0" fontId="0" fillId="0" borderId="0"/>
    <xf numFmtId="0" fontId="1" fillId="2" borderId="1" applyNumberFormat="0" applyAlignment="0" applyProtection="0"/>
    <xf numFmtId="43" fontId="2" fillId="0" borderId="0" applyFont="0" applyFill="0" applyBorder="0" applyAlignment="0" applyProtection="0"/>
    <xf numFmtId="0" fontId="19" fillId="0" borderId="0"/>
    <xf numFmtId="9" fontId="19" fillId="0" borderId="0" applyFont="0" applyFill="0" applyBorder="0" applyAlignment="0" applyProtection="0"/>
    <xf numFmtId="0" fontId="2" fillId="0" borderId="0"/>
    <xf numFmtId="9" fontId="2" fillId="0" borderId="0" applyFont="0" applyFill="0" applyBorder="0" applyAlignment="0" applyProtection="0"/>
  </cellStyleXfs>
  <cellXfs count="163">
    <xf numFmtId="0" fontId="0" fillId="0" borderId="0" xfId="0"/>
    <xf numFmtId="0" fontId="1" fillId="2" borderId="1" xfId="1"/>
    <xf numFmtId="0" fontId="1" fillId="2" borderId="1" xfId="1" quotePrefix="1"/>
    <xf numFmtId="0" fontId="4" fillId="0" borderId="0" xfId="0" applyFont="1"/>
    <xf numFmtId="0" fontId="5" fillId="0" borderId="0" xfId="0" applyFont="1" applyAlignment="1">
      <alignment horizontal="center" vertical="center"/>
    </xf>
    <xf numFmtId="0" fontId="4" fillId="0" borderId="4" xfId="0" applyFont="1" applyBorder="1"/>
    <xf numFmtId="0" fontId="4" fillId="0" borderId="0" xfId="0" quotePrefix="1" applyFont="1"/>
    <xf numFmtId="0" fontId="4" fillId="0" borderId="5" xfId="0" applyFont="1" applyBorder="1"/>
    <xf numFmtId="0" fontId="4" fillId="0" borderId="4" xfId="0" quotePrefix="1" applyFont="1" applyBorder="1"/>
    <xf numFmtId="0" fontId="5" fillId="0" borderId="4" xfId="0" quotePrefix="1" applyFont="1" applyBorder="1" applyAlignment="1">
      <alignment horizontal="center" vertical="center"/>
    </xf>
    <xf numFmtId="9" fontId="5" fillId="0" borderId="4" xfId="0" quotePrefix="1" applyNumberFormat="1" applyFont="1" applyBorder="1" applyAlignment="1">
      <alignment horizontal="center" vertical="center"/>
    </xf>
    <xf numFmtId="0" fontId="4" fillId="9" borderId="2" xfId="0" applyFont="1" applyFill="1" applyBorder="1" applyAlignment="1">
      <alignment horizontal="center" vertical="center"/>
    </xf>
    <xf numFmtId="0" fontId="4" fillId="0" borderId="0" xfId="0" applyFont="1" applyAlignment="1">
      <alignment horizontal="center" vertical="center"/>
    </xf>
    <xf numFmtId="0" fontId="4" fillId="10" borderId="0" xfId="0" applyFont="1" applyFill="1"/>
    <xf numFmtId="9" fontId="4" fillId="10" borderId="0" xfId="0" applyNumberFormat="1" applyFont="1" applyFill="1"/>
    <xf numFmtId="9" fontId="4" fillId="10" borderId="0" xfId="0" quotePrefix="1" applyNumberFormat="1" applyFont="1" applyFill="1"/>
    <xf numFmtId="0" fontId="4" fillId="9" borderId="2" xfId="0" applyFont="1" applyFill="1" applyBorder="1"/>
    <xf numFmtId="0" fontId="4" fillId="11" borderId="2" xfId="0" applyFont="1" applyFill="1" applyBorder="1"/>
    <xf numFmtId="0" fontId="4" fillId="12" borderId="0" xfId="0" applyFont="1" applyFill="1"/>
    <xf numFmtId="0" fontId="4" fillId="9" borderId="10" xfId="0" applyFont="1" applyFill="1" applyBorder="1"/>
    <xf numFmtId="0" fontId="4" fillId="12" borderId="2" xfId="0" applyFont="1" applyFill="1" applyBorder="1"/>
    <xf numFmtId="0" fontId="4" fillId="12" borderId="2" xfId="0" applyFont="1" applyFill="1" applyBorder="1" applyAlignment="1">
      <alignment horizontal="center" vertical="center"/>
    </xf>
    <xf numFmtId="0" fontId="4" fillId="12" borderId="10" xfId="0" applyFont="1" applyFill="1" applyBorder="1"/>
    <xf numFmtId="9" fontId="5" fillId="0" borderId="0" xfId="0" applyNumberFormat="1" applyFont="1" applyAlignment="1">
      <alignment horizontal="center" vertical="center"/>
    </xf>
    <xf numFmtId="0" fontId="4" fillId="12" borderId="0" xfId="0" applyFont="1" applyFill="1" applyAlignment="1">
      <alignment horizontal="center" vertical="center"/>
    </xf>
    <xf numFmtId="0" fontId="4" fillId="3" borderId="5" xfId="0" applyFont="1" applyFill="1" applyBorder="1"/>
    <xf numFmtId="0" fontId="6" fillId="0" borderId="5" xfId="0" applyFont="1" applyBorder="1"/>
    <xf numFmtId="0" fontId="7" fillId="5" borderId="0" xfId="0" applyFont="1" applyFill="1" applyAlignment="1">
      <alignment horizontal="left" vertical="center" wrapText="1" indent="1"/>
    </xf>
    <xf numFmtId="0" fontId="4" fillId="0" borderId="9" xfId="0" applyFont="1" applyBorder="1"/>
    <xf numFmtId="0" fontId="4" fillId="0" borderId="5" xfId="0" applyFont="1" applyBorder="1" applyAlignment="1">
      <alignment horizontal="center" vertical="center"/>
    </xf>
    <xf numFmtId="0" fontId="5" fillId="0" borderId="5" xfId="0" applyFont="1" applyBorder="1"/>
    <xf numFmtId="0" fontId="5" fillId="0" borderId="5" xfId="0" applyFont="1" applyBorder="1" applyAlignment="1">
      <alignment horizontal="center" vertical="center"/>
    </xf>
    <xf numFmtId="9" fontId="5" fillId="0" borderId="5" xfId="0" applyNumberFormat="1" applyFont="1" applyBorder="1" applyAlignment="1">
      <alignment horizontal="center" vertical="center"/>
    </xf>
    <xf numFmtId="0" fontId="8" fillId="0" borderId="5" xfId="0" applyFont="1" applyBorder="1"/>
    <xf numFmtId="0" fontId="5" fillId="3" borderId="5" xfId="0" applyFont="1" applyFill="1" applyBorder="1"/>
    <xf numFmtId="0" fontId="4" fillId="3" borderId="5" xfId="0" applyFont="1" applyFill="1" applyBorder="1" applyAlignment="1">
      <alignment horizontal="center" vertical="center"/>
    </xf>
    <xf numFmtId="0" fontId="8" fillId="3" borderId="5" xfId="0" applyFont="1" applyFill="1" applyBorder="1"/>
    <xf numFmtId="0" fontId="8" fillId="3" borderId="5" xfId="0" applyFont="1" applyFill="1" applyBorder="1" applyAlignment="1">
      <alignment horizontal="right"/>
    </xf>
    <xf numFmtId="0" fontId="6" fillId="3" borderId="5" xfId="0" applyFont="1" applyFill="1" applyBorder="1"/>
    <xf numFmtId="0" fontId="4" fillId="3" borderId="0" xfId="0" applyFont="1" applyFill="1"/>
    <xf numFmtId="1" fontId="4" fillId="0" borderId="0" xfId="0" applyNumberFormat="1" applyFont="1" applyAlignment="1">
      <alignment horizontal="center" vertical="center"/>
    </xf>
    <xf numFmtId="1" fontId="4" fillId="0" borderId="0" xfId="0" applyNumberFormat="1" applyFont="1"/>
    <xf numFmtId="1" fontId="5" fillId="0" borderId="0" xfId="0" applyNumberFormat="1" applyFont="1" applyAlignment="1">
      <alignment horizontal="center" vertical="center"/>
    </xf>
    <xf numFmtId="9" fontId="5" fillId="0" borderId="0" xfId="0" quotePrefix="1" applyNumberFormat="1" applyFont="1" applyAlignment="1">
      <alignment horizontal="center" vertical="center"/>
    </xf>
    <xf numFmtId="0" fontId="8" fillId="0" borderId="0" xfId="0" applyFont="1" applyAlignment="1">
      <alignment horizontal="left" vertical="center"/>
    </xf>
    <xf numFmtId="0" fontId="4" fillId="0" borderId="0" xfId="0" applyFont="1" applyAlignment="1">
      <alignment horizontal="left" vertical="center"/>
    </xf>
    <xf numFmtId="2" fontId="8" fillId="0" borderId="0" xfId="0" applyNumberFormat="1" applyFont="1" applyAlignment="1">
      <alignment horizontal="left" vertical="center"/>
    </xf>
    <xf numFmtId="1" fontId="8" fillId="0" borderId="0" xfId="0" applyNumberFormat="1" applyFont="1"/>
    <xf numFmtId="0" fontId="8" fillId="0" borderId="0" xfId="0" applyFont="1" applyAlignment="1">
      <alignment horizontal="center" vertical="center"/>
    </xf>
    <xf numFmtId="0" fontId="8" fillId="13" borderId="0" xfId="0" applyFont="1" applyFill="1" applyAlignment="1">
      <alignment horizontal="center" vertical="center"/>
    </xf>
    <xf numFmtId="165" fontId="9" fillId="0" borderId="0" xfId="0" applyNumberFormat="1" applyFont="1" applyAlignment="1">
      <alignment horizontal="center" vertical="center"/>
    </xf>
    <xf numFmtId="10" fontId="9" fillId="0" borderId="0" xfId="0" applyNumberFormat="1" applyFont="1" applyAlignment="1">
      <alignment horizontal="center" vertical="center"/>
    </xf>
    <xf numFmtId="165" fontId="8" fillId="0" borderId="0" xfId="0" applyNumberFormat="1" applyFont="1" applyAlignment="1">
      <alignment horizontal="right" vertical="center"/>
    </xf>
    <xf numFmtId="10" fontId="8" fillId="0" borderId="0" xfId="0" applyNumberFormat="1" applyFont="1" applyAlignment="1">
      <alignment horizontal="right" vertical="center"/>
    </xf>
    <xf numFmtId="165" fontId="10" fillId="8" borderId="0" xfId="0" applyNumberFormat="1" applyFont="1" applyFill="1" applyAlignment="1">
      <alignment horizontal="right" vertical="center"/>
    </xf>
    <xf numFmtId="0" fontId="4" fillId="0" borderId="0" xfId="0" applyFont="1" applyAlignment="1">
      <alignment horizontal="left"/>
    </xf>
    <xf numFmtId="0" fontId="8" fillId="0" borderId="0" xfId="0" applyFont="1"/>
    <xf numFmtId="0" fontId="4" fillId="0" borderId="12" xfId="0" applyFont="1" applyBorder="1"/>
    <xf numFmtId="0" fontId="4" fillId="0" borderId="13" xfId="0" applyFont="1" applyBorder="1"/>
    <xf numFmtId="0" fontId="4" fillId="0" borderId="15" xfId="0" applyFont="1" applyBorder="1"/>
    <xf numFmtId="0" fontId="4" fillId="0" borderId="16" xfId="0" applyFont="1" applyBorder="1"/>
    <xf numFmtId="0" fontId="4" fillId="0" borderId="14" xfId="0" applyFont="1" applyBorder="1"/>
    <xf numFmtId="0" fontId="4" fillId="0" borderId="17" xfId="0" applyFont="1" applyBorder="1"/>
    <xf numFmtId="0" fontId="4" fillId="0" borderId="18" xfId="0" applyFont="1" applyBorder="1"/>
    <xf numFmtId="0" fontId="4" fillId="0" borderId="19" xfId="0" applyFont="1" applyBorder="1"/>
    <xf numFmtId="0" fontId="5" fillId="0" borderId="0" xfId="0" quotePrefix="1" applyFont="1" applyAlignment="1">
      <alignment horizontal="center" vertical="center"/>
    </xf>
    <xf numFmtId="0" fontId="11" fillId="0" borderId="0" xfId="0" applyFont="1" applyAlignment="1">
      <alignment vertical="center"/>
    </xf>
    <xf numFmtId="0" fontId="8" fillId="0" borderId="0" xfId="0" applyFont="1" applyAlignment="1">
      <alignment vertical="center"/>
    </xf>
    <xf numFmtId="0" fontId="12" fillId="3" borderId="0" xfId="0" applyFont="1" applyFill="1" applyAlignment="1">
      <alignment horizontal="center" vertical="center"/>
    </xf>
    <xf numFmtId="0" fontId="13" fillId="4" borderId="0" xfId="0" applyFont="1" applyFill="1" applyAlignment="1">
      <alignment horizontal="center" vertical="center"/>
    </xf>
    <xf numFmtId="0" fontId="13" fillId="4" borderId="0" xfId="0" applyFont="1" applyFill="1" applyAlignment="1">
      <alignment vertical="center"/>
    </xf>
    <xf numFmtId="0" fontId="8" fillId="7" borderId="3" xfId="0" applyFont="1" applyFill="1" applyBorder="1" applyAlignment="1">
      <alignment horizontal="center" vertical="center"/>
    </xf>
    <xf numFmtId="0" fontId="8" fillId="7" borderId="3" xfId="0" applyFont="1" applyFill="1" applyBorder="1" applyAlignment="1">
      <alignment vertical="center"/>
    </xf>
    <xf numFmtId="0" fontId="12" fillId="7" borderId="3" xfId="0" applyFont="1" applyFill="1" applyBorder="1" applyAlignment="1">
      <alignment horizontal="left" vertical="center"/>
    </xf>
    <xf numFmtId="0" fontId="8" fillId="0" borderId="3" xfId="0" applyFont="1" applyBorder="1" applyAlignment="1">
      <alignment horizontal="center" vertical="center"/>
    </xf>
    <xf numFmtId="0" fontId="8" fillId="0" borderId="3" xfId="0" applyFont="1" applyBorder="1" applyAlignment="1">
      <alignment vertical="center"/>
    </xf>
    <xf numFmtId="0" fontId="12" fillId="0" borderId="3" xfId="0" applyFont="1" applyBorder="1" applyAlignment="1">
      <alignment horizontal="left" vertical="center"/>
    </xf>
    <xf numFmtId="0" fontId="8" fillId="7" borderId="3" xfId="0" applyFont="1" applyFill="1" applyBorder="1" applyAlignment="1">
      <alignment horizontal="left" vertical="center"/>
    </xf>
    <xf numFmtId="0" fontId="12" fillId="7" borderId="3" xfId="0" applyFont="1" applyFill="1" applyBorder="1" applyAlignment="1">
      <alignment vertical="center"/>
    </xf>
    <xf numFmtId="0" fontId="8" fillId="0" borderId="3" xfId="0" applyFont="1" applyBorder="1" applyAlignment="1">
      <alignment horizontal="left" vertical="center"/>
    </xf>
    <xf numFmtId="0" fontId="12" fillId="0" borderId="3" xfId="0" applyFont="1" applyBorder="1" applyAlignment="1">
      <alignment vertical="center"/>
    </xf>
    <xf numFmtId="0" fontId="4" fillId="0" borderId="11" xfId="0" applyFont="1" applyBorder="1"/>
    <xf numFmtId="0" fontId="8" fillId="7" borderId="6" xfId="0" applyFont="1" applyFill="1" applyBorder="1" applyAlignment="1">
      <alignment horizontal="left" vertical="center"/>
    </xf>
    <xf numFmtId="0" fontId="8" fillId="7" borderId="6" xfId="0" applyFont="1" applyFill="1" applyBorder="1" applyAlignment="1">
      <alignment vertical="center"/>
    </xf>
    <xf numFmtId="0" fontId="12" fillId="7" borderId="6" xfId="0" applyFont="1" applyFill="1" applyBorder="1" applyAlignment="1">
      <alignment vertical="center"/>
    </xf>
    <xf numFmtId="0" fontId="8" fillId="7" borderId="4" xfId="0" applyFont="1" applyFill="1" applyBorder="1" applyAlignment="1">
      <alignment horizontal="left" vertical="center"/>
    </xf>
    <xf numFmtId="0" fontId="8" fillId="7" borderId="4" xfId="0" applyFont="1" applyFill="1" applyBorder="1" applyAlignment="1">
      <alignment vertical="center"/>
    </xf>
    <xf numFmtId="0" fontId="12" fillId="7" borderId="4" xfId="0" applyFont="1" applyFill="1" applyBorder="1" applyAlignment="1">
      <alignment vertical="center"/>
    </xf>
    <xf numFmtId="0" fontId="14" fillId="14" borderId="0" xfId="0" applyFont="1" applyFill="1"/>
    <xf numFmtId="0" fontId="15" fillId="15" borderId="0" xfId="0" applyFont="1" applyFill="1"/>
    <xf numFmtId="2" fontId="4" fillId="0" borderId="0" xfId="0" applyNumberFormat="1" applyFont="1"/>
    <xf numFmtId="0" fontId="7" fillId="5" borderId="5" xfId="0" applyFont="1" applyFill="1" applyBorder="1" applyAlignment="1">
      <alignment horizontal="left" vertical="center" wrapText="1" indent="1"/>
    </xf>
    <xf numFmtId="0" fontId="8" fillId="7" borderId="20" xfId="0" applyFont="1" applyFill="1" applyBorder="1" applyAlignment="1">
      <alignment horizontal="center" vertical="center"/>
    </xf>
    <xf numFmtId="0" fontId="8" fillId="7" borderId="20" xfId="0" applyFont="1" applyFill="1" applyBorder="1" applyAlignment="1">
      <alignment horizontal="left" vertical="center"/>
    </xf>
    <xf numFmtId="0" fontId="8" fillId="7" borderId="20" xfId="0" applyFont="1" applyFill="1" applyBorder="1" applyAlignment="1">
      <alignment vertical="center"/>
    </xf>
    <xf numFmtId="0" fontId="12" fillId="7" borderId="20" xfId="0" applyFont="1" applyFill="1" applyBorder="1" applyAlignment="1">
      <alignment horizontal="left" vertical="center"/>
    </xf>
    <xf numFmtId="0" fontId="8" fillId="6" borderId="20" xfId="0" applyFont="1" applyFill="1" applyBorder="1" applyAlignment="1">
      <alignment vertical="center"/>
    </xf>
    <xf numFmtId="0" fontId="8" fillId="6" borderId="20" xfId="0" applyFont="1" applyFill="1" applyBorder="1" applyAlignment="1">
      <alignment horizontal="center" vertical="center"/>
    </xf>
    <xf numFmtId="164" fontId="4" fillId="0" borderId="0" xfId="0" applyNumberFormat="1" applyFont="1"/>
    <xf numFmtId="0" fontId="4" fillId="0" borderId="0" xfId="0" applyFont="1" applyAlignment="1">
      <alignment horizontal="center"/>
    </xf>
    <xf numFmtId="10" fontId="4" fillId="0" borderId="0" xfId="0" applyNumberFormat="1" applyFont="1"/>
    <xf numFmtId="164" fontId="4" fillId="0" borderId="0" xfId="0" applyNumberFormat="1" applyFont="1" applyAlignment="1">
      <alignment horizontal="right" vertical="center"/>
    </xf>
    <xf numFmtId="0" fontId="4" fillId="0" borderId="7" xfId="0" applyFont="1" applyBorder="1"/>
    <xf numFmtId="0" fontId="4" fillId="0" borderId="0" xfId="0" quotePrefix="1" applyFont="1" applyAlignment="1">
      <alignment horizontal="center" vertical="center"/>
    </xf>
    <xf numFmtId="0" fontId="4" fillId="0" borderId="7" xfId="0" applyFont="1" applyBorder="1" applyAlignment="1">
      <alignment horizontal="center"/>
    </xf>
    <xf numFmtId="0" fontId="16" fillId="16" borderId="7" xfId="0" quotePrefix="1" applyFont="1" applyFill="1" applyBorder="1" applyAlignment="1">
      <alignment horizontal="center" vertical="center"/>
    </xf>
    <xf numFmtId="0" fontId="5" fillId="0" borderId="0" xfId="0" applyFont="1" applyAlignment="1">
      <alignment vertical="center"/>
    </xf>
    <xf numFmtId="0" fontId="4" fillId="17" borderId="0" xfId="0" applyFont="1" applyFill="1"/>
    <xf numFmtId="0" fontId="4" fillId="14" borderId="0" xfId="0" applyFont="1" applyFill="1"/>
    <xf numFmtId="0" fontId="4" fillId="18" borderId="0" xfId="0" applyFont="1" applyFill="1"/>
    <xf numFmtId="0" fontId="5" fillId="0" borderId="0" xfId="0" applyFont="1"/>
    <xf numFmtId="0" fontId="9" fillId="0" borderId="5" xfId="0" applyFont="1" applyBorder="1" applyAlignment="1">
      <alignment horizontal="center" vertical="center"/>
    </xf>
    <xf numFmtId="0" fontId="8" fillId="0" borderId="5" xfId="0" applyFont="1" applyBorder="1" applyAlignment="1">
      <alignment horizontal="right"/>
    </xf>
    <xf numFmtId="9" fontId="4" fillId="0" borderId="0" xfId="0" applyNumberFormat="1" applyFont="1" applyAlignment="1">
      <alignment horizontal="center" vertical="center"/>
    </xf>
    <xf numFmtId="10" fontId="4" fillId="0" borderId="0" xfId="0" applyNumberFormat="1" applyFont="1" applyAlignment="1">
      <alignment horizontal="center" vertical="center"/>
    </xf>
    <xf numFmtId="0" fontId="16" fillId="19" borderId="0" xfId="0" applyFont="1" applyFill="1"/>
    <xf numFmtId="0" fontId="5" fillId="0" borderId="21" xfId="0" applyFont="1" applyBorder="1" applyAlignment="1">
      <alignment horizontal="center" vertical="center"/>
    </xf>
    <xf numFmtId="0" fontId="5" fillId="0" borderId="22" xfId="0" applyFont="1" applyBorder="1" applyAlignment="1">
      <alignment horizontal="center" vertical="center"/>
    </xf>
    <xf numFmtId="9" fontId="4" fillId="0" borderId="0" xfId="0" applyNumberFormat="1" applyFont="1"/>
    <xf numFmtId="0" fontId="20" fillId="0" borderId="5" xfId="5" applyFont="1" applyBorder="1" applyAlignment="1">
      <alignment vertical="center"/>
    </xf>
    <xf numFmtId="0" fontId="5" fillId="0" borderId="0" xfId="0" applyFont="1" applyAlignment="1">
      <alignment horizontal="left" vertical="center"/>
    </xf>
    <xf numFmtId="0" fontId="20" fillId="0" borderId="23" xfId="5" applyFont="1" applyBorder="1"/>
    <xf numFmtId="0" fontId="21" fillId="20" borderId="23" xfId="5" applyFont="1" applyFill="1" applyBorder="1"/>
    <xf numFmtId="0" fontId="5" fillId="0" borderId="0" xfId="0" applyFont="1" applyAlignment="1">
      <alignment horizontal="left"/>
    </xf>
    <xf numFmtId="164" fontId="5" fillId="0" borderId="0" xfId="0" applyNumberFormat="1" applyFont="1" applyAlignment="1">
      <alignment horizontal="center" vertical="center"/>
    </xf>
    <xf numFmtId="164" fontId="5" fillId="0" borderId="0" xfId="0" quotePrefix="1" applyNumberFormat="1" applyFont="1" applyAlignment="1">
      <alignment horizontal="center" vertical="center"/>
    </xf>
    <xf numFmtId="166" fontId="4" fillId="0" borderId="0" xfId="0" applyNumberFormat="1" applyFont="1"/>
    <xf numFmtId="0" fontId="22" fillId="0" borderId="0" xfId="0" applyFont="1"/>
    <xf numFmtId="0" fontId="4" fillId="0" borderId="0" xfId="0" applyFont="1" applyAlignment="1">
      <alignment horizontal="left" vertical="center" wrapText="1"/>
    </xf>
    <xf numFmtId="0" fontId="4" fillId="0" borderId="0" xfId="0" applyFont="1" applyAlignment="1">
      <alignment horizontal="center" vertical="center" wrapText="1"/>
    </xf>
    <xf numFmtId="0" fontId="4" fillId="0" borderId="5" xfId="0" quotePrefix="1" applyFont="1" applyBorder="1"/>
    <xf numFmtId="10" fontId="4" fillId="0" borderId="5" xfId="0" quotePrefix="1" applyNumberFormat="1" applyFont="1" applyBorder="1"/>
    <xf numFmtId="3" fontId="4" fillId="0" borderId="0" xfId="0" quotePrefix="1" applyNumberFormat="1" applyFont="1"/>
    <xf numFmtId="6" fontId="4" fillId="0" borderId="0" xfId="0" quotePrefix="1" applyNumberFormat="1" applyFont="1"/>
    <xf numFmtId="10" fontId="4" fillId="0" borderId="0" xfId="0" quotePrefix="1" applyNumberFormat="1" applyFont="1"/>
    <xf numFmtId="0" fontId="23" fillId="0" borderId="0" xfId="0" applyFont="1"/>
    <xf numFmtId="2" fontId="4" fillId="0" borderId="0" xfId="0" applyNumberFormat="1" applyFont="1" applyAlignment="1">
      <alignment horizontal="center" vertical="center"/>
    </xf>
    <xf numFmtId="0" fontId="4" fillId="21" borderId="5" xfId="0" applyFont="1" applyFill="1" applyBorder="1"/>
    <xf numFmtId="0" fontId="4" fillId="21" borderId="0" xfId="0" applyFont="1" applyFill="1"/>
    <xf numFmtId="0" fontId="4" fillId="21" borderId="4" xfId="0" applyFont="1" applyFill="1" applyBorder="1"/>
    <xf numFmtId="0" fontId="4" fillId="21" borderId="7" xfId="0" applyFont="1" applyFill="1" applyBorder="1"/>
    <xf numFmtId="0" fontId="4" fillId="0" borderId="0" xfId="0" applyFont="1" applyAlignment="1">
      <alignment horizontal="right"/>
    </xf>
    <xf numFmtId="0" fontId="0" fillId="0" borderId="0" xfId="0" applyAlignment="1">
      <alignment horizontal="center" vertical="center"/>
    </xf>
    <xf numFmtId="0" fontId="4" fillId="0" borderId="0" xfId="0" quotePrefix="1" applyFont="1" applyAlignment="1">
      <alignment horizontal="left" vertical="center"/>
    </xf>
    <xf numFmtId="0" fontId="4" fillId="0" borderId="5" xfId="0" applyFont="1" applyBorder="1" applyAlignment="1">
      <alignment horizontal="center"/>
    </xf>
    <xf numFmtId="0" fontId="4" fillId="0" borderId="4" xfId="0" applyFont="1" applyBorder="1" applyAlignment="1">
      <alignment horizontal="center"/>
    </xf>
    <xf numFmtId="0" fontId="5" fillId="0" borderId="5" xfId="0" applyFont="1" applyBorder="1" applyAlignment="1">
      <alignment horizontal="right" vertical="center"/>
    </xf>
    <xf numFmtId="0" fontId="4" fillId="3" borderId="8" xfId="0" applyFont="1" applyFill="1" applyBorder="1"/>
    <xf numFmtId="0" fontId="4" fillId="22" borderId="0" xfId="0" applyFont="1" applyFill="1"/>
    <xf numFmtId="0" fontId="4" fillId="22" borderId="8" xfId="0" applyFont="1" applyFill="1" applyBorder="1"/>
    <xf numFmtId="0" fontId="4" fillId="22" borderId="5" xfId="0" applyFont="1" applyFill="1" applyBorder="1"/>
    <xf numFmtId="0" fontId="4" fillId="0" borderId="4" xfId="0" applyFont="1" applyBorder="1" applyAlignment="1">
      <alignment horizontal="left"/>
    </xf>
    <xf numFmtId="0" fontId="4" fillId="0" borderId="4" xfId="0" applyFont="1" applyBorder="1" applyAlignment="1">
      <alignment horizontal="center" vertical="center"/>
    </xf>
    <xf numFmtId="0" fontId="5" fillId="21" borderId="0" xfId="0" applyFont="1" applyFill="1" applyAlignment="1">
      <alignment horizontal="center" vertical="center"/>
    </xf>
    <xf numFmtId="22" fontId="4" fillId="3" borderId="5" xfId="0" applyNumberFormat="1" applyFont="1" applyFill="1" applyBorder="1" applyAlignment="1">
      <alignment horizontal="center" vertical="center"/>
    </xf>
    <xf numFmtId="22" fontId="4" fillId="0" borderId="5" xfId="0" applyNumberFormat="1" applyFont="1" applyBorder="1" applyAlignment="1">
      <alignment horizontal="center" vertical="center"/>
    </xf>
    <xf numFmtId="22" fontId="4" fillId="0" borderId="0" xfId="0" applyNumberFormat="1" applyFont="1"/>
    <xf numFmtId="22" fontId="4" fillId="3" borderId="5" xfId="0" applyNumberFormat="1" applyFont="1" applyFill="1" applyBorder="1"/>
    <xf numFmtId="22" fontId="4" fillId="3" borderId="8" xfId="0" applyNumberFormat="1" applyFont="1" applyFill="1" applyBorder="1"/>
    <xf numFmtId="3" fontId="4" fillId="0" borderId="0" xfId="0" applyNumberFormat="1" applyFont="1" applyAlignment="1">
      <alignment horizontal="right"/>
    </xf>
    <xf numFmtId="0" fontId="4" fillId="23" borderId="0" xfId="0" applyFont="1" applyFill="1"/>
    <xf numFmtId="0" fontId="4" fillId="0" borderId="0" xfId="0" applyFont="1" applyAlignment="1">
      <alignment horizontal="left" vertical="center" wrapText="1"/>
    </xf>
    <xf numFmtId="0" fontId="0" fillId="0" borderId="0" xfId="0" applyAlignment="1">
      <alignment horizontal="left" vertical="center" wrapText="1"/>
    </xf>
  </cellXfs>
  <cellStyles count="7">
    <cellStyle name="Comma 2" xfId="2" xr:uid="{00000000-0005-0000-0000-000001000000}"/>
    <cellStyle name="Input" xfId="1" builtinId="20"/>
    <cellStyle name="Normal" xfId="0" builtinId="0"/>
    <cellStyle name="Normal 2" xfId="3" xr:uid="{0572FCF5-5776-4FD8-ACC3-AC596B939486}"/>
    <cellStyle name="Normal 4" xfId="5" xr:uid="{286B256A-0D8A-457F-A0A6-D59F758676DB}"/>
    <cellStyle name="Percent 2" xfId="4" xr:uid="{25EA1E1E-8893-4C2D-B032-1BA6EEEC98AD}"/>
    <cellStyle name="Percent 4" xfId="6" xr:uid="{2040D81E-8957-462D-BD97-AA70A5854B76}"/>
  </cellStyles>
  <dxfs count="3">
    <dxf>
      <fill>
        <patternFill>
          <bgColor theme="6"/>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2"/>
      <tableStyleElement type="headerRow" dxfId="1"/>
    </tableStyle>
  </tableStyles>
  <colors>
    <mruColors>
      <color rgb="FF646464"/>
      <color rgb="FF5E8AB4"/>
      <color rgb="FF002B49"/>
      <color rgb="FFF9C20A"/>
      <color rgb="FF29702A"/>
      <color rgb="FF538AB4"/>
      <color rgb="FF000001"/>
      <color rgb="FF000000"/>
      <color rgb="FF345370"/>
      <color rgb="FFA9C6A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13.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4.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733711708995529E-2"/>
          <c:y val="1.4615344433290971E-2"/>
          <c:w val="0.92120919193391659"/>
          <c:h val="0.57368347903355654"/>
        </c:manualLayout>
      </c:layout>
      <c:barChart>
        <c:barDir val="col"/>
        <c:grouping val="stacked"/>
        <c:varyColors val="0"/>
        <c:ser>
          <c:idx val="0"/>
          <c:order val="0"/>
          <c:spPr>
            <a:solidFill>
              <a:srgbClr val="FFFFFF"/>
            </a:solidFill>
            <a:ln>
              <a:noFill/>
            </a:ln>
          </c:spPr>
          <c:invertIfNegative val="0"/>
          <c:dLbls>
            <c:dLbl>
              <c:idx val="0"/>
              <c:tx>
                <c:rich>
                  <a:bodyPr/>
                  <a:lstStyle/>
                  <a:p>
                    <a:fld id="{C1D09013-574D-4270-8C22-A784F09B816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48E1-488D-BD62-4CAAB23F77FA}"/>
                </c:ext>
              </c:extLst>
            </c:dLbl>
            <c:dLbl>
              <c:idx val="1"/>
              <c:tx>
                <c:rich>
                  <a:bodyPr/>
                  <a:lstStyle/>
                  <a:p>
                    <a:fld id="{72E262AE-824F-4300-8CA0-5F40A3D233AF}"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48E1-488D-BD62-4CAAB23F77FA}"/>
                </c:ext>
              </c:extLst>
            </c:dLbl>
            <c:dLbl>
              <c:idx val="2"/>
              <c:tx>
                <c:rich>
                  <a:bodyPr/>
                  <a:lstStyle/>
                  <a:p>
                    <a:fld id="{CEEF5C7B-529F-4737-933B-AC7BD6D6041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48E1-488D-BD62-4CAAB23F77FA}"/>
                </c:ext>
              </c:extLst>
            </c:dLbl>
            <c:dLbl>
              <c:idx val="3"/>
              <c:tx>
                <c:rich>
                  <a:bodyPr/>
                  <a:lstStyle/>
                  <a:p>
                    <a:fld id="{8EE6FD88-444D-4B65-9E0C-8FF0AACAF4F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48E1-488D-BD62-4CAAB23F77FA}"/>
                </c:ext>
              </c:extLst>
            </c:dLbl>
            <c:dLbl>
              <c:idx val="4"/>
              <c:tx>
                <c:rich>
                  <a:bodyPr/>
                  <a:lstStyle/>
                  <a:p>
                    <a:fld id="{E5C1056A-D32C-4D19-A470-AC414569D2C1}"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8E1-488D-BD62-4CAAB23F77FA}"/>
                </c:ext>
              </c:extLst>
            </c:dLbl>
            <c:dLbl>
              <c:idx val="5"/>
              <c:tx>
                <c:rich>
                  <a:bodyPr/>
                  <a:lstStyle/>
                  <a:p>
                    <a:fld id="{FEEA2482-41DB-47C9-8322-EA8933BF019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8E1-488D-BD62-4CAAB23F77FA}"/>
                </c:ext>
              </c:extLst>
            </c:dLbl>
            <c:dLbl>
              <c:idx val="6"/>
              <c:tx>
                <c:rich>
                  <a:bodyPr/>
                  <a:lstStyle/>
                  <a:p>
                    <a:fld id="{F868EFC8-16A5-4C26-9268-056D1BEC3EF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48E1-488D-BD62-4CAAB23F77FA}"/>
                </c:ext>
              </c:extLst>
            </c:dLbl>
            <c:dLbl>
              <c:idx val="7"/>
              <c:tx>
                <c:rich>
                  <a:bodyPr/>
                  <a:lstStyle/>
                  <a:p>
                    <a:fld id="{99BF795D-B94A-4415-B939-FD9E02E13A4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48E1-488D-BD62-4CAAB23F77FA}"/>
                </c:ext>
              </c:extLst>
            </c:dLbl>
            <c:dLbl>
              <c:idx val="8"/>
              <c:tx>
                <c:rich>
                  <a:bodyPr/>
                  <a:lstStyle/>
                  <a:p>
                    <a:fld id="{DB0E74F4-171A-446F-9709-C8242EA7B02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48E1-488D-BD62-4CAAB23F77FA}"/>
                </c:ext>
              </c:extLst>
            </c:dLbl>
            <c:dLbl>
              <c:idx val="9"/>
              <c:tx>
                <c:rich>
                  <a:bodyPr/>
                  <a:lstStyle/>
                  <a:p>
                    <a:fld id="{DD1AE6BE-E528-4A62-B008-4EBF94EC0C8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48E1-488D-BD62-4CAAB23F77FA}"/>
                </c:ext>
              </c:extLst>
            </c:dLbl>
            <c:dLbl>
              <c:idx val="10"/>
              <c:tx>
                <c:rich>
                  <a:bodyPr/>
                  <a:lstStyle/>
                  <a:p>
                    <a:fld id="{6F0A6AB2-AE71-4324-B5DC-8194218BCDE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48E1-488D-BD62-4CAAB23F77FA}"/>
                </c:ext>
              </c:extLst>
            </c:dLbl>
            <c:dLbl>
              <c:idx val="11"/>
              <c:tx>
                <c:rich>
                  <a:bodyPr/>
                  <a:lstStyle/>
                  <a:p>
                    <a:fld id="{3314C7A2-A9CA-4FBF-9058-7A56D6F79AA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48E1-488D-BD62-4CAAB23F77FA}"/>
                </c:ext>
              </c:extLst>
            </c:dLbl>
            <c:dLbl>
              <c:idx val="12"/>
              <c:tx>
                <c:rich>
                  <a:bodyPr/>
                  <a:lstStyle/>
                  <a:p>
                    <a:fld id="{C0A17B56-3C69-4BA1-B15A-8F09D4156BD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48E1-488D-BD62-4CAAB23F77FA}"/>
                </c:ext>
              </c:extLst>
            </c:dLbl>
            <c:dLbl>
              <c:idx val="13"/>
              <c:tx>
                <c:rich>
                  <a:bodyPr/>
                  <a:lstStyle/>
                  <a:p>
                    <a:fld id="{D0E8E070-F2C6-48D8-AFFD-2912E57F4C7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48E1-488D-BD62-4CAAB23F77FA}"/>
                </c:ext>
              </c:extLst>
            </c:dLbl>
            <c:spPr>
              <a:noFill/>
              <a:ln>
                <a:noFill/>
              </a:ln>
              <a:effectLst/>
            </c:spPr>
            <c:txPr>
              <a:bodyPr wrap="square" lIns="0" tIns="0" rIns="0" bIns="0" anchor="t" anchorCtr="1">
                <a:spAutoFit/>
              </a:bodyPr>
              <a:lstStyle/>
              <a:p>
                <a:pPr>
                  <a:defRPr b="1">
                    <a:solidFill>
                      <a:schemeClr val="tx1">
                        <a:lumMod val="50000"/>
                        <a:lumOff val="50000"/>
                      </a:schemeClr>
                    </a:solidFill>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cat>
            <c:strRef>
              <c:f>CashConversionByIndustryPage!$A$2:$A$15</c:f>
              <c:strCache>
                <c:ptCount val="14"/>
                <c:pt idx="0">
                  <c:v>Pharmaceuticals, 
Biotechnology, and 
Life Sciences</c:v>
                </c:pt>
                <c:pt idx="1">
                  <c:v>Consumer Durables
and Apparel</c:v>
                </c:pt>
                <c:pt idx="2">
                  <c:v>Semiconductors and
Semiconductor Equipment</c:v>
                </c:pt>
                <c:pt idx="3">
                  <c:v>Capital Goods</c:v>
                </c:pt>
                <c:pt idx="4">
                  <c:v>Materials</c:v>
                </c:pt>
                <c:pt idx="5">
                  <c:v>Technology Hardware
and Equipment</c:v>
                </c:pt>
                <c:pt idx="6">
                  <c:v>Healthcare Equipment
and Services</c:v>
                </c:pt>
                <c:pt idx="7">
                  <c:v>Food, Beverage
and Tobacco</c:v>
                </c:pt>
                <c:pt idx="8">
                  <c:v>Retailing</c:v>
                </c:pt>
                <c:pt idx="9">
                  <c:v>Household and
Personal Products</c:v>
                </c:pt>
                <c:pt idx="10">
                  <c:v>Automobiles and
Components</c:v>
                </c:pt>
                <c:pt idx="11">
                  <c:v>Energy</c:v>
                </c:pt>
                <c:pt idx="12">
                  <c:v>Utilities</c:v>
                </c:pt>
                <c:pt idx="13">
                  <c:v>Food and Staples Retailing</c:v>
                </c:pt>
              </c:strCache>
            </c:strRef>
          </c:cat>
          <c:val>
            <c:numRef>
              <c:f>CashConversionByIndustryPage!$D$2:$D$15</c:f>
              <c:numCache>
                <c:formatCode>General</c:formatCode>
                <c:ptCount val="14"/>
                <c:pt idx="0">
                  <c:v>101</c:v>
                </c:pt>
                <c:pt idx="1">
                  <c:v>63</c:v>
                </c:pt>
                <c:pt idx="2">
                  <c:v>61</c:v>
                </c:pt>
                <c:pt idx="3">
                  <c:v>41</c:v>
                </c:pt>
                <c:pt idx="4">
                  <c:v>45</c:v>
                </c:pt>
                <c:pt idx="5">
                  <c:v>31</c:v>
                </c:pt>
                <c:pt idx="6">
                  <c:v>2</c:v>
                </c:pt>
                <c:pt idx="7">
                  <c:v>16</c:v>
                </c:pt>
                <c:pt idx="8">
                  <c:v>0</c:v>
                </c:pt>
                <c:pt idx="9">
                  <c:v>4</c:v>
                </c:pt>
                <c:pt idx="10">
                  <c:v>0</c:v>
                </c:pt>
                <c:pt idx="11">
                  <c:v>0</c:v>
                </c:pt>
                <c:pt idx="12">
                  <c:v>0</c:v>
                </c:pt>
                <c:pt idx="13">
                  <c:v>0</c:v>
                </c:pt>
              </c:numCache>
            </c:numRef>
          </c:val>
          <c:extLst>
            <c:ext xmlns:c15="http://schemas.microsoft.com/office/drawing/2012/chart" uri="{02D57815-91ED-43cb-92C2-25804820EDAC}">
              <c15:datalabelsRange>
                <c15:f>CashConversionByIndustryPage!$H$2:$H$15</c15:f>
                <c15:dlblRangeCache>
                  <c:ptCount val="14"/>
                  <c:pt idx="0">
                    <c:v>101</c:v>
                  </c:pt>
                  <c:pt idx="1">
                    <c:v>63</c:v>
                  </c:pt>
                  <c:pt idx="2">
                    <c:v>61</c:v>
                  </c:pt>
                  <c:pt idx="3">
                    <c:v>41</c:v>
                  </c:pt>
                  <c:pt idx="4">
                    <c:v>45</c:v>
                  </c:pt>
                  <c:pt idx="5">
                    <c:v>31</c:v>
                  </c:pt>
                  <c:pt idx="6">
                    <c:v>2</c:v>
                  </c:pt>
                  <c:pt idx="7">
                    <c:v>16</c:v>
                  </c:pt>
                  <c:pt idx="8">
                    <c:v>0</c:v>
                  </c:pt>
                  <c:pt idx="9">
                    <c:v>4</c:v>
                  </c:pt>
                  <c:pt idx="10">
                    <c:v>0</c:v>
                  </c:pt>
                  <c:pt idx="11">
                    <c:v>0</c:v>
                  </c:pt>
                  <c:pt idx="12">
                    <c:v>0</c:v>
                  </c:pt>
                  <c:pt idx="13">
                    <c:v>0</c:v>
                  </c:pt>
                </c15:dlblRangeCache>
              </c15:datalabelsRange>
            </c:ext>
            <c:ext xmlns:c16="http://schemas.microsoft.com/office/drawing/2014/chart" uri="{C3380CC4-5D6E-409C-BE32-E72D297353CC}">
              <c16:uniqueId val="{00000019-03D7-4A71-BDCB-D9C304D3A0F0}"/>
            </c:ext>
          </c:extLst>
        </c:ser>
        <c:ser>
          <c:idx val="1"/>
          <c:order val="1"/>
          <c:spPr>
            <a:solidFill>
              <a:srgbClr val="29702A"/>
            </a:solidFill>
            <a:ln w="3175">
              <a:solidFill>
                <a:schemeClr val="tx1"/>
              </a:solidFill>
            </a:ln>
          </c:spPr>
          <c:invertIfNegative val="0"/>
          <c:dLbls>
            <c:dLbl>
              <c:idx val="0"/>
              <c:tx>
                <c:rich>
                  <a:bodyPr wrap="square" lIns="0" tIns="0" rIns="0" bIns="0" anchor="t" anchorCtr="1">
                    <a:spAutoFit/>
                  </a:bodyPr>
                  <a:lstStyle/>
                  <a:p>
                    <a:pPr>
                      <a:defRPr b="0">
                        <a:solidFill>
                          <a:schemeClr val="tx1">
                            <a:lumMod val="50000"/>
                            <a:lumOff val="50000"/>
                          </a:schemeClr>
                        </a:solidFill>
                      </a:defRPr>
                    </a:pPr>
                    <a:fld id="{B11CB79B-AA3C-47CB-9B5D-E24FB76197BC}" type="CELLRANGE">
                      <a:rPr lang="en-US"/>
                      <a:pPr>
                        <a:defRPr b="0">
                          <a:solidFill>
                            <a:schemeClr val="tx1">
                              <a:lumMod val="50000"/>
                              <a:lumOff val="50000"/>
                            </a:schemeClr>
                          </a:solidFill>
                        </a:defRPr>
                      </a:pPr>
                      <a:t>[CELLRANGE]</a:t>
                    </a:fld>
                    <a:endParaRPr lang="en-US"/>
                  </a:p>
                </c:rich>
              </c:tx>
              <c:spPr>
                <a:noFill/>
                <a:ln>
                  <a:noFill/>
                </a:ln>
                <a:effectLst/>
              </c:spPr>
              <c:dLblPos val="inEnd"/>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dlblFieldTable/>
                  <c15:xForSave val="1"/>
                  <c15:showDataLabelsRange val="1"/>
                </c:ext>
                <c:ext xmlns:c16="http://schemas.microsoft.com/office/drawing/2014/chart" uri="{C3380CC4-5D6E-409C-BE32-E72D297353CC}">
                  <c16:uniqueId val="{00000001-48E1-488D-BD62-4CAAB23F77FA}"/>
                </c:ext>
              </c:extLst>
            </c:dLbl>
            <c:dLbl>
              <c:idx val="1"/>
              <c:tx>
                <c:rich>
                  <a:bodyPr/>
                  <a:lstStyle/>
                  <a:p>
                    <a:fld id="{63D86352-CDA5-4D5D-966C-1C340175235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48E1-488D-BD62-4CAAB23F77FA}"/>
                </c:ext>
              </c:extLst>
            </c:dLbl>
            <c:dLbl>
              <c:idx val="2"/>
              <c:tx>
                <c:rich>
                  <a:bodyPr/>
                  <a:lstStyle/>
                  <a:p>
                    <a:fld id="{6B7F5884-25AF-4FD5-94F6-617C761A8FB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48E1-488D-BD62-4CAAB23F77FA}"/>
                </c:ext>
              </c:extLst>
            </c:dLbl>
            <c:dLbl>
              <c:idx val="3"/>
              <c:tx>
                <c:rich>
                  <a:bodyPr/>
                  <a:lstStyle/>
                  <a:p>
                    <a:fld id="{B486F3CC-33FD-4C90-A689-C1282B48B6C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48E1-488D-BD62-4CAAB23F77FA}"/>
                </c:ext>
              </c:extLst>
            </c:dLbl>
            <c:dLbl>
              <c:idx val="4"/>
              <c:tx>
                <c:rich>
                  <a:bodyPr/>
                  <a:lstStyle/>
                  <a:p>
                    <a:fld id="{6E703243-55CE-4EEC-9B1B-06F824EDBCBC}"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48E1-488D-BD62-4CAAB23F77FA}"/>
                </c:ext>
              </c:extLst>
            </c:dLbl>
            <c:dLbl>
              <c:idx val="5"/>
              <c:tx>
                <c:rich>
                  <a:bodyPr/>
                  <a:lstStyle/>
                  <a:p>
                    <a:fld id="{5C7E8D7A-C0CB-48E5-9412-0BF197DA46B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48E1-488D-BD62-4CAAB23F77FA}"/>
                </c:ext>
              </c:extLst>
            </c:dLbl>
            <c:dLbl>
              <c:idx val="6"/>
              <c:tx>
                <c:rich>
                  <a:bodyPr/>
                  <a:lstStyle/>
                  <a:p>
                    <a:fld id="{C7B0CEF4-FB64-4E6E-B1BA-4D85D231D54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48E1-488D-BD62-4CAAB23F77FA}"/>
                </c:ext>
              </c:extLst>
            </c:dLbl>
            <c:dLbl>
              <c:idx val="7"/>
              <c:tx>
                <c:rich>
                  <a:bodyPr/>
                  <a:lstStyle/>
                  <a:p>
                    <a:fld id="{305B5E9A-CB19-4613-A43C-B458F4757B5A}"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48E1-488D-BD62-4CAAB23F77FA}"/>
                </c:ext>
              </c:extLst>
            </c:dLbl>
            <c:dLbl>
              <c:idx val="8"/>
              <c:tx>
                <c:rich>
                  <a:bodyPr/>
                  <a:lstStyle/>
                  <a:p>
                    <a:fld id="{BE2DAEF9-64E4-4DFD-B9ED-C283693CE79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48E1-488D-BD62-4CAAB23F77FA}"/>
                </c:ext>
              </c:extLst>
            </c:dLbl>
            <c:dLbl>
              <c:idx val="9"/>
              <c:tx>
                <c:rich>
                  <a:bodyPr/>
                  <a:lstStyle/>
                  <a:p>
                    <a:fld id="{9DE657B4-B52D-4D3A-81C3-3E4E9732B9D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48E1-488D-BD62-4CAAB23F77FA}"/>
                </c:ext>
              </c:extLst>
            </c:dLbl>
            <c:dLbl>
              <c:idx val="10"/>
              <c:tx>
                <c:rich>
                  <a:bodyPr/>
                  <a:lstStyle/>
                  <a:p>
                    <a:fld id="{9A8F9E93-3BC0-4A17-B72D-B9423561BD3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48E1-488D-BD62-4CAAB23F77FA}"/>
                </c:ext>
              </c:extLst>
            </c:dLbl>
            <c:dLbl>
              <c:idx val="11"/>
              <c:tx>
                <c:rich>
                  <a:bodyPr/>
                  <a:lstStyle/>
                  <a:p>
                    <a:fld id="{20D8CBBF-EB60-4C58-A58B-7D7A1182F2C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48E1-488D-BD62-4CAAB23F77FA}"/>
                </c:ext>
              </c:extLst>
            </c:dLbl>
            <c:dLbl>
              <c:idx val="12"/>
              <c:tx>
                <c:rich>
                  <a:bodyPr/>
                  <a:lstStyle/>
                  <a:p>
                    <a:fld id="{0A11C37F-C609-41AF-8DD3-AEAB5A33F26E}"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48E1-488D-BD62-4CAAB23F77FA}"/>
                </c:ext>
              </c:extLst>
            </c:dLbl>
            <c:dLbl>
              <c:idx val="13"/>
              <c:tx>
                <c:rich>
                  <a:bodyPr/>
                  <a:lstStyle/>
                  <a:p>
                    <a:fld id="{492C1414-C855-4C45-B019-048E527124B6}"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48E1-488D-BD62-4CAAB23F77FA}"/>
                </c:ext>
              </c:extLst>
            </c:dLbl>
            <c:spPr>
              <a:noFill/>
              <a:ln>
                <a:noFill/>
              </a:ln>
              <a:effectLst/>
            </c:spPr>
            <c:txPr>
              <a:bodyPr wrap="square" lIns="0" tIns="0" rIns="0" bIns="0" anchor="t" anchorCtr="1">
                <a:spAutoFit/>
              </a:bodyPr>
              <a:lstStyle/>
              <a:p>
                <a:pPr>
                  <a:defRPr b="1">
                    <a:solidFill>
                      <a:schemeClr val="tx1">
                        <a:lumMod val="50000"/>
                        <a:lumOff val="50000"/>
                      </a:schemeClr>
                    </a:solidFill>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cat>
            <c:strRef>
              <c:f>CashConversionByIndustryPage!$A$2:$A$15</c:f>
              <c:strCache>
                <c:ptCount val="14"/>
                <c:pt idx="0">
                  <c:v>Pharmaceuticals, 
Biotechnology, and 
Life Sciences</c:v>
                </c:pt>
                <c:pt idx="1">
                  <c:v>Consumer Durables
and Apparel</c:v>
                </c:pt>
                <c:pt idx="2">
                  <c:v>Semiconductors and
Semiconductor Equipment</c:v>
                </c:pt>
                <c:pt idx="3">
                  <c:v>Capital Goods</c:v>
                </c:pt>
                <c:pt idx="4">
                  <c:v>Materials</c:v>
                </c:pt>
                <c:pt idx="5">
                  <c:v>Technology Hardware
and Equipment</c:v>
                </c:pt>
                <c:pt idx="6">
                  <c:v>Healthcare Equipment
and Services</c:v>
                </c:pt>
                <c:pt idx="7">
                  <c:v>Food, Beverage
and Tobacco</c:v>
                </c:pt>
                <c:pt idx="8">
                  <c:v>Retailing</c:v>
                </c:pt>
                <c:pt idx="9">
                  <c:v>Household and
Personal Products</c:v>
                </c:pt>
                <c:pt idx="10">
                  <c:v>Automobiles and
Components</c:v>
                </c:pt>
                <c:pt idx="11">
                  <c:v>Energy</c:v>
                </c:pt>
                <c:pt idx="12">
                  <c:v>Utilities</c:v>
                </c:pt>
                <c:pt idx="13">
                  <c:v>Food and Staples Retailing</c:v>
                </c:pt>
              </c:strCache>
            </c:strRef>
          </c:cat>
          <c:val>
            <c:numRef>
              <c:f>CashConversionByIndustryPage!$C$2:$C$15</c:f>
              <c:numCache>
                <c:formatCode>General</c:formatCode>
                <c:ptCount val="14"/>
                <c:pt idx="0">
                  <c:v>23</c:v>
                </c:pt>
                <c:pt idx="1">
                  <c:v>44</c:v>
                </c:pt>
                <c:pt idx="2">
                  <c:v>44</c:v>
                </c:pt>
                <c:pt idx="3">
                  <c:v>35</c:v>
                </c:pt>
                <c:pt idx="4">
                  <c:v>26</c:v>
                </c:pt>
                <c:pt idx="5">
                  <c:v>34</c:v>
                </c:pt>
                <c:pt idx="6">
                  <c:v>59</c:v>
                </c:pt>
                <c:pt idx="7">
                  <c:v>35</c:v>
                </c:pt>
                <c:pt idx="8">
                  <c:v>45</c:v>
                </c:pt>
                <c:pt idx="9">
                  <c:v>25</c:v>
                </c:pt>
                <c:pt idx="10">
                  <c:v>27</c:v>
                </c:pt>
                <c:pt idx="11">
                  <c:v>23</c:v>
                </c:pt>
                <c:pt idx="12">
                  <c:v>21</c:v>
                </c:pt>
                <c:pt idx="13">
                  <c:v>10</c:v>
                </c:pt>
              </c:numCache>
            </c:numRef>
          </c:val>
          <c:extLst>
            <c:ext xmlns:c15="http://schemas.microsoft.com/office/drawing/2012/chart" uri="{02D57815-91ED-43cb-92C2-25804820EDAC}">
              <c15:datalabelsRange>
                <c15:f>CashConversionByIndustryPage!$G$2:$G$15</c15:f>
                <c15:dlblRangeCache>
                  <c:ptCount val="14"/>
                  <c:pt idx="0">
                    <c:v>124</c:v>
                  </c:pt>
                  <c:pt idx="1">
                    <c:v>107</c:v>
                  </c:pt>
                  <c:pt idx="2">
                    <c:v>105</c:v>
                  </c:pt>
                  <c:pt idx="3">
                    <c:v>76</c:v>
                  </c:pt>
                  <c:pt idx="4">
                    <c:v>71</c:v>
                  </c:pt>
                  <c:pt idx="5">
                    <c:v>65</c:v>
                  </c:pt>
                  <c:pt idx="6">
                    <c:v>61</c:v>
                  </c:pt>
                  <c:pt idx="7">
                    <c:v>51</c:v>
                  </c:pt>
                  <c:pt idx="8">
                    <c:v>45</c:v>
                  </c:pt>
                  <c:pt idx="9">
                    <c:v>29</c:v>
                  </c:pt>
                  <c:pt idx="10">
                    <c:v>27</c:v>
                  </c:pt>
                  <c:pt idx="11">
                    <c:v>23</c:v>
                  </c:pt>
                  <c:pt idx="12">
                    <c:v>21</c:v>
                  </c:pt>
                  <c:pt idx="13">
                    <c:v>10</c:v>
                  </c:pt>
                </c15:dlblRangeCache>
              </c15:datalabelsRange>
            </c:ext>
            <c:ext xmlns:c16="http://schemas.microsoft.com/office/drawing/2014/chart" uri="{C3380CC4-5D6E-409C-BE32-E72D297353CC}">
              <c16:uniqueId val="{00000033-03D7-4A71-BDCB-D9C304D3A0F0}"/>
            </c:ext>
          </c:extLst>
        </c:ser>
        <c:ser>
          <c:idx val="2"/>
          <c:order val="2"/>
          <c:spPr>
            <a:solidFill>
              <a:srgbClr val="F9C20A"/>
            </a:solidFill>
            <a:ln w="3175">
              <a:solidFill>
                <a:schemeClr val="tx1"/>
              </a:solidFill>
            </a:ln>
          </c:spPr>
          <c:invertIfNegative val="0"/>
          <c:dLbls>
            <c:dLbl>
              <c:idx val="0"/>
              <c:tx>
                <c:rich>
                  <a:bodyPr/>
                  <a:lstStyle/>
                  <a:p>
                    <a:fld id="{B4560F04-BA60-4C9D-8F91-2F13A13A086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48E1-488D-BD62-4CAAB23F77FA}"/>
                </c:ext>
              </c:extLst>
            </c:dLbl>
            <c:dLbl>
              <c:idx val="1"/>
              <c:tx>
                <c:rich>
                  <a:bodyPr/>
                  <a:lstStyle/>
                  <a:p>
                    <a:fld id="{BA4EB5EF-6147-48A4-BF32-DEFE217A4BFB}"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48E1-488D-BD62-4CAAB23F77FA}"/>
                </c:ext>
              </c:extLst>
            </c:dLbl>
            <c:dLbl>
              <c:idx val="2"/>
              <c:tx>
                <c:rich>
                  <a:bodyPr/>
                  <a:lstStyle/>
                  <a:p>
                    <a:fld id="{DF518F24-601B-433C-86BA-7265BF94251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48E1-488D-BD62-4CAAB23F77FA}"/>
                </c:ext>
              </c:extLst>
            </c:dLbl>
            <c:dLbl>
              <c:idx val="3"/>
              <c:tx>
                <c:rich>
                  <a:bodyPr/>
                  <a:lstStyle/>
                  <a:p>
                    <a:fld id="{3B9222A6-EB73-4ED2-9C8A-0A783CC26B90}"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48E1-488D-BD62-4CAAB23F77FA}"/>
                </c:ext>
              </c:extLst>
            </c:dLbl>
            <c:dLbl>
              <c:idx val="4"/>
              <c:tx>
                <c:rich>
                  <a:bodyPr/>
                  <a:lstStyle/>
                  <a:p>
                    <a:fld id="{B43A21D9-1B2F-40CD-AC5B-DB7610705C23}"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48E1-488D-BD62-4CAAB23F77FA}"/>
                </c:ext>
              </c:extLst>
            </c:dLbl>
            <c:dLbl>
              <c:idx val="5"/>
              <c:tx>
                <c:rich>
                  <a:bodyPr/>
                  <a:lstStyle/>
                  <a:p>
                    <a:fld id="{A14B8F00-AAB2-4916-913A-7BDB6805EAC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48E1-488D-BD62-4CAAB23F77FA}"/>
                </c:ext>
              </c:extLst>
            </c:dLbl>
            <c:dLbl>
              <c:idx val="6"/>
              <c:tx>
                <c:rich>
                  <a:bodyPr/>
                  <a:lstStyle/>
                  <a:p>
                    <a:fld id="{D66E4636-C7A7-49C5-8879-852D876BCA18}"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48E1-488D-BD62-4CAAB23F77FA}"/>
                </c:ext>
              </c:extLst>
            </c:dLbl>
            <c:dLbl>
              <c:idx val="7"/>
              <c:tx>
                <c:rich>
                  <a:bodyPr/>
                  <a:lstStyle/>
                  <a:p>
                    <a:fld id="{E2338B22-BBA6-4229-B055-DB3113BA6BFA}"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48E1-488D-BD62-4CAAB23F77FA}"/>
                </c:ext>
              </c:extLst>
            </c:dLbl>
            <c:dLbl>
              <c:idx val="8"/>
              <c:tx>
                <c:rich>
                  <a:bodyPr/>
                  <a:lstStyle/>
                  <a:p>
                    <a:fld id="{715E76D8-B8C3-4D9D-BAF3-04D940D85742}"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48E1-488D-BD62-4CAAB23F77FA}"/>
                </c:ext>
              </c:extLst>
            </c:dLbl>
            <c:dLbl>
              <c:idx val="9"/>
              <c:tx>
                <c:rich>
                  <a:bodyPr/>
                  <a:lstStyle/>
                  <a:p>
                    <a:fld id="{0FB8B5D0-1AFB-4AF2-B5D7-4F324ED78DF4}"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48E1-488D-BD62-4CAAB23F77FA}"/>
                </c:ext>
              </c:extLst>
            </c:dLbl>
            <c:dLbl>
              <c:idx val="10"/>
              <c:tx>
                <c:rich>
                  <a:bodyPr/>
                  <a:lstStyle/>
                  <a:p>
                    <a:fld id="{1315FB64-6C89-46FF-A7F3-5B623A0CD1F7}"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48E1-488D-BD62-4CAAB23F77FA}"/>
                </c:ext>
              </c:extLst>
            </c:dLbl>
            <c:dLbl>
              <c:idx val="11"/>
              <c:tx>
                <c:rich>
                  <a:bodyPr/>
                  <a:lstStyle/>
                  <a:p>
                    <a:fld id="{B03AB751-3AFC-48A1-9C49-D503C4148C99}"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48E1-488D-BD62-4CAAB23F77FA}"/>
                </c:ext>
              </c:extLst>
            </c:dLbl>
            <c:dLbl>
              <c:idx val="12"/>
              <c:tx>
                <c:rich>
                  <a:bodyPr/>
                  <a:lstStyle/>
                  <a:p>
                    <a:fld id="{2E92641A-9F21-45E3-81EB-BAE5530453A5}"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48E1-488D-BD62-4CAAB23F77FA}"/>
                </c:ext>
              </c:extLst>
            </c:dLbl>
            <c:dLbl>
              <c:idx val="13"/>
              <c:tx>
                <c:rich>
                  <a:bodyPr/>
                  <a:lstStyle/>
                  <a:p>
                    <a:fld id="{1656CD1A-50E8-4896-9C60-04DC7862203D}" type="CELLRANGE">
                      <a:rPr lang="en-US"/>
                      <a:pPr/>
                      <a:t>[CELLRANGE]</a:t>
                    </a:fld>
                    <a:endParaRPr lang="en-US"/>
                  </a:p>
                </c:rich>
              </c:tx>
              <c:dLblPos val="inEnd"/>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48E1-488D-BD62-4CAAB23F77FA}"/>
                </c:ext>
              </c:extLst>
            </c:dLbl>
            <c:spPr>
              <a:noFill/>
              <a:ln>
                <a:noFill/>
              </a:ln>
              <a:effectLst/>
            </c:spPr>
            <c:txPr>
              <a:bodyPr wrap="square" lIns="0" tIns="0" rIns="0" bIns="0" anchor="t" anchorCtr="1">
                <a:spAutoFit/>
              </a:bodyPr>
              <a:lstStyle/>
              <a:p>
                <a:pPr>
                  <a:defRPr b="1">
                    <a:solidFill>
                      <a:schemeClr val="tx1">
                        <a:lumMod val="50000"/>
                        <a:lumOff val="50000"/>
                      </a:schemeClr>
                    </a:solidFill>
                  </a:defRPr>
                </a:pPr>
                <a:endParaRPr lang="en-US"/>
              </a:p>
            </c:txPr>
            <c:dLblPos val="inEnd"/>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ext>
            </c:extLst>
          </c:dLbls>
          <c:cat>
            <c:strRef>
              <c:f>CashConversionByIndustryPage!$A$2:$A$15</c:f>
              <c:strCache>
                <c:ptCount val="14"/>
                <c:pt idx="0">
                  <c:v>Pharmaceuticals, 
Biotechnology, and 
Life Sciences</c:v>
                </c:pt>
                <c:pt idx="1">
                  <c:v>Consumer Durables
and Apparel</c:v>
                </c:pt>
                <c:pt idx="2">
                  <c:v>Semiconductors and
Semiconductor Equipment</c:v>
                </c:pt>
                <c:pt idx="3">
                  <c:v>Capital Goods</c:v>
                </c:pt>
                <c:pt idx="4">
                  <c:v>Materials</c:v>
                </c:pt>
                <c:pt idx="5">
                  <c:v>Technology Hardware
and Equipment</c:v>
                </c:pt>
                <c:pt idx="6">
                  <c:v>Healthcare Equipment
and Services</c:v>
                </c:pt>
                <c:pt idx="7">
                  <c:v>Food, Beverage
and Tobacco</c:v>
                </c:pt>
                <c:pt idx="8">
                  <c:v>Retailing</c:v>
                </c:pt>
                <c:pt idx="9">
                  <c:v>Household and
Personal Products</c:v>
                </c:pt>
                <c:pt idx="10">
                  <c:v>Automobiles and
Components</c:v>
                </c:pt>
                <c:pt idx="11">
                  <c:v>Energy</c:v>
                </c:pt>
                <c:pt idx="12">
                  <c:v>Utilities</c:v>
                </c:pt>
                <c:pt idx="13">
                  <c:v>Food and Staples Retailing</c:v>
                </c:pt>
              </c:strCache>
            </c:strRef>
          </c:cat>
          <c:val>
            <c:numRef>
              <c:f>CashConversionByIndustryPage!$B$2:$B$15</c:f>
              <c:numCache>
                <c:formatCode>General</c:formatCode>
                <c:ptCount val="14"/>
                <c:pt idx="0">
                  <c:v>37</c:v>
                </c:pt>
                <c:pt idx="1">
                  <c:v>89</c:v>
                </c:pt>
                <c:pt idx="2">
                  <c:v>25</c:v>
                </c:pt>
                <c:pt idx="3">
                  <c:v>41</c:v>
                </c:pt>
                <c:pt idx="4">
                  <c:v>28</c:v>
                </c:pt>
                <c:pt idx="5">
                  <c:v>22</c:v>
                </c:pt>
                <c:pt idx="6">
                  <c:v>81</c:v>
                </c:pt>
                <c:pt idx="7">
                  <c:v>47</c:v>
                </c:pt>
                <c:pt idx="8">
                  <c:v>28</c:v>
                </c:pt>
                <c:pt idx="9">
                  <c:v>68</c:v>
                </c:pt>
                <c:pt idx="10">
                  <c:v>21</c:v>
                </c:pt>
                <c:pt idx="11">
                  <c:v>39</c:v>
                </c:pt>
                <c:pt idx="12">
                  <c:v>19</c:v>
                </c:pt>
                <c:pt idx="13">
                  <c:v>14</c:v>
                </c:pt>
              </c:numCache>
            </c:numRef>
          </c:val>
          <c:extLst>
            <c:ext xmlns:c15="http://schemas.microsoft.com/office/drawing/2012/chart" uri="{02D57815-91ED-43cb-92C2-25804820EDAC}">
              <c15:datalabelsRange>
                <c15:f>CashConversionByIndustryPage!$F$2:$F$15</c15:f>
                <c15:dlblRangeCache>
                  <c:ptCount val="14"/>
                  <c:pt idx="0">
                    <c:v>161</c:v>
                  </c:pt>
                  <c:pt idx="1">
                    <c:v>196</c:v>
                  </c:pt>
                  <c:pt idx="2">
                    <c:v>130</c:v>
                  </c:pt>
                  <c:pt idx="3">
                    <c:v>117</c:v>
                  </c:pt>
                  <c:pt idx="4">
                    <c:v>99</c:v>
                  </c:pt>
                  <c:pt idx="5">
                    <c:v>87</c:v>
                  </c:pt>
                  <c:pt idx="6">
                    <c:v>142</c:v>
                  </c:pt>
                  <c:pt idx="7">
                    <c:v>98</c:v>
                  </c:pt>
                  <c:pt idx="8">
                    <c:v>73</c:v>
                  </c:pt>
                  <c:pt idx="9">
                    <c:v>97</c:v>
                  </c:pt>
                  <c:pt idx="10">
                    <c:v>48</c:v>
                  </c:pt>
                  <c:pt idx="11">
                    <c:v>62</c:v>
                  </c:pt>
                  <c:pt idx="12">
                    <c:v>40</c:v>
                  </c:pt>
                  <c:pt idx="13">
                    <c:v>24</c:v>
                  </c:pt>
                </c15:dlblRangeCache>
              </c15:datalabelsRange>
            </c:ext>
            <c:ext xmlns:c16="http://schemas.microsoft.com/office/drawing/2014/chart" uri="{C3380CC4-5D6E-409C-BE32-E72D297353CC}">
              <c16:uniqueId val="{0000004D-03D7-4A71-BDCB-D9C304D3A0F0}"/>
            </c:ext>
          </c:extLst>
        </c:ser>
        <c:dLbls>
          <c:showLegendKey val="0"/>
          <c:showVal val="0"/>
          <c:showCatName val="0"/>
          <c:showSerName val="0"/>
          <c:showPercent val="0"/>
          <c:showBubbleSize val="0"/>
        </c:dLbls>
        <c:gapWidth val="46"/>
        <c:overlap val="100"/>
        <c:axId val="729722880"/>
        <c:axId val="128317056"/>
      </c:barChart>
      <c:catAx>
        <c:axId val="729722880"/>
        <c:scaling>
          <c:orientation val="minMax"/>
        </c:scaling>
        <c:delete val="0"/>
        <c:axPos val="b"/>
        <c:numFmt formatCode="General" sourceLinked="0"/>
        <c:majorTickMark val="out"/>
        <c:minorTickMark val="none"/>
        <c:tickLblPos val="nextTo"/>
        <c:txPr>
          <a:bodyPr rot="-5400000" vert="horz"/>
          <a:lstStyle/>
          <a:p>
            <a:pPr>
              <a:defRPr>
                <a:solidFill>
                  <a:srgbClr val="646464"/>
                </a:solidFill>
              </a:defRPr>
            </a:pPr>
            <a:endParaRPr lang="en-US"/>
          </a:p>
        </c:txPr>
        <c:crossAx val="128317056"/>
        <c:crosses val="autoZero"/>
        <c:auto val="1"/>
        <c:lblAlgn val="ctr"/>
        <c:lblOffset val="100"/>
        <c:noMultiLvlLbl val="0"/>
      </c:catAx>
      <c:valAx>
        <c:axId val="128317056"/>
        <c:scaling>
          <c:orientation val="minMax"/>
        </c:scaling>
        <c:delete val="0"/>
        <c:axPos val="l"/>
        <c:title>
          <c:tx>
            <c:rich>
              <a:bodyPr/>
              <a:lstStyle/>
              <a:p>
                <a:pPr>
                  <a:defRPr/>
                </a:pPr>
                <a:r>
                  <a:rPr lang="en-US"/>
                  <a:t>Cash</a:t>
                </a:r>
                <a:r>
                  <a:rPr lang="en-US" baseline="0"/>
                  <a:t> Conversion Cycle (days)</a:t>
                </a:r>
                <a:endParaRPr lang="en-US"/>
              </a:p>
            </c:rich>
          </c:tx>
          <c:overlay val="0"/>
        </c:title>
        <c:numFmt formatCode="#,##0" sourceLinked="0"/>
        <c:majorTickMark val="out"/>
        <c:minorTickMark val="none"/>
        <c:tickLblPos val="nextTo"/>
        <c:txPr>
          <a:bodyPr/>
          <a:lstStyle/>
          <a:p>
            <a:pPr>
              <a:defRPr>
                <a:solidFill>
                  <a:srgbClr val="646464"/>
                </a:solidFill>
              </a:defRPr>
            </a:pPr>
            <a:endParaRPr lang="en-US"/>
          </a:p>
        </c:txPr>
        <c:crossAx val="729722880"/>
        <c:crosses val="autoZero"/>
        <c:crossBetween val="between"/>
      </c:valAx>
      <c:spPr>
        <a:noFill/>
        <a:ln w="25400">
          <a:noFill/>
        </a:ln>
      </c:spPr>
    </c:plotArea>
    <c:plotVisOnly val="1"/>
    <c:dispBlanksAs val="gap"/>
    <c:showDLblsOverMax val="0"/>
  </c:chart>
  <c:txPr>
    <a:bodyPr/>
    <a:lstStyle/>
    <a:p>
      <a:pPr>
        <a:defRPr>
          <a:solidFill>
            <a:srgbClr val="002060"/>
          </a:solidFill>
        </a:defRPr>
      </a:pPr>
      <a:endParaRPr lang="en-US"/>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7833222582544399"/>
          <c:h val="1"/>
        </c:manualLayout>
      </c:layout>
      <c:barChart>
        <c:barDir val="bar"/>
        <c:grouping val="clustered"/>
        <c:varyColors val="0"/>
        <c:ser>
          <c:idx val="0"/>
          <c:order val="0"/>
          <c:tx>
            <c:strRef>
              <c:f>CccPage!$B$1</c:f>
              <c:strCache>
                <c:ptCount val="1"/>
              </c:strCache>
            </c:strRef>
          </c:tx>
          <c:spPr>
            <a:solidFill>
              <a:srgbClr val="002B49"/>
            </a:solidFill>
            <a:ln>
              <a:solidFill>
                <a:srgbClr val="002B49"/>
              </a:solidFill>
            </a:ln>
            <a:effectLst/>
          </c:spPr>
          <c:invertIfNegative val="0"/>
          <c:dPt>
            <c:idx val="0"/>
            <c:invertIfNegative val="0"/>
            <c:bubble3D val="0"/>
            <c:extLst>
              <c:ext xmlns:c16="http://schemas.microsoft.com/office/drawing/2014/chart" uri="{C3380CC4-5D6E-409C-BE32-E72D297353CC}">
                <c16:uniqueId val="{00000000-0F43-4786-B8C1-BD2AD147CA68}"/>
              </c:ext>
            </c:extLst>
          </c:dPt>
          <c:dPt>
            <c:idx val="1"/>
            <c:invertIfNegative val="0"/>
            <c:bubble3D val="0"/>
            <c:extLst>
              <c:ext xmlns:c16="http://schemas.microsoft.com/office/drawing/2014/chart" uri="{C3380CC4-5D6E-409C-BE32-E72D297353CC}">
                <c16:uniqueId val="{00000001-0F43-4786-B8C1-BD2AD147CA68}"/>
              </c:ext>
            </c:extLst>
          </c:dPt>
          <c:dPt>
            <c:idx val="2"/>
            <c:invertIfNegative val="0"/>
            <c:bubble3D val="0"/>
            <c:extLst>
              <c:ext xmlns:c16="http://schemas.microsoft.com/office/drawing/2014/chart" uri="{C3380CC4-5D6E-409C-BE32-E72D297353CC}">
                <c16:uniqueId val="{00000003-0F43-4786-B8C1-BD2AD147CA68}"/>
              </c:ext>
            </c:extLst>
          </c:dPt>
          <c:dPt>
            <c:idx val="3"/>
            <c:invertIfNegative val="0"/>
            <c:bubble3D val="0"/>
            <c:extLst>
              <c:ext xmlns:c16="http://schemas.microsoft.com/office/drawing/2014/chart" uri="{C3380CC4-5D6E-409C-BE32-E72D297353CC}">
                <c16:uniqueId val="{00000005-0F43-4786-B8C1-BD2AD147CA68}"/>
              </c:ext>
            </c:extLst>
          </c:dPt>
          <c:dPt>
            <c:idx val="4"/>
            <c:invertIfNegative val="0"/>
            <c:bubble3D val="0"/>
            <c:extLst>
              <c:ext xmlns:c16="http://schemas.microsoft.com/office/drawing/2014/chart" uri="{C3380CC4-5D6E-409C-BE32-E72D297353CC}">
                <c16:uniqueId val="{00000006-0F43-4786-B8C1-BD2AD147CA68}"/>
              </c:ext>
            </c:extLst>
          </c:dPt>
          <c:dPt>
            <c:idx val="5"/>
            <c:invertIfNegative val="0"/>
            <c:bubble3D val="0"/>
            <c:extLst>
              <c:ext xmlns:c16="http://schemas.microsoft.com/office/drawing/2014/chart" uri="{C3380CC4-5D6E-409C-BE32-E72D297353CC}">
                <c16:uniqueId val="{00000007-0F43-4786-B8C1-BD2AD147CA68}"/>
              </c:ext>
            </c:extLst>
          </c:dPt>
          <c:dPt>
            <c:idx val="6"/>
            <c:invertIfNegative val="0"/>
            <c:bubble3D val="0"/>
            <c:extLst>
              <c:ext xmlns:c16="http://schemas.microsoft.com/office/drawing/2014/chart" uri="{C3380CC4-5D6E-409C-BE32-E72D297353CC}">
                <c16:uniqueId val="{00000008-0F43-4786-B8C1-BD2AD147CA68}"/>
              </c:ext>
            </c:extLst>
          </c:dPt>
          <c:dPt>
            <c:idx val="7"/>
            <c:invertIfNegative val="0"/>
            <c:bubble3D val="0"/>
            <c:spPr>
              <a:solidFill>
                <a:srgbClr val="FFC000"/>
              </a:solidFill>
              <a:ln>
                <a:solidFill>
                  <a:srgbClr val="FFC000"/>
                </a:solidFill>
              </a:ln>
              <a:effectLst/>
            </c:spPr>
            <c:extLst>
              <c:ext xmlns:c16="http://schemas.microsoft.com/office/drawing/2014/chart" uri="{C3380CC4-5D6E-409C-BE32-E72D297353CC}">
                <c16:uniqueId val="{0000001D-8F99-4626-A500-072D509D6EAC}"/>
              </c:ext>
            </c:extLst>
          </c:dPt>
          <c:dPt>
            <c:idx val="8"/>
            <c:invertIfNegative val="0"/>
            <c:bubble3D val="0"/>
            <c:spPr>
              <a:solidFill>
                <a:srgbClr val="FFC000"/>
              </a:solidFill>
              <a:ln>
                <a:solidFill>
                  <a:srgbClr val="FFC000"/>
                </a:solidFill>
              </a:ln>
              <a:effectLst/>
            </c:spPr>
            <c:extLst>
              <c:ext xmlns:c16="http://schemas.microsoft.com/office/drawing/2014/chart" uri="{C3380CC4-5D6E-409C-BE32-E72D297353CC}">
                <c16:uniqueId val="{0000001E-8F99-4626-A500-072D509D6EAC}"/>
              </c:ext>
            </c:extLst>
          </c:dPt>
          <c:dPt>
            <c:idx val="16"/>
            <c:invertIfNegative val="0"/>
            <c:bubble3D val="0"/>
            <c:extLst>
              <c:ext xmlns:c16="http://schemas.microsoft.com/office/drawing/2014/chart" uri="{C3380CC4-5D6E-409C-BE32-E72D297353CC}">
                <c16:uniqueId val="{00000014-0F43-4786-B8C1-BD2AD147CA68}"/>
              </c:ext>
            </c:extLst>
          </c:dPt>
          <c:dPt>
            <c:idx val="17"/>
            <c:invertIfNegative val="0"/>
            <c:bubble3D val="0"/>
            <c:extLst>
              <c:ext xmlns:c16="http://schemas.microsoft.com/office/drawing/2014/chart" uri="{C3380CC4-5D6E-409C-BE32-E72D297353CC}">
                <c16:uniqueId val="{00000015-0F43-4786-B8C1-BD2AD147CA68}"/>
              </c:ext>
            </c:extLst>
          </c:dPt>
          <c:dPt>
            <c:idx val="18"/>
            <c:invertIfNegative val="0"/>
            <c:bubble3D val="0"/>
            <c:extLst>
              <c:ext xmlns:c16="http://schemas.microsoft.com/office/drawing/2014/chart" uri="{C3380CC4-5D6E-409C-BE32-E72D297353CC}">
                <c16:uniqueId val="{00000016-0F43-4786-B8C1-BD2AD147CA68}"/>
              </c:ext>
            </c:extLst>
          </c:dPt>
          <c:dPt>
            <c:idx val="19"/>
            <c:invertIfNegative val="0"/>
            <c:bubble3D val="0"/>
            <c:extLst>
              <c:ext xmlns:c16="http://schemas.microsoft.com/office/drawing/2014/chart" uri="{C3380CC4-5D6E-409C-BE32-E72D297353CC}">
                <c16:uniqueId val="{00000017-0F43-4786-B8C1-BD2AD147CA68}"/>
              </c:ext>
            </c:extLst>
          </c:dPt>
          <c:dPt>
            <c:idx val="20"/>
            <c:invertIfNegative val="0"/>
            <c:bubble3D val="0"/>
            <c:extLst>
              <c:ext xmlns:c16="http://schemas.microsoft.com/office/drawing/2014/chart" uri="{C3380CC4-5D6E-409C-BE32-E72D297353CC}">
                <c16:uniqueId val="{00000018-0F43-4786-B8C1-BD2AD147CA68}"/>
              </c:ext>
            </c:extLst>
          </c:dPt>
          <c:dPt>
            <c:idx val="21"/>
            <c:invertIfNegative val="0"/>
            <c:bubble3D val="0"/>
            <c:extLst>
              <c:ext xmlns:c16="http://schemas.microsoft.com/office/drawing/2014/chart" uri="{C3380CC4-5D6E-409C-BE32-E72D297353CC}">
                <c16:uniqueId val="{00000019-0F43-4786-B8C1-BD2AD147CA68}"/>
              </c:ext>
            </c:extLst>
          </c:dPt>
          <c:dPt>
            <c:idx val="22"/>
            <c:invertIfNegative val="0"/>
            <c:bubble3D val="0"/>
            <c:extLst>
              <c:ext xmlns:c16="http://schemas.microsoft.com/office/drawing/2014/chart" uri="{C3380CC4-5D6E-409C-BE32-E72D297353CC}">
                <c16:uniqueId val="{0000001A-0F43-4786-B8C1-BD2AD147CA68}"/>
              </c:ext>
            </c:extLst>
          </c:dPt>
          <c:dPt>
            <c:idx val="23"/>
            <c:invertIfNegative val="0"/>
            <c:bubble3D val="0"/>
            <c:extLst>
              <c:ext xmlns:c16="http://schemas.microsoft.com/office/drawing/2014/chart" uri="{C3380CC4-5D6E-409C-BE32-E72D297353CC}">
                <c16:uniqueId val="{0000001B-0F43-4786-B8C1-BD2AD147CA68}"/>
              </c:ext>
            </c:extLst>
          </c:dPt>
          <c:dPt>
            <c:idx val="24"/>
            <c:invertIfNegative val="0"/>
            <c:bubble3D val="0"/>
            <c:extLst>
              <c:ext xmlns:c16="http://schemas.microsoft.com/office/drawing/2014/chart" uri="{C3380CC4-5D6E-409C-BE32-E72D297353CC}">
                <c16:uniqueId val="{0000001C-0F43-4786-B8C1-BD2AD147CA68}"/>
              </c:ext>
            </c:extLst>
          </c:dPt>
          <c:dPt>
            <c:idx val="26"/>
            <c:invertIfNegative val="0"/>
            <c:bubble3D val="0"/>
            <c:extLst>
              <c:ext xmlns:c16="http://schemas.microsoft.com/office/drawing/2014/chart" uri="{C3380CC4-5D6E-409C-BE32-E72D297353CC}">
                <c16:uniqueId val="{0000001D-0F43-4786-B8C1-BD2AD147CA68}"/>
              </c:ext>
            </c:extLst>
          </c:dPt>
          <c:dPt>
            <c:idx val="27"/>
            <c:invertIfNegative val="0"/>
            <c:bubble3D val="0"/>
            <c:extLst>
              <c:ext xmlns:c16="http://schemas.microsoft.com/office/drawing/2014/chart" uri="{C3380CC4-5D6E-409C-BE32-E72D297353CC}">
                <c16:uniqueId val="{0000001E-0F43-4786-B8C1-BD2AD147CA68}"/>
              </c:ext>
            </c:extLst>
          </c:dPt>
          <c:dPt>
            <c:idx val="28"/>
            <c:invertIfNegative val="0"/>
            <c:bubble3D val="0"/>
            <c:extLst>
              <c:ext xmlns:c16="http://schemas.microsoft.com/office/drawing/2014/chart" uri="{C3380CC4-5D6E-409C-BE32-E72D297353CC}">
                <c16:uniqueId val="{0000001F-0F43-4786-B8C1-BD2AD147CA68}"/>
              </c:ext>
            </c:extLst>
          </c:dPt>
          <c:dPt>
            <c:idx val="29"/>
            <c:invertIfNegative val="0"/>
            <c:bubble3D val="0"/>
            <c:extLst>
              <c:ext xmlns:c16="http://schemas.microsoft.com/office/drawing/2014/chart" uri="{C3380CC4-5D6E-409C-BE32-E72D297353CC}">
                <c16:uniqueId val="{00000020-0F43-4786-B8C1-BD2AD147CA68}"/>
              </c:ext>
            </c:extLst>
          </c:dPt>
          <c:dPt>
            <c:idx val="31"/>
            <c:invertIfNegative val="0"/>
            <c:bubble3D val="0"/>
            <c:extLst>
              <c:ext xmlns:c16="http://schemas.microsoft.com/office/drawing/2014/chart" uri="{C3380CC4-5D6E-409C-BE32-E72D297353CC}">
                <c16:uniqueId val="{00000021-0F43-4786-B8C1-BD2AD147CA68}"/>
              </c:ext>
            </c:extLst>
          </c:dPt>
          <c:dPt>
            <c:idx val="32"/>
            <c:invertIfNegative val="0"/>
            <c:bubble3D val="0"/>
            <c:extLst>
              <c:ext xmlns:c16="http://schemas.microsoft.com/office/drawing/2014/chart" uri="{C3380CC4-5D6E-409C-BE32-E72D297353CC}">
                <c16:uniqueId val="{00000022-0F43-4786-B8C1-BD2AD147CA68}"/>
              </c:ext>
            </c:extLst>
          </c:dPt>
          <c:dPt>
            <c:idx val="36"/>
            <c:invertIfNegative val="0"/>
            <c:bubble3D val="0"/>
            <c:extLst>
              <c:ext xmlns:c16="http://schemas.microsoft.com/office/drawing/2014/chart" uri="{C3380CC4-5D6E-409C-BE32-E72D297353CC}">
                <c16:uniqueId val="{00000023-0F43-4786-B8C1-BD2AD147CA68}"/>
              </c:ext>
            </c:extLst>
          </c:dPt>
          <c:dPt>
            <c:idx val="37"/>
            <c:invertIfNegative val="0"/>
            <c:bubble3D val="0"/>
            <c:extLst>
              <c:ext xmlns:c16="http://schemas.microsoft.com/office/drawing/2014/chart" uri="{C3380CC4-5D6E-409C-BE32-E72D297353CC}">
                <c16:uniqueId val="{00000024-0F43-4786-B8C1-BD2AD147CA68}"/>
              </c:ext>
            </c:extLst>
          </c:dPt>
          <c:dPt>
            <c:idx val="38"/>
            <c:invertIfNegative val="0"/>
            <c:bubble3D val="0"/>
            <c:extLst>
              <c:ext xmlns:c16="http://schemas.microsoft.com/office/drawing/2014/chart" uri="{C3380CC4-5D6E-409C-BE32-E72D297353CC}">
                <c16:uniqueId val="{00000025-0F43-4786-B8C1-BD2AD147CA68}"/>
              </c:ext>
            </c:extLst>
          </c:dPt>
          <c:dPt>
            <c:idx val="40"/>
            <c:invertIfNegative val="0"/>
            <c:bubble3D val="0"/>
            <c:extLst>
              <c:ext xmlns:c16="http://schemas.microsoft.com/office/drawing/2014/chart" uri="{C3380CC4-5D6E-409C-BE32-E72D297353CC}">
                <c16:uniqueId val="{00000026-0F43-4786-B8C1-BD2AD147CA68}"/>
              </c:ext>
            </c:extLst>
          </c:dPt>
          <c:dPt>
            <c:idx val="43"/>
            <c:invertIfNegative val="0"/>
            <c:bubble3D val="0"/>
            <c:extLst>
              <c:ext xmlns:c16="http://schemas.microsoft.com/office/drawing/2014/chart" uri="{C3380CC4-5D6E-409C-BE32-E72D297353CC}">
                <c16:uniqueId val="{00000027-0F43-4786-B8C1-BD2AD147CA68}"/>
              </c:ext>
            </c:extLst>
          </c:dPt>
          <c:dPt>
            <c:idx val="47"/>
            <c:invertIfNegative val="0"/>
            <c:bubble3D val="0"/>
            <c:extLst>
              <c:ext xmlns:c16="http://schemas.microsoft.com/office/drawing/2014/chart" uri="{C3380CC4-5D6E-409C-BE32-E72D297353CC}">
                <c16:uniqueId val="{00000028-0F43-4786-B8C1-BD2AD147CA68}"/>
              </c:ext>
            </c:extLst>
          </c:dPt>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CccPage!$A$2:$A$17</c:f>
              <c:strCache>
                <c:ptCount val="16"/>
                <c:pt idx="0">
                  <c:v>LAMB WESTON HOLDINGS</c:v>
                </c:pt>
                <c:pt idx="1">
                  <c:v>HERSHEY</c:v>
                </c:pt>
                <c:pt idx="2">
                  <c:v>HAIN CELESTIAL GROUP</c:v>
                </c:pt>
                <c:pt idx="3">
                  <c:v>MCCORMICK &amp; CO INC</c:v>
                </c:pt>
                <c:pt idx="4">
                  <c:v>HORMEL FOODS</c:v>
                </c:pt>
                <c:pt idx="5">
                  <c:v>TYSON FOODS INC</c:v>
                </c:pt>
                <c:pt idx="6">
                  <c:v>J M SMUCKER</c:v>
                </c:pt>
                <c:pt idx="7">
                  <c:v>PILGRIMS PRIDE</c:v>
                </c:pt>
                <c:pt idx="8">
                  <c:v>CONAGRA BRANDS INC</c:v>
                </c:pt>
                <c:pt idx="9">
                  <c:v>DANONE</c:v>
                </c:pt>
                <c:pt idx="10">
                  <c:v>CAMPBELL SOUP</c:v>
                </c:pt>
                <c:pt idx="11">
                  <c:v>BRF SA</c:v>
                </c:pt>
                <c:pt idx="12">
                  <c:v>KELLOGG</c:v>
                </c:pt>
                <c:pt idx="13">
                  <c:v>KRAFT HEINZ</c:v>
                </c:pt>
                <c:pt idx="14">
                  <c:v>GENERAL MILLS INC</c:v>
                </c:pt>
                <c:pt idx="15">
                  <c:v>MONDELEZ</c:v>
                </c:pt>
              </c:strCache>
            </c:strRef>
          </c:cat>
          <c:val>
            <c:numRef>
              <c:f>CccPage!$B$2:$B$17</c:f>
              <c:numCache>
                <c:formatCode>0</c:formatCode>
                <c:ptCount val="16"/>
                <c:pt idx="0">
                  <c:v>63</c:v>
                </c:pt>
                <c:pt idx="1">
                  <c:v>49</c:v>
                </c:pt>
                <c:pt idx="2">
                  <c:v>48</c:v>
                </c:pt>
                <c:pt idx="3">
                  <c:v>43</c:v>
                </c:pt>
                <c:pt idx="4">
                  <c:v>43</c:v>
                </c:pt>
                <c:pt idx="5">
                  <c:v>38</c:v>
                </c:pt>
                <c:pt idx="6">
                  <c:v>34</c:v>
                </c:pt>
                <c:pt idx="7">
                  <c:v>30</c:v>
                </c:pt>
                <c:pt idx="8">
                  <c:v>22</c:v>
                </c:pt>
                <c:pt idx="9">
                  <c:v>22</c:v>
                </c:pt>
                <c:pt idx="10">
                  <c:v>13</c:v>
                </c:pt>
                <c:pt idx="11">
                  <c:v>12</c:v>
                </c:pt>
                <c:pt idx="12">
                  <c:v>-6</c:v>
                </c:pt>
                <c:pt idx="13">
                  <c:v>-15</c:v>
                </c:pt>
                <c:pt idx="14">
                  <c:v>-24</c:v>
                </c:pt>
                <c:pt idx="15">
                  <c:v>-44</c:v>
                </c:pt>
              </c:numCache>
            </c:numRef>
          </c:val>
          <c:extLst>
            <c:ext xmlns:c16="http://schemas.microsoft.com/office/drawing/2014/chart" uri="{C3380CC4-5D6E-409C-BE32-E72D297353CC}">
              <c16:uniqueId val="{00000029-0F43-4786-B8C1-BD2AD147CA68}"/>
            </c:ext>
          </c:extLst>
        </c:ser>
        <c:dLbls>
          <c:dLblPos val="outEnd"/>
          <c:showLegendKey val="0"/>
          <c:showVal val="1"/>
          <c:showCatName val="0"/>
          <c:showSerName val="0"/>
          <c:showPercent val="0"/>
          <c:showBubbleSize val="0"/>
        </c:dLbls>
        <c:gapWidth val="41"/>
        <c:axId val="730021376"/>
        <c:axId val="730153536"/>
      </c:barChart>
      <c:catAx>
        <c:axId val="730021376"/>
        <c:scaling>
          <c:orientation val="maxMin"/>
        </c:scaling>
        <c:delete val="0"/>
        <c:axPos val="l"/>
        <c:numFmt formatCode="General" sourceLinked="0"/>
        <c:majorTickMark val="out"/>
        <c:minorTickMark val="none"/>
        <c:tickLblPos val="low"/>
        <c:spPr>
          <a:ln>
            <a:solidFill>
              <a:schemeClr val="bg1">
                <a:lumMod val="50000"/>
              </a:schemeClr>
            </a:solidFill>
          </a:ln>
        </c:spPr>
        <c:txPr>
          <a:bodyPr rot="0" vert="horz" anchor="b" anchorCtr="0"/>
          <a:lstStyle/>
          <a:p>
            <a:pPr>
              <a:defRPr>
                <a:solidFill>
                  <a:srgbClr val="646464"/>
                </a:solidFill>
              </a:defRPr>
            </a:pPr>
            <a:endParaRPr lang="en-US"/>
          </a:p>
        </c:txPr>
        <c:crossAx val="730153536"/>
        <c:crosses val="autoZero"/>
        <c:auto val="0"/>
        <c:lblAlgn val="ctr"/>
        <c:lblOffset val="100"/>
        <c:noMultiLvlLbl val="0"/>
      </c:catAx>
      <c:valAx>
        <c:axId val="730153536"/>
        <c:scaling>
          <c:orientation val="minMax"/>
        </c:scaling>
        <c:delete val="1"/>
        <c:axPos val="t"/>
        <c:numFmt formatCode="0" sourceLinked="1"/>
        <c:majorTickMark val="out"/>
        <c:minorTickMark val="none"/>
        <c:tickLblPos val="nextTo"/>
        <c:crossAx val="7300213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7833222582544399"/>
          <c:h val="1"/>
        </c:manualLayout>
      </c:layout>
      <c:barChart>
        <c:barDir val="bar"/>
        <c:grouping val="clustered"/>
        <c:varyColors val="0"/>
        <c:ser>
          <c:idx val="0"/>
          <c:order val="0"/>
          <c:tx>
            <c:strRef>
              <c:f>DsoPage!$B$1</c:f>
              <c:strCache>
                <c:ptCount val="1"/>
              </c:strCache>
            </c:strRef>
          </c:tx>
          <c:spPr>
            <a:solidFill>
              <a:srgbClr val="002B49"/>
            </a:solidFill>
            <a:ln>
              <a:solidFill>
                <a:srgbClr val="002B49"/>
              </a:solidFill>
            </a:ln>
            <a:effectLst/>
          </c:spPr>
          <c:invertIfNegative val="0"/>
          <c:dPt>
            <c:idx val="0"/>
            <c:invertIfNegative val="0"/>
            <c:bubble3D val="0"/>
            <c:extLst>
              <c:ext xmlns:c16="http://schemas.microsoft.com/office/drawing/2014/chart" uri="{C3380CC4-5D6E-409C-BE32-E72D297353CC}">
                <c16:uniqueId val="{00000000-2F37-4202-8D97-3C3D0553A892}"/>
              </c:ext>
            </c:extLst>
          </c:dPt>
          <c:dPt>
            <c:idx val="1"/>
            <c:invertIfNegative val="0"/>
            <c:bubble3D val="0"/>
            <c:extLst>
              <c:ext xmlns:c16="http://schemas.microsoft.com/office/drawing/2014/chart" uri="{C3380CC4-5D6E-409C-BE32-E72D297353CC}">
                <c16:uniqueId val="{00000001-2F37-4202-8D97-3C3D0553A892}"/>
              </c:ext>
            </c:extLst>
          </c:dPt>
          <c:dPt>
            <c:idx val="2"/>
            <c:invertIfNegative val="0"/>
            <c:bubble3D val="0"/>
            <c:extLst>
              <c:ext xmlns:c16="http://schemas.microsoft.com/office/drawing/2014/chart" uri="{C3380CC4-5D6E-409C-BE32-E72D297353CC}">
                <c16:uniqueId val="{00000002-2F37-4202-8D97-3C3D0553A892}"/>
              </c:ext>
            </c:extLst>
          </c:dPt>
          <c:dPt>
            <c:idx val="3"/>
            <c:invertIfNegative val="0"/>
            <c:bubble3D val="0"/>
            <c:extLst>
              <c:ext xmlns:c16="http://schemas.microsoft.com/office/drawing/2014/chart" uri="{C3380CC4-5D6E-409C-BE32-E72D297353CC}">
                <c16:uniqueId val="{00000003-2F37-4202-8D97-3C3D0553A892}"/>
              </c:ext>
            </c:extLst>
          </c:dPt>
          <c:dPt>
            <c:idx val="4"/>
            <c:invertIfNegative val="0"/>
            <c:bubble3D val="0"/>
            <c:extLst>
              <c:ext xmlns:c16="http://schemas.microsoft.com/office/drawing/2014/chart" uri="{C3380CC4-5D6E-409C-BE32-E72D297353CC}">
                <c16:uniqueId val="{00000004-2F37-4202-8D97-3C3D0553A892}"/>
              </c:ext>
            </c:extLst>
          </c:dPt>
          <c:dPt>
            <c:idx val="5"/>
            <c:invertIfNegative val="0"/>
            <c:bubble3D val="0"/>
            <c:spPr>
              <a:solidFill>
                <a:srgbClr val="FFC000"/>
              </a:solidFill>
              <a:ln>
                <a:solidFill>
                  <a:srgbClr val="FFC000"/>
                </a:solidFill>
              </a:ln>
              <a:effectLst/>
            </c:spPr>
            <c:extLst>
              <c:ext xmlns:c16="http://schemas.microsoft.com/office/drawing/2014/chart" uri="{C3380CC4-5D6E-409C-BE32-E72D297353CC}">
                <c16:uniqueId val="{00000006-2F37-4202-8D97-3C3D0553A892}"/>
              </c:ext>
            </c:extLst>
          </c:dPt>
          <c:dPt>
            <c:idx val="6"/>
            <c:invertIfNegative val="0"/>
            <c:bubble3D val="0"/>
            <c:spPr>
              <a:solidFill>
                <a:srgbClr val="FFC000"/>
              </a:solidFill>
              <a:ln>
                <a:solidFill>
                  <a:srgbClr val="FFC000"/>
                </a:solidFill>
              </a:ln>
              <a:effectLst/>
            </c:spPr>
            <c:extLst>
              <c:ext xmlns:c16="http://schemas.microsoft.com/office/drawing/2014/chart" uri="{C3380CC4-5D6E-409C-BE32-E72D297353CC}">
                <c16:uniqueId val="{00000008-2F37-4202-8D97-3C3D0553A892}"/>
              </c:ext>
            </c:extLst>
          </c:dPt>
          <c:dPt>
            <c:idx val="7"/>
            <c:invertIfNegative val="0"/>
            <c:bubble3D val="0"/>
            <c:extLst>
              <c:ext xmlns:c16="http://schemas.microsoft.com/office/drawing/2014/chart" uri="{C3380CC4-5D6E-409C-BE32-E72D297353CC}">
                <c16:uniqueId val="{0000000A-2F37-4202-8D97-3C3D0553A892}"/>
              </c:ext>
            </c:extLst>
          </c:dPt>
          <c:dPt>
            <c:idx val="8"/>
            <c:invertIfNegative val="0"/>
            <c:bubble3D val="0"/>
            <c:extLst>
              <c:ext xmlns:c16="http://schemas.microsoft.com/office/drawing/2014/chart" uri="{C3380CC4-5D6E-409C-BE32-E72D297353CC}">
                <c16:uniqueId val="{0000000B-2F37-4202-8D97-3C3D0553A892}"/>
              </c:ext>
            </c:extLst>
          </c:dPt>
          <c:dPt>
            <c:idx val="9"/>
            <c:invertIfNegative val="0"/>
            <c:bubble3D val="0"/>
            <c:extLst>
              <c:ext xmlns:c16="http://schemas.microsoft.com/office/drawing/2014/chart" uri="{C3380CC4-5D6E-409C-BE32-E72D297353CC}">
                <c16:uniqueId val="{0000000C-2F37-4202-8D97-3C3D0553A892}"/>
              </c:ext>
            </c:extLst>
          </c:dPt>
          <c:dPt>
            <c:idx val="10"/>
            <c:invertIfNegative val="0"/>
            <c:bubble3D val="0"/>
            <c:extLst>
              <c:ext xmlns:c16="http://schemas.microsoft.com/office/drawing/2014/chart" uri="{C3380CC4-5D6E-409C-BE32-E72D297353CC}">
                <c16:uniqueId val="{0000000D-2F37-4202-8D97-3C3D0553A892}"/>
              </c:ext>
            </c:extLst>
          </c:dPt>
          <c:dPt>
            <c:idx val="11"/>
            <c:invertIfNegative val="0"/>
            <c:bubble3D val="0"/>
            <c:extLst>
              <c:ext xmlns:c16="http://schemas.microsoft.com/office/drawing/2014/chart" uri="{C3380CC4-5D6E-409C-BE32-E72D297353CC}">
                <c16:uniqueId val="{0000000E-2F37-4202-8D97-3C3D0553A892}"/>
              </c:ext>
            </c:extLst>
          </c:dPt>
          <c:dPt>
            <c:idx val="16"/>
            <c:invertIfNegative val="0"/>
            <c:bubble3D val="0"/>
            <c:extLst>
              <c:ext xmlns:c16="http://schemas.microsoft.com/office/drawing/2014/chart" uri="{C3380CC4-5D6E-409C-BE32-E72D297353CC}">
                <c16:uniqueId val="{0000000F-2F37-4202-8D97-3C3D0553A892}"/>
              </c:ext>
            </c:extLst>
          </c:dPt>
          <c:dPt>
            <c:idx val="17"/>
            <c:invertIfNegative val="0"/>
            <c:bubble3D val="0"/>
            <c:extLst>
              <c:ext xmlns:c16="http://schemas.microsoft.com/office/drawing/2014/chart" uri="{C3380CC4-5D6E-409C-BE32-E72D297353CC}">
                <c16:uniqueId val="{00000010-2F37-4202-8D97-3C3D0553A892}"/>
              </c:ext>
            </c:extLst>
          </c:dPt>
          <c:dPt>
            <c:idx val="18"/>
            <c:invertIfNegative val="0"/>
            <c:bubble3D val="0"/>
            <c:extLst>
              <c:ext xmlns:c16="http://schemas.microsoft.com/office/drawing/2014/chart" uri="{C3380CC4-5D6E-409C-BE32-E72D297353CC}">
                <c16:uniqueId val="{00000011-2F37-4202-8D97-3C3D0553A892}"/>
              </c:ext>
            </c:extLst>
          </c:dPt>
          <c:dPt>
            <c:idx val="19"/>
            <c:invertIfNegative val="0"/>
            <c:bubble3D val="0"/>
            <c:extLst>
              <c:ext xmlns:c16="http://schemas.microsoft.com/office/drawing/2014/chart" uri="{C3380CC4-5D6E-409C-BE32-E72D297353CC}">
                <c16:uniqueId val="{00000012-2F37-4202-8D97-3C3D0553A892}"/>
              </c:ext>
            </c:extLst>
          </c:dPt>
          <c:dPt>
            <c:idx val="20"/>
            <c:invertIfNegative val="0"/>
            <c:bubble3D val="0"/>
            <c:extLst>
              <c:ext xmlns:c16="http://schemas.microsoft.com/office/drawing/2014/chart" uri="{C3380CC4-5D6E-409C-BE32-E72D297353CC}">
                <c16:uniqueId val="{00000013-2F37-4202-8D97-3C3D0553A892}"/>
              </c:ext>
            </c:extLst>
          </c:dPt>
          <c:dPt>
            <c:idx val="21"/>
            <c:invertIfNegative val="0"/>
            <c:bubble3D val="0"/>
            <c:extLst>
              <c:ext xmlns:c16="http://schemas.microsoft.com/office/drawing/2014/chart" uri="{C3380CC4-5D6E-409C-BE32-E72D297353CC}">
                <c16:uniqueId val="{00000014-2F37-4202-8D97-3C3D0553A892}"/>
              </c:ext>
            </c:extLst>
          </c:dPt>
          <c:dPt>
            <c:idx val="22"/>
            <c:invertIfNegative val="0"/>
            <c:bubble3D val="0"/>
            <c:extLst>
              <c:ext xmlns:c16="http://schemas.microsoft.com/office/drawing/2014/chart" uri="{C3380CC4-5D6E-409C-BE32-E72D297353CC}">
                <c16:uniqueId val="{00000015-2F37-4202-8D97-3C3D0553A892}"/>
              </c:ext>
            </c:extLst>
          </c:dPt>
          <c:dPt>
            <c:idx val="23"/>
            <c:invertIfNegative val="0"/>
            <c:bubble3D val="0"/>
            <c:extLst>
              <c:ext xmlns:c16="http://schemas.microsoft.com/office/drawing/2014/chart" uri="{C3380CC4-5D6E-409C-BE32-E72D297353CC}">
                <c16:uniqueId val="{00000016-2F37-4202-8D97-3C3D0553A892}"/>
              </c:ext>
            </c:extLst>
          </c:dPt>
          <c:dPt>
            <c:idx val="24"/>
            <c:invertIfNegative val="0"/>
            <c:bubble3D val="0"/>
            <c:extLst>
              <c:ext xmlns:c16="http://schemas.microsoft.com/office/drawing/2014/chart" uri="{C3380CC4-5D6E-409C-BE32-E72D297353CC}">
                <c16:uniqueId val="{00000017-2F37-4202-8D97-3C3D0553A892}"/>
              </c:ext>
            </c:extLst>
          </c:dPt>
          <c:dPt>
            <c:idx val="26"/>
            <c:invertIfNegative val="0"/>
            <c:bubble3D val="0"/>
            <c:extLst>
              <c:ext xmlns:c16="http://schemas.microsoft.com/office/drawing/2014/chart" uri="{C3380CC4-5D6E-409C-BE32-E72D297353CC}">
                <c16:uniqueId val="{00000018-2F37-4202-8D97-3C3D0553A892}"/>
              </c:ext>
            </c:extLst>
          </c:dPt>
          <c:dPt>
            <c:idx val="27"/>
            <c:invertIfNegative val="0"/>
            <c:bubble3D val="0"/>
            <c:extLst>
              <c:ext xmlns:c16="http://schemas.microsoft.com/office/drawing/2014/chart" uri="{C3380CC4-5D6E-409C-BE32-E72D297353CC}">
                <c16:uniqueId val="{00000019-2F37-4202-8D97-3C3D0553A892}"/>
              </c:ext>
            </c:extLst>
          </c:dPt>
          <c:dPt>
            <c:idx val="28"/>
            <c:invertIfNegative val="0"/>
            <c:bubble3D val="0"/>
            <c:extLst>
              <c:ext xmlns:c16="http://schemas.microsoft.com/office/drawing/2014/chart" uri="{C3380CC4-5D6E-409C-BE32-E72D297353CC}">
                <c16:uniqueId val="{0000001A-2F37-4202-8D97-3C3D0553A892}"/>
              </c:ext>
            </c:extLst>
          </c:dPt>
          <c:dPt>
            <c:idx val="29"/>
            <c:invertIfNegative val="0"/>
            <c:bubble3D val="0"/>
            <c:extLst>
              <c:ext xmlns:c16="http://schemas.microsoft.com/office/drawing/2014/chart" uri="{C3380CC4-5D6E-409C-BE32-E72D297353CC}">
                <c16:uniqueId val="{0000001B-2F37-4202-8D97-3C3D0553A892}"/>
              </c:ext>
            </c:extLst>
          </c:dPt>
          <c:dPt>
            <c:idx val="31"/>
            <c:invertIfNegative val="0"/>
            <c:bubble3D val="0"/>
            <c:extLst>
              <c:ext xmlns:c16="http://schemas.microsoft.com/office/drawing/2014/chart" uri="{C3380CC4-5D6E-409C-BE32-E72D297353CC}">
                <c16:uniqueId val="{0000001C-2F37-4202-8D97-3C3D0553A892}"/>
              </c:ext>
            </c:extLst>
          </c:dPt>
          <c:dPt>
            <c:idx val="32"/>
            <c:invertIfNegative val="0"/>
            <c:bubble3D val="0"/>
            <c:extLst>
              <c:ext xmlns:c16="http://schemas.microsoft.com/office/drawing/2014/chart" uri="{C3380CC4-5D6E-409C-BE32-E72D297353CC}">
                <c16:uniqueId val="{0000001D-2F37-4202-8D97-3C3D0553A892}"/>
              </c:ext>
            </c:extLst>
          </c:dPt>
          <c:dPt>
            <c:idx val="36"/>
            <c:invertIfNegative val="0"/>
            <c:bubble3D val="0"/>
            <c:extLst>
              <c:ext xmlns:c16="http://schemas.microsoft.com/office/drawing/2014/chart" uri="{C3380CC4-5D6E-409C-BE32-E72D297353CC}">
                <c16:uniqueId val="{0000001E-2F37-4202-8D97-3C3D0553A892}"/>
              </c:ext>
            </c:extLst>
          </c:dPt>
          <c:dPt>
            <c:idx val="37"/>
            <c:invertIfNegative val="0"/>
            <c:bubble3D val="0"/>
            <c:extLst>
              <c:ext xmlns:c16="http://schemas.microsoft.com/office/drawing/2014/chart" uri="{C3380CC4-5D6E-409C-BE32-E72D297353CC}">
                <c16:uniqueId val="{0000001F-2F37-4202-8D97-3C3D0553A892}"/>
              </c:ext>
            </c:extLst>
          </c:dPt>
          <c:dPt>
            <c:idx val="38"/>
            <c:invertIfNegative val="0"/>
            <c:bubble3D val="0"/>
            <c:extLst>
              <c:ext xmlns:c16="http://schemas.microsoft.com/office/drawing/2014/chart" uri="{C3380CC4-5D6E-409C-BE32-E72D297353CC}">
                <c16:uniqueId val="{00000020-2F37-4202-8D97-3C3D0553A892}"/>
              </c:ext>
            </c:extLst>
          </c:dPt>
          <c:dPt>
            <c:idx val="40"/>
            <c:invertIfNegative val="0"/>
            <c:bubble3D val="0"/>
            <c:extLst>
              <c:ext xmlns:c16="http://schemas.microsoft.com/office/drawing/2014/chart" uri="{C3380CC4-5D6E-409C-BE32-E72D297353CC}">
                <c16:uniqueId val="{00000021-2F37-4202-8D97-3C3D0553A892}"/>
              </c:ext>
            </c:extLst>
          </c:dPt>
          <c:dPt>
            <c:idx val="43"/>
            <c:invertIfNegative val="0"/>
            <c:bubble3D val="0"/>
            <c:extLst>
              <c:ext xmlns:c16="http://schemas.microsoft.com/office/drawing/2014/chart" uri="{C3380CC4-5D6E-409C-BE32-E72D297353CC}">
                <c16:uniqueId val="{00000022-2F37-4202-8D97-3C3D0553A892}"/>
              </c:ext>
            </c:extLst>
          </c:dPt>
          <c:dPt>
            <c:idx val="47"/>
            <c:invertIfNegative val="0"/>
            <c:bubble3D val="0"/>
            <c:extLst>
              <c:ext xmlns:c16="http://schemas.microsoft.com/office/drawing/2014/chart" uri="{C3380CC4-5D6E-409C-BE32-E72D297353CC}">
                <c16:uniqueId val="{00000023-2F37-4202-8D97-3C3D0553A892}"/>
              </c:ext>
            </c:extLst>
          </c:dPt>
          <c:dLbls>
            <c:numFmt formatCode="General"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DsoPage!$A$2:$A$13</c:f>
              <c:strCache>
                <c:ptCount val="12"/>
                <c:pt idx="0">
                  <c:v>Kellogg</c:v>
                </c:pt>
                <c:pt idx="1">
                  <c:v>Mondelez</c:v>
                </c:pt>
                <c:pt idx="2">
                  <c:v>Mccormick &amp; Co</c:v>
                </c:pt>
                <c:pt idx="3">
                  <c:v>General Mills</c:v>
                </c:pt>
                <c:pt idx="4">
                  <c:v>Hain Celestial Group</c:v>
                </c:pt>
                <c:pt idx="5">
                  <c:v>Kraft Heinz</c:v>
                </c:pt>
                <c:pt idx="6">
                  <c:v>Conagra Brands</c:v>
                </c:pt>
                <c:pt idx="7">
                  <c:v>Hershey</c:v>
                </c:pt>
                <c:pt idx="8">
                  <c:v>J M SMUCKER</c:v>
                </c:pt>
                <c:pt idx="9">
                  <c:v>Campbell Soup</c:v>
                </c:pt>
                <c:pt idx="10">
                  <c:v>Hormel Foods</c:v>
                </c:pt>
                <c:pt idx="11">
                  <c:v>Tyson Foods</c:v>
                </c:pt>
              </c:strCache>
            </c:strRef>
          </c:cat>
          <c:val>
            <c:numRef>
              <c:f>DsoPage!$B$2:$B$13</c:f>
              <c:numCache>
                <c:formatCode>0</c:formatCode>
                <c:ptCount val="12"/>
                <c:pt idx="0">
                  <c:v>42</c:v>
                </c:pt>
                <c:pt idx="1">
                  <c:v>41</c:v>
                </c:pt>
                <c:pt idx="2">
                  <c:v>34</c:v>
                </c:pt>
                <c:pt idx="3">
                  <c:v>33</c:v>
                </c:pt>
                <c:pt idx="4">
                  <c:v>30</c:v>
                </c:pt>
                <c:pt idx="5">
                  <c:v>29</c:v>
                </c:pt>
                <c:pt idx="6">
                  <c:v>28</c:v>
                </c:pt>
                <c:pt idx="7">
                  <c:v>26</c:v>
                </c:pt>
                <c:pt idx="8">
                  <c:v>26</c:v>
                </c:pt>
                <c:pt idx="9">
                  <c:v>24</c:v>
                </c:pt>
                <c:pt idx="10">
                  <c:v>22</c:v>
                </c:pt>
                <c:pt idx="11">
                  <c:v>19</c:v>
                </c:pt>
              </c:numCache>
            </c:numRef>
          </c:val>
          <c:extLst>
            <c:ext xmlns:c16="http://schemas.microsoft.com/office/drawing/2014/chart" uri="{C3380CC4-5D6E-409C-BE32-E72D297353CC}">
              <c16:uniqueId val="{00000024-2F37-4202-8D97-3C3D0553A892}"/>
            </c:ext>
          </c:extLst>
        </c:ser>
        <c:dLbls>
          <c:dLblPos val="outEnd"/>
          <c:showLegendKey val="0"/>
          <c:showVal val="1"/>
          <c:showCatName val="0"/>
          <c:showSerName val="0"/>
          <c:showPercent val="0"/>
          <c:showBubbleSize val="0"/>
        </c:dLbls>
        <c:gapWidth val="41"/>
        <c:axId val="730021376"/>
        <c:axId val="730153536"/>
      </c:barChart>
      <c:catAx>
        <c:axId val="730021376"/>
        <c:scaling>
          <c:orientation val="maxMin"/>
        </c:scaling>
        <c:delete val="0"/>
        <c:axPos val="l"/>
        <c:numFmt formatCode="General" sourceLinked="0"/>
        <c:majorTickMark val="out"/>
        <c:minorTickMark val="none"/>
        <c:tickLblPos val="low"/>
        <c:spPr>
          <a:ln>
            <a:solidFill>
              <a:schemeClr val="bg1">
                <a:lumMod val="50000"/>
              </a:schemeClr>
            </a:solidFill>
          </a:ln>
        </c:spPr>
        <c:txPr>
          <a:bodyPr rot="0" vert="horz" anchor="b" anchorCtr="0"/>
          <a:lstStyle/>
          <a:p>
            <a:pPr>
              <a:defRPr>
                <a:solidFill>
                  <a:srgbClr val="646464"/>
                </a:solidFill>
              </a:defRPr>
            </a:pPr>
            <a:endParaRPr lang="en-US"/>
          </a:p>
        </c:txPr>
        <c:crossAx val="730153536"/>
        <c:crosses val="autoZero"/>
        <c:auto val="0"/>
        <c:lblAlgn val="ctr"/>
        <c:lblOffset val="100"/>
        <c:noMultiLvlLbl val="0"/>
      </c:catAx>
      <c:valAx>
        <c:axId val="730153536"/>
        <c:scaling>
          <c:orientation val="minMax"/>
        </c:scaling>
        <c:delete val="1"/>
        <c:axPos val="t"/>
        <c:numFmt formatCode="0" sourceLinked="1"/>
        <c:majorTickMark val="out"/>
        <c:minorTickMark val="none"/>
        <c:tickLblPos val="nextTo"/>
        <c:crossAx val="7300213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7833222582544399"/>
          <c:h val="1"/>
        </c:manualLayout>
      </c:layout>
      <c:barChart>
        <c:barDir val="bar"/>
        <c:grouping val="clustered"/>
        <c:varyColors val="0"/>
        <c:ser>
          <c:idx val="0"/>
          <c:order val="0"/>
          <c:tx>
            <c:strRef>
              <c:f>DioPage!$B$1</c:f>
              <c:strCache>
                <c:ptCount val="1"/>
              </c:strCache>
            </c:strRef>
          </c:tx>
          <c:spPr>
            <a:solidFill>
              <a:srgbClr val="002B49"/>
            </a:solidFill>
            <a:ln>
              <a:solidFill>
                <a:srgbClr val="002B49"/>
              </a:solidFill>
            </a:ln>
            <a:effectLst/>
          </c:spPr>
          <c:invertIfNegative val="0"/>
          <c:dPt>
            <c:idx val="0"/>
            <c:invertIfNegative val="0"/>
            <c:bubble3D val="0"/>
            <c:extLst>
              <c:ext xmlns:c16="http://schemas.microsoft.com/office/drawing/2014/chart" uri="{C3380CC4-5D6E-409C-BE32-E72D297353CC}">
                <c16:uniqueId val="{00000000-FBFF-46A9-AC47-9B57C1FB2427}"/>
              </c:ext>
            </c:extLst>
          </c:dPt>
          <c:dPt>
            <c:idx val="1"/>
            <c:invertIfNegative val="0"/>
            <c:bubble3D val="0"/>
            <c:extLst>
              <c:ext xmlns:c16="http://schemas.microsoft.com/office/drawing/2014/chart" uri="{C3380CC4-5D6E-409C-BE32-E72D297353CC}">
                <c16:uniqueId val="{00000001-FBFF-46A9-AC47-9B57C1FB2427}"/>
              </c:ext>
            </c:extLst>
          </c:dPt>
          <c:dPt>
            <c:idx val="2"/>
            <c:invertIfNegative val="0"/>
            <c:bubble3D val="0"/>
            <c:extLst>
              <c:ext xmlns:c16="http://schemas.microsoft.com/office/drawing/2014/chart" uri="{C3380CC4-5D6E-409C-BE32-E72D297353CC}">
                <c16:uniqueId val="{00000002-FBFF-46A9-AC47-9B57C1FB2427}"/>
              </c:ext>
            </c:extLst>
          </c:dPt>
          <c:dPt>
            <c:idx val="3"/>
            <c:invertIfNegative val="0"/>
            <c:bubble3D val="0"/>
            <c:extLst>
              <c:ext xmlns:c16="http://schemas.microsoft.com/office/drawing/2014/chart" uri="{C3380CC4-5D6E-409C-BE32-E72D297353CC}">
                <c16:uniqueId val="{00000003-FBFF-46A9-AC47-9B57C1FB2427}"/>
              </c:ext>
            </c:extLst>
          </c:dPt>
          <c:dPt>
            <c:idx val="4"/>
            <c:invertIfNegative val="0"/>
            <c:bubble3D val="0"/>
            <c:extLst>
              <c:ext xmlns:c16="http://schemas.microsoft.com/office/drawing/2014/chart" uri="{C3380CC4-5D6E-409C-BE32-E72D297353CC}">
                <c16:uniqueId val="{00000004-FBFF-46A9-AC47-9B57C1FB2427}"/>
              </c:ext>
            </c:extLst>
          </c:dPt>
          <c:dPt>
            <c:idx val="5"/>
            <c:invertIfNegative val="0"/>
            <c:bubble3D val="0"/>
            <c:spPr>
              <a:solidFill>
                <a:srgbClr val="FFC000"/>
              </a:solidFill>
              <a:ln>
                <a:solidFill>
                  <a:srgbClr val="FFC000"/>
                </a:solidFill>
              </a:ln>
              <a:effectLst/>
            </c:spPr>
            <c:extLst>
              <c:ext xmlns:c16="http://schemas.microsoft.com/office/drawing/2014/chart" uri="{C3380CC4-5D6E-409C-BE32-E72D297353CC}">
                <c16:uniqueId val="{00000006-FBFF-46A9-AC47-9B57C1FB2427}"/>
              </c:ext>
            </c:extLst>
          </c:dPt>
          <c:dPt>
            <c:idx val="6"/>
            <c:invertIfNegative val="0"/>
            <c:bubble3D val="0"/>
            <c:spPr>
              <a:solidFill>
                <a:srgbClr val="FFC000"/>
              </a:solidFill>
              <a:ln>
                <a:solidFill>
                  <a:srgbClr val="FFC000"/>
                </a:solidFill>
              </a:ln>
              <a:effectLst/>
            </c:spPr>
            <c:extLst>
              <c:ext xmlns:c16="http://schemas.microsoft.com/office/drawing/2014/chart" uri="{C3380CC4-5D6E-409C-BE32-E72D297353CC}">
                <c16:uniqueId val="{00000008-FBFF-46A9-AC47-9B57C1FB2427}"/>
              </c:ext>
            </c:extLst>
          </c:dPt>
          <c:dPt>
            <c:idx val="7"/>
            <c:invertIfNegative val="0"/>
            <c:bubble3D val="0"/>
            <c:extLst>
              <c:ext xmlns:c16="http://schemas.microsoft.com/office/drawing/2014/chart" uri="{C3380CC4-5D6E-409C-BE32-E72D297353CC}">
                <c16:uniqueId val="{0000000A-FBFF-46A9-AC47-9B57C1FB2427}"/>
              </c:ext>
            </c:extLst>
          </c:dPt>
          <c:dPt>
            <c:idx val="8"/>
            <c:invertIfNegative val="0"/>
            <c:bubble3D val="0"/>
            <c:extLst>
              <c:ext xmlns:c16="http://schemas.microsoft.com/office/drawing/2014/chart" uri="{C3380CC4-5D6E-409C-BE32-E72D297353CC}">
                <c16:uniqueId val="{0000000B-FBFF-46A9-AC47-9B57C1FB2427}"/>
              </c:ext>
            </c:extLst>
          </c:dPt>
          <c:dPt>
            <c:idx val="9"/>
            <c:invertIfNegative val="0"/>
            <c:bubble3D val="0"/>
            <c:extLst>
              <c:ext xmlns:c16="http://schemas.microsoft.com/office/drawing/2014/chart" uri="{C3380CC4-5D6E-409C-BE32-E72D297353CC}">
                <c16:uniqueId val="{0000000C-FBFF-46A9-AC47-9B57C1FB2427}"/>
              </c:ext>
            </c:extLst>
          </c:dPt>
          <c:dPt>
            <c:idx val="10"/>
            <c:invertIfNegative val="0"/>
            <c:bubble3D val="0"/>
            <c:extLst>
              <c:ext xmlns:c16="http://schemas.microsoft.com/office/drawing/2014/chart" uri="{C3380CC4-5D6E-409C-BE32-E72D297353CC}">
                <c16:uniqueId val="{0000000D-FBFF-46A9-AC47-9B57C1FB2427}"/>
              </c:ext>
            </c:extLst>
          </c:dPt>
          <c:dPt>
            <c:idx val="11"/>
            <c:invertIfNegative val="0"/>
            <c:bubble3D val="0"/>
            <c:extLst>
              <c:ext xmlns:c16="http://schemas.microsoft.com/office/drawing/2014/chart" uri="{C3380CC4-5D6E-409C-BE32-E72D297353CC}">
                <c16:uniqueId val="{0000000E-FBFF-46A9-AC47-9B57C1FB2427}"/>
              </c:ext>
            </c:extLst>
          </c:dPt>
          <c:dPt>
            <c:idx val="16"/>
            <c:invertIfNegative val="0"/>
            <c:bubble3D val="0"/>
            <c:extLst>
              <c:ext xmlns:c16="http://schemas.microsoft.com/office/drawing/2014/chart" uri="{C3380CC4-5D6E-409C-BE32-E72D297353CC}">
                <c16:uniqueId val="{0000000F-FBFF-46A9-AC47-9B57C1FB2427}"/>
              </c:ext>
            </c:extLst>
          </c:dPt>
          <c:dPt>
            <c:idx val="17"/>
            <c:invertIfNegative val="0"/>
            <c:bubble3D val="0"/>
            <c:extLst>
              <c:ext xmlns:c16="http://schemas.microsoft.com/office/drawing/2014/chart" uri="{C3380CC4-5D6E-409C-BE32-E72D297353CC}">
                <c16:uniqueId val="{00000010-FBFF-46A9-AC47-9B57C1FB2427}"/>
              </c:ext>
            </c:extLst>
          </c:dPt>
          <c:dPt>
            <c:idx val="18"/>
            <c:invertIfNegative val="0"/>
            <c:bubble3D val="0"/>
            <c:extLst>
              <c:ext xmlns:c16="http://schemas.microsoft.com/office/drawing/2014/chart" uri="{C3380CC4-5D6E-409C-BE32-E72D297353CC}">
                <c16:uniqueId val="{00000011-FBFF-46A9-AC47-9B57C1FB2427}"/>
              </c:ext>
            </c:extLst>
          </c:dPt>
          <c:dPt>
            <c:idx val="19"/>
            <c:invertIfNegative val="0"/>
            <c:bubble3D val="0"/>
            <c:extLst>
              <c:ext xmlns:c16="http://schemas.microsoft.com/office/drawing/2014/chart" uri="{C3380CC4-5D6E-409C-BE32-E72D297353CC}">
                <c16:uniqueId val="{00000012-FBFF-46A9-AC47-9B57C1FB2427}"/>
              </c:ext>
            </c:extLst>
          </c:dPt>
          <c:dPt>
            <c:idx val="20"/>
            <c:invertIfNegative val="0"/>
            <c:bubble3D val="0"/>
            <c:extLst>
              <c:ext xmlns:c16="http://schemas.microsoft.com/office/drawing/2014/chart" uri="{C3380CC4-5D6E-409C-BE32-E72D297353CC}">
                <c16:uniqueId val="{00000013-FBFF-46A9-AC47-9B57C1FB2427}"/>
              </c:ext>
            </c:extLst>
          </c:dPt>
          <c:dPt>
            <c:idx val="21"/>
            <c:invertIfNegative val="0"/>
            <c:bubble3D val="0"/>
            <c:extLst>
              <c:ext xmlns:c16="http://schemas.microsoft.com/office/drawing/2014/chart" uri="{C3380CC4-5D6E-409C-BE32-E72D297353CC}">
                <c16:uniqueId val="{00000014-FBFF-46A9-AC47-9B57C1FB2427}"/>
              </c:ext>
            </c:extLst>
          </c:dPt>
          <c:dPt>
            <c:idx val="22"/>
            <c:invertIfNegative val="0"/>
            <c:bubble3D val="0"/>
            <c:extLst>
              <c:ext xmlns:c16="http://schemas.microsoft.com/office/drawing/2014/chart" uri="{C3380CC4-5D6E-409C-BE32-E72D297353CC}">
                <c16:uniqueId val="{00000015-FBFF-46A9-AC47-9B57C1FB2427}"/>
              </c:ext>
            </c:extLst>
          </c:dPt>
          <c:dPt>
            <c:idx val="23"/>
            <c:invertIfNegative val="0"/>
            <c:bubble3D val="0"/>
            <c:extLst>
              <c:ext xmlns:c16="http://schemas.microsoft.com/office/drawing/2014/chart" uri="{C3380CC4-5D6E-409C-BE32-E72D297353CC}">
                <c16:uniqueId val="{00000016-FBFF-46A9-AC47-9B57C1FB2427}"/>
              </c:ext>
            </c:extLst>
          </c:dPt>
          <c:dPt>
            <c:idx val="24"/>
            <c:invertIfNegative val="0"/>
            <c:bubble3D val="0"/>
            <c:extLst>
              <c:ext xmlns:c16="http://schemas.microsoft.com/office/drawing/2014/chart" uri="{C3380CC4-5D6E-409C-BE32-E72D297353CC}">
                <c16:uniqueId val="{00000017-FBFF-46A9-AC47-9B57C1FB2427}"/>
              </c:ext>
            </c:extLst>
          </c:dPt>
          <c:dPt>
            <c:idx val="26"/>
            <c:invertIfNegative val="0"/>
            <c:bubble3D val="0"/>
            <c:extLst>
              <c:ext xmlns:c16="http://schemas.microsoft.com/office/drawing/2014/chart" uri="{C3380CC4-5D6E-409C-BE32-E72D297353CC}">
                <c16:uniqueId val="{00000018-FBFF-46A9-AC47-9B57C1FB2427}"/>
              </c:ext>
            </c:extLst>
          </c:dPt>
          <c:dPt>
            <c:idx val="27"/>
            <c:invertIfNegative val="0"/>
            <c:bubble3D val="0"/>
            <c:extLst>
              <c:ext xmlns:c16="http://schemas.microsoft.com/office/drawing/2014/chart" uri="{C3380CC4-5D6E-409C-BE32-E72D297353CC}">
                <c16:uniqueId val="{00000019-FBFF-46A9-AC47-9B57C1FB2427}"/>
              </c:ext>
            </c:extLst>
          </c:dPt>
          <c:dPt>
            <c:idx val="28"/>
            <c:invertIfNegative val="0"/>
            <c:bubble3D val="0"/>
            <c:extLst>
              <c:ext xmlns:c16="http://schemas.microsoft.com/office/drawing/2014/chart" uri="{C3380CC4-5D6E-409C-BE32-E72D297353CC}">
                <c16:uniqueId val="{0000001A-FBFF-46A9-AC47-9B57C1FB2427}"/>
              </c:ext>
            </c:extLst>
          </c:dPt>
          <c:dPt>
            <c:idx val="29"/>
            <c:invertIfNegative val="0"/>
            <c:bubble3D val="0"/>
            <c:extLst>
              <c:ext xmlns:c16="http://schemas.microsoft.com/office/drawing/2014/chart" uri="{C3380CC4-5D6E-409C-BE32-E72D297353CC}">
                <c16:uniqueId val="{0000001B-FBFF-46A9-AC47-9B57C1FB2427}"/>
              </c:ext>
            </c:extLst>
          </c:dPt>
          <c:dPt>
            <c:idx val="31"/>
            <c:invertIfNegative val="0"/>
            <c:bubble3D val="0"/>
            <c:extLst>
              <c:ext xmlns:c16="http://schemas.microsoft.com/office/drawing/2014/chart" uri="{C3380CC4-5D6E-409C-BE32-E72D297353CC}">
                <c16:uniqueId val="{0000001C-FBFF-46A9-AC47-9B57C1FB2427}"/>
              </c:ext>
            </c:extLst>
          </c:dPt>
          <c:dPt>
            <c:idx val="32"/>
            <c:invertIfNegative val="0"/>
            <c:bubble3D val="0"/>
            <c:extLst>
              <c:ext xmlns:c16="http://schemas.microsoft.com/office/drawing/2014/chart" uri="{C3380CC4-5D6E-409C-BE32-E72D297353CC}">
                <c16:uniqueId val="{0000001D-FBFF-46A9-AC47-9B57C1FB2427}"/>
              </c:ext>
            </c:extLst>
          </c:dPt>
          <c:dPt>
            <c:idx val="36"/>
            <c:invertIfNegative val="0"/>
            <c:bubble3D val="0"/>
            <c:extLst>
              <c:ext xmlns:c16="http://schemas.microsoft.com/office/drawing/2014/chart" uri="{C3380CC4-5D6E-409C-BE32-E72D297353CC}">
                <c16:uniqueId val="{0000001E-FBFF-46A9-AC47-9B57C1FB2427}"/>
              </c:ext>
            </c:extLst>
          </c:dPt>
          <c:dPt>
            <c:idx val="37"/>
            <c:invertIfNegative val="0"/>
            <c:bubble3D val="0"/>
            <c:extLst>
              <c:ext xmlns:c16="http://schemas.microsoft.com/office/drawing/2014/chart" uri="{C3380CC4-5D6E-409C-BE32-E72D297353CC}">
                <c16:uniqueId val="{0000001F-FBFF-46A9-AC47-9B57C1FB2427}"/>
              </c:ext>
            </c:extLst>
          </c:dPt>
          <c:dPt>
            <c:idx val="38"/>
            <c:invertIfNegative val="0"/>
            <c:bubble3D val="0"/>
            <c:extLst>
              <c:ext xmlns:c16="http://schemas.microsoft.com/office/drawing/2014/chart" uri="{C3380CC4-5D6E-409C-BE32-E72D297353CC}">
                <c16:uniqueId val="{00000020-FBFF-46A9-AC47-9B57C1FB2427}"/>
              </c:ext>
            </c:extLst>
          </c:dPt>
          <c:dPt>
            <c:idx val="40"/>
            <c:invertIfNegative val="0"/>
            <c:bubble3D val="0"/>
            <c:extLst>
              <c:ext xmlns:c16="http://schemas.microsoft.com/office/drawing/2014/chart" uri="{C3380CC4-5D6E-409C-BE32-E72D297353CC}">
                <c16:uniqueId val="{00000021-FBFF-46A9-AC47-9B57C1FB2427}"/>
              </c:ext>
            </c:extLst>
          </c:dPt>
          <c:dPt>
            <c:idx val="43"/>
            <c:invertIfNegative val="0"/>
            <c:bubble3D val="0"/>
            <c:extLst>
              <c:ext xmlns:c16="http://schemas.microsoft.com/office/drawing/2014/chart" uri="{C3380CC4-5D6E-409C-BE32-E72D297353CC}">
                <c16:uniqueId val="{00000022-FBFF-46A9-AC47-9B57C1FB2427}"/>
              </c:ext>
            </c:extLst>
          </c:dPt>
          <c:dPt>
            <c:idx val="47"/>
            <c:invertIfNegative val="0"/>
            <c:bubble3D val="0"/>
            <c:extLst>
              <c:ext xmlns:c16="http://schemas.microsoft.com/office/drawing/2014/chart" uri="{C3380CC4-5D6E-409C-BE32-E72D297353CC}">
                <c16:uniqueId val="{00000023-FBFF-46A9-AC47-9B57C1FB2427}"/>
              </c:ext>
            </c:extLst>
          </c:dPt>
          <c:dLbls>
            <c:numFmt formatCode="General"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DioPage!$A$2:$A$13</c:f>
              <c:strCache>
                <c:ptCount val="12"/>
                <c:pt idx="0">
                  <c:v>Mccormick &amp; Co</c:v>
                </c:pt>
                <c:pt idx="1">
                  <c:v>Hershey</c:v>
                </c:pt>
                <c:pt idx="2">
                  <c:v>J M SMUCKER</c:v>
                </c:pt>
                <c:pt idx="3">
                  <c:v>Conagra Brands</c:v>
                </c:pt>
                <c:pt idx="4">
                  <c:v>Mondelez</c:v>
                </c:pt>
                <c:pt idx="5">
                  <c:v>Kraft Heinz</c:v>
                </c:pt>
                <c:pt idx="6">
                  <c:v>Hain Celestial Group</c:v>
                </c:pt>
                <c:pt idx="7">
                  <c:v>Campbell Soup</c:v>
                </c:pt>
                <c:pt idx="8">
                  <c:v>Hormel Foods</c:v>
                </c:pt>
                <c:pt idx="9">
                  <c:v>Kellogg</c:v>
                </c:pt>
                <c:pt idx="10">
                  <c:v>General Mills</c:v>
                </c:pt>
                <c:pt idx="11">
                  <c:v>Tyson Foods</c:v>
                </c:pt>
              </c:strCache>
            </c:strRef>
          </c:cat>
          <c:val>
            <c:numRef>
              <c:f>DioPage!$B$2:$B$13</c:f>
              <c:numCache>
                <c:formatCode>0</c:formatCode>
                <c:ptCount val="12"/>
                <c:pt idx="0">
                  <c:v>91</c:v>
                </c:pt>
                <c:pt idx="1">
                  <c:v>68</c:v>
                </c:pt>
                <c:pt idx="2">
                  <c:v>68</c:v>
                </c:pt>
                <c:pt idx="3">
                  <c:v>63</c:v>
                </c:pt>
                <c:pt idx="4">
                  <c:v>60</c:v>
                </c:pt>
                <c:pt idx="5">
                  <c:v>59</c:v>
                </c:pt>
                <c:pt idx="6">
                  <c:v>57</c:v>
                </c:pt>
                <c:pt idx="7">
                  <c:v>56</c:v>
                </c:pt>
                <c:pt idx="8">
                  <c:v>50</c:v>
                </c:pt>
                <c:pt idx="9">
                  <c:v>49</c:v>
                </c:pt>
                <c:pt idx="10">
                  <c:v>45</c:v>
                </c:pt>
                <c:pt idx="11">
                  <c:v>40</c:v>
                </c:pt>
              </c:numCache>
            </c:numRef>
          </c:val>
          <c:extLst>
            <c:ext xmlns:c16="http://schemas.microsoft.com/office/drawing/2014/chart" uri="{C3380CC4-5D6E-409C-BE32-E72D297353CC}">
              <c16:uniqueId val="{00000024-FBFF-46A9-AC47-9B57C1FB2427}"/>
            </c:ext>
          </c:extLst>
        </c:ser>
        <c:dLbls>
          <c:dLblPos val="outEnd"/>
          <c:showLegendKey val="0"/>
          <c:showVal val="1"/>
          <c:showCatName val="0"/>
          <c:showSerName val="0"/>
          <c:showPercent val="0"/>
          <c:showBubbleSize val="0"/>
        </c:dLbls>
        <c:gapWidth val="41"/>
        <c:axId val="730021376"/>
        <c:axId val="730153536"/>
      </c:barChart>
      <c:catAx>
        <c:axId val="730021376"/>
        <c:scaling>
          <c:orientation val="maxMin"/>
        </c:scaling>
        <c:delete val="0"/>
        <c:axPos val="l"/>
        <c:numFmt formatCode="General" sourceLinked="0"/>
        <c:majorTickMark val="out"/>
        <c:minorTickMark val="none"/>
        <c:tickLblPos val="low"/>
        <c:spPr>
          <a:ln>
            <a:solidFill>
              <a:schemeClr val="bg1">
                <a:lumMod val="50000"/>
              </a:schemeClr>
            </a:solidFill>
          </a:ln>
        </c:spPr>
        <c:txPr>
          <a:bodyPr rot="0" vert="horz" anchor="b" anchorCtr="0"/>
          <a:lstStyle/>
          <a:p>
            <a:pPr>
              <a:defRPr>
                <a:solidFill>
                  <a:srgbClr val="646464"/>
                </a:solidFill>
              </a:defRPr>
            </a:pPr>
            <a:endParaRPr lang="en-US"/>
          </a:p>
        </c:txPr>
        <c:crossAx val="730153536"/>
        <c:crosses val="autoZero"/>
        <c:auto val="0"/>
        <c:lblAlgn val="ctr"/>
        <c:lblOffset val="100"/>
        <c:noMultiLvlLbl val="0"/>
      </c:catAx>
      <c:valAx>
        <c:axId val="730153536"/>
        <c:scaling>
          <c:orientation val="minMax"/>
        </c:scaling>
        <c:delete val="1"/>
        <c:axPos val="t"/>
        <c:numFmt formatCode="0" sourceLinked="1"/>
        <c:majorTickMark val="out"/>
        <c:minorTickMark val="none"/>
        <c:tickLblPos val="nextTo"/>
        <c:crossAx val="7300213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0.97833222582544399"/>
          <c:h val="1"/>
        </c:manualLayout>
      </c:layout>
      <c:barChart>
        <c:barDir val="bar"/>
        <c:grouping val="clustered"/>
        <c:varyColors val="0"/>
        <c:ser>
          <c:idx val="0"/>
          <c:order val="0"/>
          <c:tx>
            <c:strRef>
              <c:f>DpoPage!$B$1</c:f>
              <c:strCache>
                <c:ptCount val="1"/>
              </c:strCache>
            </c:strRef>
          </c:tx>
          <c:spPr>
            <a:solidFill>
              <a:srgbClr val="002B49"/>
            </a:solidFill>
            <a:ln>
              <a:solidFill>
                <a:srgbClr val="002B49"/>
              </a:solidFill>
            </a:ln>
            <a:effectLst/>
          </c:spPr>
          <c:invertIfNegative val="0"/>
          <c:dPt>
            <c:idx val="0"/>
            <c:invertIfNegative val="0"/>
            <c:bubble3D val="0"/>
            <c:extLst>
              <c:ext xmlns:c16="http://schemas.microsoft.com/office/drawing/2014/chart" uri="{C3380CC4-5D6E-409C-BE32-E72D297353CC}">
                <c16:uniqueId val="{00000000-1265-4DEF-9D6D-F4823971FCE2}"/>
              </c:ext>
            </c:extLst>
          </c:dPt>
          <c:dPt>
            <c:idx val="1"/>
            <c:invertIfNegative val="0"/>
            <c:bubble3D val="0"/>
            <c:extLst>
              <c:ext xmlns:c16="http://schemas.microsoft.com/office/drawing/2014/chart" uri="{C3380CC4-5D6E-409C-BE32-E72D297353CC}">
                <c16:uniqueId val="{00000001-1265-4DEF-9D6D-F4823971FCE2}"/>
              </c:ext>
            </c:extLst>
          </c:dPt>
          <c:dPt>
            <c:idx val="2"/>
            <c:invertIfNegative val="0"/>
            <c:bubble3D val="0"/>
            <c:extLst>
              <c:ext xmlns:c16="http://schemas.microsoft.com/office/drawing/2014/chart" uri="{C3380CC4-5D6E-409C-BE32-E72D297353CC}">
                <c16:uniqueId val="{00000002-1265-4DEF-9D6D-F4823971FCE2}"/>
              </c:ext>
            </c:extLst>
          </c:dPt>
          <c:dPt>
            <c:idx val="3"/>
            <c:invertIfNegative val="0"/>
            <c:bubble3D val="0"/>
            <c:extLst>
              <c:ext xmlns:c16="http://schemas.microsoft.com/office/drawing/2014/chart" uri="{C3380CC4-5D6E-409C-BE32-E72D297353CC}">
                <c16:uniqueId val="{00000003-1265-4DEF-9D6D-F4823971FCE2}"/>
              </c:ext>
            </c:extLst>
          </c:dPt>
          <c:dPt>
            <c:idx val="4"/>
            <c:invertIfNegative val="0"/>
            <c:bubble3D val="0"/>
            <c:extLst>
              <c:ext xmlns:c16="http://schemas.microsoft.com/office/drawing/2014/chart" uri="{C3380CC4-5D6E-409C-BE32-E72D297353CC}">
                <c16:uniqueId val="{00000004-1265-4DEF-9D6D-F4823971FCE2}"/>
              </c:ext>
            </c:extLst>
          </c:dPt>
          <c:dPt>
            <c:idx val="5"/>
            <c:invertIfNegative val="0"/>
            <c:bubble3D val="0"/>
            <c:spPr>
              <a:solidFill>
                <a:srgbClr val="FFC000"/>
              </a:solidFill>
              <a:ln>
                <a:solidFill>
                  <a:srgbClr val="FFC000"/>
                </a:solidFill>
              </a:ln>
              <a:effectLst/>
            </c:spPr>
            <c:extLst>
              <c:ext xmlns:c16="http://schemas.microsoft.com/office/drawing/2014/chart" uri="{C3380CC4-5D6E-409C-BE32-E72D297353CC}">
                <c16:uniqueId val="{00000006-1265-4DEF-9D6D-F4823971FCE2}"/>
              </c:ext>
            </c:extLst>
          </c:dPt>
          <c:dPt>
            <c:idx val="6"/>
            <c:invertIfNegative val="0"/>
            <c:bubble3D val="0"/>
            <c:spPr>
              <a:solidFill>
                <a:srgbClr val="FFC000"/>
              </a:solidFill>
              <a:ln>
                <a:solidFill>
                  <a:srgbClr val="FFC000"/>
                </a:solidFill>
              </a:ln>
              <a:effectLst/>
            </c:spPr>
            <c:extLst>
              <c:ext xmlns:c16="http://schemas.microsoft.com/office/drawing/2014/chart" uri="{C3380CC4-5D6E-409C-BE32-E72D297353CC}">
                <c16:uniqueId val="{00000008-1265-4DEF-9D6D-F4823971FCE2}"/>
              </c:ext>
            </c:extLst>
          </c:dPt>
          <c:dPt>
            <c:idx val="7"/>
            <c:invertIfNegative val="0"/>
            <c:bubble3D val="0"/>
            <c:extLst>
              <c:ext xmlns:c16="http://schemas.microsoft.com/office/drawing/2014/chart" uri="{C3380CC4-5D6E-409C-BE32-E72D297353CC}">
                <c16:uniqueId val="{0000000A-1265-4DEF-9D6D-F4823971FCE2}"/>
              </c:ext>
            </c:extLst>
          </c:dPt>
          <c:dPt>
            <c:idx val="8"/>
            <c:invertIfNegative val="0"/>
            <c:bubble3D val="0"/>
            <c:extLst>
              <c:ext xmlns:c16="http://schemas.microsoft.com/office/drawing/2014/chart" uri="{C3380CC4-5D6E-409C-BE32-E72D297353CC}">
                <c16:uniqueId val="{0000000B-1265-4DEF-9D6D-F4823971FCE2}"/>
              </c:ext>
            </c:extLst>
          </c:dPt>
          <c:dPt>
            <c:idx val="9"/>
            <c:invertIfNegative val="0"/>
            <c:bubble3D val="0"/>
            <c:extLst>
              <c:ext xmlns:c16="http://schemas.microsoft.com/office/drawing/2014/chart" uri="{C3380CC4-5D6E-409C-BE32-E72D297353CC}">
                <c16:uniqueId val="{0000000C-1265-4DEF-9D6D-F4823971FCE2}"/>
              </c:ext>
            </c:extLst>
          </c:dPt>
          <c:dPt>
            <c:idx val="10"/>
            <c:invertIfNegative val="0"/>
            <c:bubble3D val="0"/>
            <c:extLst>
              <c:ext xmlns:c16="http://schemas.microsoft.com/office/drawing/2014/chart" uri="{C3380CC4-5D6E-409C-BE32-E72D297353CC}">
                <c16:uniqueId val="{0000000D-1265-4DEF-9D6D-F4823971FCE2}"/>
              </c:ext>
            </c:extLst>
          </c:dPt>
          <c:dPt>
            <c:idx val="11"/>
            <c:invertIfNegative val="0"/>
            <c:bubble3D val="0"/>
            <c:extLst>
              <c:ext xmlns:c16="http://schemas.microsoft.com/office/drawing/2014/chart" uri="{C3380CC4-5D6E-409C-BE32-E72D297353CC}">
                <c16:uniqueId val="{0000000E-1265-4DEF-9D6D-F4823971FCE2}"/>
              </c:ext>
            </c:extLst>
          </c:dPt>
          <c:dPt>
            <c:idx val="16"/>
            <c:invertIfNegative val="0"/>
            <c:bubble3D val="0"/>
            <c:extLst>
              <c:ext xmlns:c16="http://schemas.microsoft.com/office/drawing/2014/chart" uri="{C3380CC4-5D6E-409C-BE32-E72D297353CC}">
                <c16:uniqueId val="{0000000F-1265-4DEF-9D6D-F4823971FCE2}"/>
              </c:ext>
            </c:extLst>
          </c:dPt>
          <c:dPt>
            <c:idx val="17"/>
            <c:invertIfNegative val="0"/>
            <c:bubble3D val="0"/>
            <c:extLst>
              <c:ext xmlns:c16="http://schemas.microsoft.com/office/drawing/2014/chart" uri="{C3380CC4-5D6E-409C-BE32-E72D297353CC}">
                <c16:uniqueId val="{00000010-1265-4DEF-9D6D-F4823971FCE2}"/>
              </c:ext>
            </c:extLst>
          </c:dPt>
          <c:dPt>
            <c:idx val="18"/>
            <c:invertIfNegative val="0"/>
            <c:bubble3D val="0"/>
            <c:extLst>
              <c:ext xmlns:c16="http://schemas.microsoft.com/office/drawing/2014/chart" uri="{C3380CC4-5D6E-409C-BE32-E72D297353CC}">
                <c16:uniqueId val="{00000011-1265-4DEF-9D6D-F4823971FCE2}"/>
              </c:ext>
            </c:extLst>
          </c:dPt>
          <c:dPt>
            <c:idx val="19"/>
            <c:invertIfNegative val="0"/>
            <c:bubble3D val="0"/>
            <c:extLst>
              <c:ext xmlns:c16="http://schemas.microsoft.com/office/drawing/2014/chart" uri="{C3380CC4-5D6E-409C-BE32-E72D297353CC}">
                <c16:uniqueId val="{00000012-1265-4DEF-9D6D-F4823971FCE2}"/>
              </c:ext>
            </c:extLst>
          </c:dPt>
          <c:dPt>
            <c:idx val="20"/>
            <c:invertIfNegative val="0"/>
            <c:bubble3D val="0"/>
            <c:extLst>
              <c:ext xmlns:c16="http://schemas.microsoft.com/office/drawing/2014/chart" uri="{C3380CC4-5D6E-409C-BE32-E72D297353CC}">
                <c16:uniqueId val="{00000013-1265-4DEF-9D6D-F4823971FCE2}"/>
              </c:ext>
            </c:extLst>
          </c:dPt>
          <c:dPt>
            <c:idx val="21"/>
            <c:invertIfNegative val="0"/>
            <c:bubble3D val="0"/>
            <c:extLst>
              <c:ext xmlns:c16="http://schemas.microsoft.com/office/drawing/2014/chart" uri="{C3380CC4-5D6E-409C-BE32-E72D297353CC}">
                <c16:uniqueId val="{00000014-1265-4DEF-9D6D-F4823971FCE2}"/>
              </c:ext>
            </c:extLst>
          </c:dPt>
          <c:dPt>
            <c:idx val="22"/>
            <c:invertIfNegative val="0"/>
            <c:bubble3D val="0"/>
            <c:extLst>
              <c:ext xmlns:c16="http://schemas.microsoft.com/office/drawing/2014/chart" uri="{C3380CC4-5D6E-409C-BE32-E72D297353CC}">
                <c16:uniqueId val="{00000015-1265-4DEF-9D6D-F4823971FCE2}"/>
              </c:ext>
            </c:extLst>
          </c:dPt>
          <c:dPt>
            <c:idx val="23"/>
            <c:invertIfNegative val="0"/>
            <c:bubble3D val="0"/>
            <c:extLst>
              <c:ext xmlns:c16="http://schemas.microsoft.com/office/drawing/2014/chart" uri="{C3380CC4-5D6E-409C-BE32-E72D297353CC}">
                <c16:uniqueId val="{00000016-1265-4DEF-9D6D-F4823971FCE2}"/>
              </c:ext>
            </c:extLst>
          </c:dPt>
          <c:dPt>
            <c:idx val="24"/>
            <c:invertIfNegative val="0"/>
            <c:bubble3D val="0"/>
            <c:extLst>
              <c:ext xmlns:c16="http://schemas.microsoft.com/office/drawing/2014/chart" uri="{C3380CC4-5D6E-409C-BE32-E72D297353CC}">
                <c16:uniqueId val="{00000017-1265-4DEF-9D6D-F4823971FCE2}"/>
              </c:ext>
            </c:extLst>
          </c:dPt>
          <c:dPt>
            <c:idx val="26"/>
            <c:invertIfNegative val="0"/>
            <c:bubble3D val="0"/>
            <c:extLst>
              <c:ext xmlns:c16="http://schemas.microsoft.com/office/drawing/2014/chart" uri="{C3380CC4-5D6E-409C-BE32-E72D297353CC}">
                <c16:uniqueId val="{00000018-1265-4DEF-9D6D-F4823971FCE2}"/>
              </c:ext>
            </c:extLst>
          </c:dPt>
          <c:dPt>
            <c:idx val="27"/>
            <c:invertIfNegative val="0"/>
            <c:bubble3D val="0"/>
            <c:extLst>
              <c:ext xmlns:c16="http://schemas.microsoft.com/office/drawing/2014/chart" uri="{C3380CC4-5D6E-409C-BE32-E72D297353CC}">
                <c16:uniqueId val="{00000019-1265-4DEF-9D6D-F4823971FCE2}"/>
              </c:ext>
            </c:extLst>
          </c:dPt>
          <c:dPt>
            <c:idx val="28"/>
            <c:invertIfNegative val="0"/>
            <c:bubble3D val="0"/>
            <c:extLst>
              <c:ext xmlns:c16="http://schemas.microsoft.com/office/drawing/2014/chart" uri="{C3380CC4-5D6E-409C-BE32-E72D297353CC}">
                <c16:uniqueId val="{0000001A-1265-4DEF-9D6D-F4823971FCE2}"/>
              </c:ext>
            </c:extLst>
          </c:dPt>
          <c:dPt>
            <c:idx val="29"/>
            <c:invertIfNegative val="0"/>
            <c:bubble3D val="0"/>
            <c:extLst>
              <c:ext xmlns:c16="http://schemas.microsoft.com/office/drawing/2014/chart" uri="{C3380CC4-5D6E-409C-BE32-E72D297353CC}">
                <c16:uniqueId val="{0000001B-1265-4DEF-9D6D-F4823971FCE2}"/>
              </c:ext>
            </c:extLst>
          </c:dPt>
          <c:dPt>
            <c:idx val="31"/>
            <c:invertIfNegative val="0"/>
            <c:bubble3D val="0"/>
            <c:extLst>
              <c:ext xmlns:c16="http://schemas.microsoft.com/office/drawing/2014/chart" uri="{C3380CC4-5D6E-409C-BE32-E72D297353CC}">
                <c16:uniqueId val="{0000001C-1265-4DEF-9D6D-F4823971FCE2}"/>
              </c:ext>
            </c:extLst>
          </c:dPt>
          <c:dPt>
            <c:idx val="32"/>
            <c:invertIfNegative val="0"/>
            <c:bubble3D val="0"/>
            <c:extLst>
              <c:ext xmlns:c16="http://schemas.microsoft.com/office/drawing/2014/chart" uri="{C3380CC4-5D6E-409C-BE32-E72D297353CC}">
                <c16:uniqueId val="{0000001D-1265-4DEF-9D6D-F4823971FCE2}"/>
              </c:ext>
            </c:extLst>
          </c:dPt>
          <c:dPt>
            <c:idx val="36"/>
            <c:invertIfNegative val="0"/>
            <c:bubble3D val="0"/>
            <c:extLst>
              <c:ext xmlns:c16="http://schemas.microsoft.com/office/drawing/2014/chart" uri="{C3380CC4-5D6E-409C-BE32-E72D297353CC}">
                <c16:uniqueId val="{0000001E-1265-4DEF-9D6D-F4823971FCE2}"/>
              </c:ext>
            </c:extLst>
          </c:dPt>
          <c:dPt>
            <c:idx val="37"/>
            <c:invertIfNegative val="0"/>
            <c:bubble3D val="0"/>
            <c:extLst>
              <c:ext xmlns:c16="http://schemas.microsoft.com/office/drawing/2014/chart" uri="{C3380CC4-5D6E-409C-BE32-E72D297353CC}">
                <c16:uniqueId val="{0000001F-1265-4DEF-9D6D-F4823971FCE2}"/>
              </c:ext>
            </c:extLst>
          </c:dPt>
          <c:dPt>
            <c:idx val="38"/>
            <c:invertIfNegative val="0"/>
            <c:bubble3D val="0"/>
            <c:extLst>
              <c:ext xmlns:c16="http://schemas.microsoft.com/office/drawing/2014/chart" uri="{C3380CC4-5D6E-409C-BE32-E72D297353CC}">
                <c16:uniqueId val="{00000020-1265-4DEF-9D6D-F4823971FCE2}"/>
              </c:ext>
            </c:extLst>
          </c:dPt>
          <c:dPt>
            <c:idx val="40"/>
            <c:invertIfNegative val="0"/>
            <c:bubble3D val="0"/>
            <c:extLst>
              <c:ext xmlns:c16="http://schemas.microsoft.com/office/drawing/2014/chart" uri="{C3380CC4-5D6E-409C-BE32-E72D297353CC}">
                <c16:uniqueId val="{00000021-1265-4DEF-9D6D-F4823971FCE2}"/>
              </c:ext>
            </c:extLst>
          </c:dPt>
          <c:dPt>
            <c:idx val="43"/>
            <c:invertIfNegative val="0"/>
            <c:bubble3D val="0"/>
            <c:extLst>
              <c:ext xmlns:c16="http://schemas.microsoft.com/office/drawing/2014/chart" uri="{C3380CC4-5D6E-409C-BE32-E72D297353CC}">
                <c16:uniqueId val="{00000022-1265-4DEF-9D6D-F4823971FCE2}"/>
              </c:ext>
            </c:extLst>
          </c:dPt>
          <c:dPt>
            <c:idx val="47"/>
            <c:invertIfNegative val="0"/>
            <c:bubble3D val="0"/>
            <c:extLst>
              <c:ext xmlns:c16="http://schemas.microsoft.com/office/drawing/2014/chart" uri="{C3380CC4-5D6E-409C-BE32-E72D297353CC}">
                <c16:uniqueId val="{00000023-1265-4DEF-9D6D-F4823971FCE2}"/>
              </c:ext>
            </c:extLst>
          </c:dPt>
          <c:dLbls>
            <c:numFmt formatCode="General"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DpoPage!$A$2:$A$13</c:f>
              <c:strCache>
                <c:ptCount val="12"/>
                <c:pt idx="0">
                  <c:v>Mondelez</c:v>
                </c:pt>
                <c:pt idx="1">
                  <c:v>General Mills</c:v>
                </c:pt>
                <c:pt idx="2">
                  <c:v>Mccormick &amp; Co</c:v>
                </c:pt>
                <c:pt idx="3">
                  <c:v>Kellogg</c:v>
                </c:pt>
                <c:pt idx="4">
                  <c:v>Kraft Heinz</c:v>
                </c:pt>
                <c:pt idx="5">
                  <c:v>Conagra Brands</c:v>
                </c:pt>
                <c:pt idx="6">
                  <c:v>Campbell Soup</c:v>
                </c:pt>
                <c:pt idx="7">
                  <c:v>J M SMUCKER</c:v>
                </c:pt>
                <c:pt idx="8">
                  <c:v>Hershey</c:v>
                </c:pt>
                <c:pt idx="9">
                  <c:v>Hain Celestial Group</c:v>
                </c:pt>
                <c:pt idx="10">
                  <c:v>Hormel Foods</c:v>
                </c:pt>
                <c:pt idx="11">
                  <c:v>Tyson Foods</c:v>
                </c:pt>
              </c:strCache>
            </c:strRef>
          </c:cat>
          <c:val>
            <c:numRef>
              <c:f>DpoPage!$B$2:$B$13</c:f>
              <c:numCache>
                <c:formatCode>0</c:formatCode>
                <c:ptCount val="12"/>
                <c:pt idx="0">
                  <c:v>138</c:v>
                </c:pt>
                <c:pt idx="1">
                  <c:v>103</c:v>
                </c:pt>
                <c:pt idx="2">
                  <c:v>97</c:v>
                </c:pt>
                <c:pt idx="3">
                  <c:v>95</c:v>
                </c:pt>
                <c:pt idx="4">
                  <c:v>87</c:v>
                </c:pt>
                <c:pt idx="5">
                  <c:v>70</c:v>
                </c:pt>
                <c:pt idx="6">
                  <c:v>67</c:v>
                </c:pt>
                <c:pt idx="7">
                  <c:v>59</c:v>
                </c:pt>
                <c:pt idx="8">
                  <c:v>46</c:v>
                </c:pt>
                <c:pt idx="9">
                  <c:v>39</c:v>
                </c:pt>
                <c:pt idx="10">
                  <c:v>34</c:v>
                </c:pt>
                <c:pt idx="11">
                  <c:v>19</c:v>
                </c:pt>
              </c:numCache>
            </c:numRef>
          </c:val>
          <c:extLst>
            <c:ext xmlns:c16="http://schemas.microsoft.com/office/drawing/2014/chart" uri="{C3380CC4-5D6E-409C-BE32-E72D297353CC}">
              <c16:uniqueId val="{00000024-1265-4DEF-9D6D-F4823971FCE2}"/>
            </c:ext>
          </c:extLst>
        </c:ser>
        <c:dLbls>
          <c:dLblPos val="outEnd"/>
          <c:showLegendKey val="0"/>
          <c:showVal val="1"/>
          <c:showCatName val="0"/>
          <c:showSerName val="0"/>
          <c:showPercent val="0"/>
          <c:showBubbleSize val="0"/>
        </c:dLbls>
        <c:gapWidth val="41"/>
        <c:axId val="730021376"/>
        <c:axId val="730153536"/>
      </c:barChart>
      <c:catAx>
        <c:axId val="730021376"/>
        <c:scaling>
          <c:orientation val="maxMin"/>
        </c:scaling>
        <c:delete val="0"/>
        <c:axPos val="l"/>
        <c:numFmt formatCode="General" sourceLinked="0"/>
        <c:majorTickMark val="out"/>
        <c:minorTickMark val="none"/>
        <c:tickLblPos val="low"/>
        <c:spPr>
          <a:ln>
            <a:solidFill>
              <a:schemeClr val="bg1">
                <a:lumMod val="50000"/>
              </a:schemeClr>
            </a:solidFill>
          </a:ln>
        </c:spPr>
        <c:txPr>
          <a:bodyPr rot="0" vert="horz" anchor="b" anchorCtr="0"/>
          <a:lstStyle/>
          <a:p>
            <a:pPr>
              <a:defRPr>
                <a:solidFill>
                  <a:srgbClr val="646464"/>
                </a:solidFill>
              </a:defRPr>
            </a:pPr>
            <a:endParaRPr lang="en-US"/>
          </a:p>
        </c:txPr>
        <c:crossAx val="730153536"/>
        <c:crosses val="autoZero"/>
        <c:auto val="0"/>
        <c:lblAlgn val="ctr"/>
        <c:lblOffset val="100"/>
        <c:noMultiLvlLbl val="0"/>
      </c:catAx>
      <c:valAx>
        <c:axId val="730153536"/>
        <c:scaling>
          <c:orientation val="minMax"/>
        </c:scaling>
        <c:delete val="1"/>
        <c:axPos val="t"/>
        <c:numFmt formatCode="0" sourceLinked="1"/>
        <c:majorTickMark val="out"/>
        <c:minorTickMark val="none"/>
        <c:tickLblPos val="nextTo"/>
        <c:crossAx val="730021376"/>
        <c:crosses val="autoZero"/>
        <c:crossBetween val="between"/>
      </c:valAx>
    </c:plotArea>
    <c:plotVisOnly val="1"/>
    <c:dispBlanksAs val="gap"/>
    <c:showDLblsOverMax val="0"/>
  </c:chart>
  <c:spPr>
    <a:ln>
      <a:noFill/>
    </a:ln>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495418051001742E-2"/>
          <c:y val="6.1619019241927642E-2"/>
          <c:w val="0.95100904877247328"/>
          <c:h val="0.46349177474242165"/>
        </c:manualLayout>
      </c:layout>
      <c:barChart>
        <c:barDir val="col"/>
        <c:grouping val="clustered"/>
        <c:varyColors val="0"/>
        <c:ser>
          <c:idx val="0"/>
          <c:order val="0"/>
          <c:tx>
            <c:v>Bars</c:v>
          </c:tx>
          <c:spPr>
            <a:solidFill>
              <a:srgbClr val="002060"/>
            </a:solidFill>
          </c:spPr>
          <c:invertIfNegative val="0"/>
          <c:dPt>
            <c:idx val="5"/>
            <c:invertIfNegative val="0"/>
            <c:bubble3D val="0"/>
            <c:spPr>
              <a:solidFill>
                <a:srgbClr val="FFC000"/>
              </a:solidFill>
            </c:spPr>
            <c:extLst>
              <c:ext xmlns:c16="http://schemas.microsoft.com/office/drawing/2014/chart" uri="{C3380CC4-5D6E-409C-BE32-E72D297353CC}">
                <c16:uniqueId val="{00000001-D3A6-4077-AB55-7DAB608B4861}"/>
              </c:ext>
            </c:extLst>
          </c:dPt>
          <c:dPt>
            <c:idx val="6"/>
            <c:invertIfNegative val="0"/>
            <c:bubble3D val="0"/>
            <c:spPr>
              <a:solidFill>
                <a:srgbClr val="FFC000"/>
              </a:solidFill>
            </c:spPr>
            <c:extLst>
              <c:ext xmlns:c16="http://schemas.microsoft.com/office/drawing/2014/chart" uri="{C3380CC4-5D6E-409C-BE32-E72D297353CC}">
                <c16:uniqueId val="{00000002-D3A6-4077-AB55-7DAB608B4861}"/>
              </c:ext>
            </c:extLst>
          </c:dPt>
          <c:dPt>
            <c:idx val="7"/>
            <c:invertIfNegative val="0"/>
            <c:bubble3D val="0"/>
            <c:spPr>
              <a:solidFill>
                <a:srgbClr val="5E8AB4"/>
              </a:solidFill>
            </c:spPr>
            <c:extLst>
              <c:ext xmlns:c16="http://schemas.microsoft.com/office/drawing/2014/chart" uri="{C3380CC4-5D6E-409C-BE32-E72D297353CC}">
                <c16:uniqueId val="{00000003-D3A6-4077-AB55-7DAB608B4861}"/>
              </c:ext>
            </c:extLst>
          </c:dPt>
          <c:cat>
            <c:strRef>
              <c:f>BenefitSummaryPage!$A$8:$A$19</c:f>
              <c:strCache>
                <c:ptCount val="12"/>
                <c:pt idx="0">
                  <c:v>Hain Celestial Group</c:v>
                </c:pt>
                <c:pt idx="1">
                  <c:v>Hershey</c:v>
                </c:pt>
                <c:pt idx="2">
                  <c:v>Tyson Foods</c:v>
                </c:pt>
                <c:pt idx="3">
                  <c:v>Hormel Foods</c:v>
                </c:pt>
                <c:pt idx="4">
                  <c:v>J M SMUCKER</c:v>
                </c:pt>
                <c:pt idx="5">
                  <c:v>Mccormick &amp; Co</c:v>
                </c:pt>
                <c:pt idx="6">
                  <c:v>Conagra Brands</c:v>
                </c:pt>
                <c:pt idx="7">
                  <c:v>Campbell Soup</c:v>
                </c:pt>
                <c:pt idx="8">
                  <c:v>Kraft Heinz</c:v>
                </c:pt>
                <c:pt idx="9">
                  <c:v>Kellogg</c:v>
                </c:pt>
                <c:pt idx="10">
                  <c:v>General Mills</c:v>
                </c:pt>
                <c:pt idx="11">
                  <c:v>Mondelez</c:v>
                </c:pt>
              </c:strCache>
            </c:strRef>
          </c:cat>
          <c:val>
            <c:numRef>
              <c:f>BenefitSummaryPage!$B$8:$B$19</c:f>
              <c:numCache>
                <c:formatCode>General</c:formatCode>
                <c:ptCount val="12"/>
                <c:pt idx="0">
                  <c:v>48.116858848984009</c:v>
                </c:pt>
                <c:pt idx="1">
                  <c:v>48.100059269800141</c:v>
                </c:pt>
                <c:pt idx="2">
                  <c:v>40.008648031262062</c:v>
                </c:pt>
                <c:pt idx="3">
                  <c:v>38.359837257053385</c:v>
                </c:pt>
                <c:pt idx="4">
                  <c:v>34.416700801792395</c:v>
                </c:pt>
                <c:pt idx="5">
                  <c:v>29.117444438125602</c:v>
                </c:pt>
                <c:pt idx="6">
                  <c:v>21.611281637020852</c:v>
                </c:pt>
                <c:pt idx="7">
                  <c:v>12.73427883531177</c:v>
                </c:pt>
                <c:pt idx="8">
                  <c:v>1.028998348117824</c:v>
                </c:pt>
                <c:pt idx="9">
                  <c:v>-3.7108465710533949</c:v>
                </c:pt>
                <c:pt idx="10">
                  <c:v>-24.381820888999613</c:v>
                </c:pt>
                <c:pt idx="11">
                  <c:v>-36.418822831598504</c:v>
                </c:pt>
              </c:numCache>
            </c:numRef>
          </c:val>
          <c:extLst>
            <c:ext xmlns:c16="http://schemas.microsoft.com/office/drawing/2014/chart" uri="{C3380CC4-5D6E-409C-BE32-E72D297353CC}">
              <c16:uniqueId val="{00000014-6F33-428E-8C96-1AB9E04B29C1}"/>
            </c:ext>
          </c:extLst>
        </c:ser>
        <c:dLbls>
          <c:showLegendKey val="0"/>
          <c:showVal val="0"/>
          <c:showCatName val="0"/>
          <c:showSerName val="0"/>
          <c:showPercent val="0"/>
          <c:showBubbleSize val="0"/>
        </c:dLbls>
        <c:gapWidth val="28"/>
        <c:axId val="548183424"/>
        <c:axId val="548197504"/>
      </c:barChart>
      <c:catAx>
        <c:axId val="548183424"/>
        <c:scaling>
          <c:orientation val="minMax"/>
        </c:scaling>
        <c:delete val="0"/>
        <c:axPos val="b"/>
        <c:numFmt formatCode="General" sourceLinked="0"/>
        <c:majorTickMark val="out"/>
        <c:minorTickMark val="none"/>
        <c:tickLblPos val="low"/>
        <c:spPr>
          <a:noFill/>
        </c:spPr>
        <c:txPr>
          <a:bodyPr rot="5400000" vert="horz"/>
          <a:lstStyle/>
          <a:p>
            <a:pPr>
              <a:defRPr sz="800">
                <a:solidFill>
                  <a:schemeClr val="tx1">
                    <a:lumMod val="50000"/>
                    <a:lumOff val="50000"/>
                  </a:schemeClr>
                </a:solidFill>
                <a:latin typeface="Arial" pitchFamily="34" charset="0"/>
                <a:cs typeface="Arial" pitchFamily="34" charset="0"/>
              </a:defRPr>
            </a:pPr>
            <a:endParaRPr lang="en-US"/>
          </a:p>
        </c:txPr>
        <c:crossAx val="548197504"/>
        <c:crosses val="autoZero"/>
        <c:auto val="1"/>
        <c:lblAlgn val="ctr"/>
        <c:lblOffset val="0"/>
        <c:noMultiLvlLbl val="0"/>
      </c:catAx>
      <c:valAx>
        <c:axId val="548197504"/>
        <c:scaling>
          <c:orientation val="minMax"/>
        </c:scaling>
        <c:delete val="1"/>
        <c:axPos val="l"/>
        <c:numFmt formatCode="General" sourceLinked="1"/>
        <c:majorTickMark val="out"/>
        <c:minorTickMark val="none"/>
        <c:tickLblPos val="nextTo"/>
        <c:crossAx val="548183424"/>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531775767861636E-2"/>
          <c:y val="4.3357629834612346E-2"/>
          <c:w val="0.88945921700286057"/>
          <c:h val="0.87562676296211106"/>
        </c:manualLayout>
      </c:layout>
      <c:scatterChart>
        <c:scatterStyle val="lineMarker"/>
        <c:varyColors val="0"/>
        <c:ser>
          <c:idx val="0"/>
          <c:order val="0"/>
          <c:tx>
            <c:v>Dots</c:v>
          </c:tx>
          <c:spPr>
            <a:ln w="28575">
              <a:noFill/>
            </a:ln>
            <a:effectLst>
              <a:outerShdw blurRad="50800" dist="38100" dir="2700000" algn="ctr" rotWithShape="0">
                <a:srgbClr val="000000">
                  <a:alpha val="40000"/>
                </a:srgbClr>
              </a:outerShdw>
            </a:effectLst>
          </c:spPr>
          <c:marker>
            <c:symbol val="circle"/>
            <c:size val="10"/>
            <c:spPr>
              <a:solidFill>
                <a:srgbClr val="002B49"/>
              </a:solidFill>
              <a:ln>
                <a:noFill/>
              </a:ln>
              <a:effectLst>
                <a:outerShdw blurRad="50800" dist="38100" dir="2700000" algn="ctr" rotWithShape="0">
                  <a:srgbClr val="000000">
                    <a:alpha val="40000"/>
                  </a:srgbClr>
                </a:outerShdw>
              </a:effectLst>
            </c:spPr>
          </c:marker>
          <c:dPt>
            <c:idx val="0"/>
            <c:marker>
              <c:spPr>
                <a:pattFill>
                  <a:fgClr>
                    <a:srgbClr val="000000"/>
                  </a:fgClr>
                  <a:bgClr>
                    <a:srgbClr val="000000"/>
                  </a:bgClr>
                </a:pattFill>
                <a:ln>
                  <a:solidFill>
                    <a:schemeClr val="accent1"/>
                  </a:solidFill>
                </a:ln>
              </c:spPr>
            </c:marker>
            <c:bubble3D val="0"/>
            <c:extLst>
              <c:ext xmlns:c16="http://schemas.microsoft.com/office/drawing/2014/chart" uri="{C3380CC4-5D6E-409C-BE32-E72D297353CC}">
                <c16:uniqueId val="{00000003-835B-4563-97A2-CA7447CDB991}"/>
              </c:ext>
            </c:extLst>
          </c:dPt>
          <c:dPt>
            <c:idx val="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4-835B-4563-97A2-CA7447CDB991}"/>
              </c:ext>
            </c:extLst>
          </c:dPt>
          <c:dPt>
            <c:idx val="2"/>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5-835B-4563-97A2-CA7447CDB991}"/>
              </c:ext>
            </c:extLst>
          </c:dPt>
          <c:dPt>
            <c:idx val="3"/>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6-835B-4563-97A2-CA7447CDB991}"/>
              </c:ext>
            </c:extLst>
          </c:dPt>
          <c:dPt>
            <c:idx val="4"/>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7-835B-4563-97A2-CA7447CDB991}"/>
              </c:ext>
            </c:extLst>
          </c:dPt>
          <c:dPt>
            <c:idx val="5"/>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8-835B-4563-97A2-CA7447CDB991}"/>
              </c:ext>
            </c:extLst>
          </c:dPt>
          <c:dPt>
            <c:idx val="6"/>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9-835B-4563-97A2-CA7447CDB991}"/>
              </c:ext>
            </c:extLst>
          </c:dPt>
          <c:dPt>
            <c:idx val="7"/>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A-835B-4563-97A2-CA7447CDB991}"/>
              </c:ext>
            </c:extLst>
          </c:dPt>
          <c:dPt>
            <c:idx val="8"/>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B-835B-4563-97A2-CA7447CDB991}"/>
              </c:ext>
            </c:extLst>
          </c:dPt>
          <c:dPt>
            <c:idx val="9"/>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C-835B-4563-97A2-CA7447CDB991}"/>
              </c:ext>
            </c:extLst>
          </c:dPt>
          <c:dPt>
            <c:idx val="10"/>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D-835B-4563-97A2-CA7447CDB991}"/>
              </c:ext>
            </c:extLst>
          </c:dPt>
          <c:dPt>
            <c:idx val="1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E-835B-4563-97A2-CA7447CDB991}"/>
              </c:ext>
            </c:extLst>
          </c:dPt>
          <c:dLbls>
            <c:dLbl>
              <c:idx val="0"/>
              <c:tx>
                <c:rich>
                  <a:bodyPr/>
                  <a:lstStyle/>
                  <a:p>
                    <a:fld id="{06363944-580D-4FB2-95A3-31B3D79D5C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35B-4563-97A2-CA7447CDB991}"/>
                </c:ext>
              </c:extLst>
            </c:dLbl>
            <c:dLbl>
              <c:idx val="1"/>
              <c:tx>
                <c:rich>
                  <a:bodyPr/>
                  <a:lstStyle/>
                  <a:p>
                    <a:fld id="{6A9E554C-6FC1-479E-BD01-AF5196D321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35B-4563-97A2-CA7447CDB991}"/>
                </c:ext>
              </c:extLst>
            </c:dLbl>
            <c:dLbl>
              <c:idx val="2"/>
              <c:tx>
                <c:rich>
                  <a:bodyPr/>
                  <a:lstStyle/>
                  <a:p>
                    <a:fld id="{46AB43B8-9998-4A31-A3E6-491479B3B75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35B-4563-97A2-CA7447CDB991}"/>
                </c:ext>
              </c:extLst>
            </c:dLbl>
            <c:dLbl>
              <c:idx val="3"/>
              <c:tx>
                <c:rich>
                  <a:bodyPr/>
                  <a:lstStyle/>
                  <a:p>
                    <a:fld id="{A8A64700-90B9-4233-AA8F-8057837E95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35B-4563-97A2-CA7447CDB991}"/>
                </c:ext>
              </c:extLst>
            </c:dLbl>
            <c:dLbl>
              <c:idx val="4"/>
              <c:tx>
                <c:rich>
                  <a:bodyPr/>
                  <a:lstStyle/>
                  <a:p>
                    <a:fld id="{B66786DA-A164-4917-9BFE-EDC92486CC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35B-4563-97A2-CA7447CDB991}"/>
                </c:ext>
              </c:extLst>
            </c:dLbl>
            <c:dLbl>
              <c:idx val="5"/>
              <c:tx>
                <c:rich>
                  <a:bodyPr/>
                  <a:lstStyle/>
                  <a:p>
                    <a:fld id="{317E73FB-CBA4-4083-BEDE-7DCE9FA0333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35B-4563-97A2-CA7447CDB991}"/>
                </c:ext>
              </c:extLst>
            </c:dLbl>
            <c:dLbl>
              <c:idx val="6"/>
              <c:tx>
                <c:rich>
                  <a:bodyPr/>
                  <a:lstStyle/>
                  <a:p>
                    <a:fld id="{F5B36FA6-FEDD-4BCB-99D5-A404544BD1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835B-4563-97A2-CA7447CDB991}"/>
                </c:ext>
              </c:extLst>
            </c:dLbl>
            <c:dLbl>
              <c:idx val="7"/>
              <c:tx>
                <c:rich>
                  <a:bodyPr/>
                  <a:lstStyle/>
                  <a:p>
                    <a:fld id="{90554EE9-5FA7-4F92-A4A8-855CFDC0F7D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835B-4563-97A2-CA7447CDB991}"/>
                </c:ext>
              </c:extLst>
            </c:dLbl>
            <c:dLbl>
              <c:idx val="8"/>
              <c:tx>
                <c:rich>
                  <a:bodyPr/>
                  <a:lstStyle/>
                  <a:p>
                    <a:fld id="{08727A63-125A-40B8-BEDC-0686517D84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835B-4563-97A2-CA7447CDB991}"/>
                </c:ext>
              </c:extLst>
            </c:dLbl>
            <c:dLbl>
              <c:idx val="9"/>
              <c:tx>
                <c:rich>
                  <a:bodyPr/>
                  <a:lstStyle/>
                  <a:p>
                    <a:fld id="{00EF81B1-2423-49E0-BB5F-CB885FB91C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835B-4563-97A2-CA7447CDB991}"/>
                </c:ext>
              </c:extLst>
            </c:dLbl>
            <c:dLbl>
              <c:idx val="10"/>
              <c:tx>
                <c:rich>
                  <a:bodyPr/>
                  <a:lstStyle/>
                  <a:p>
                    <a:fld id="{AE8371E8-A6DD-4495-889A-3123965215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835B-4563-97A2-CA7447CDB991}"/>
                </c:ext>
              </c:extLst>
            </c:dLbl>
            <c:dLbl>
              <c:idx val="11"/>
              <c:tx>
                <c:rich>
                  <a:bodyPr/>
                  <a:lstStyle/>
                  <a:p>
                    <a:fld id="{B87D4338-6867-4E23-9F99-09C6B389EDB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835B-4563-97A2-CA7447CDB991}"/>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TwoArrowPage!$C$4:$C$15</c:f>
              <c:numCache>
                <c:formatCode>General</c:formatCode>
                <c:ptCount val="12"/>
                <c:pt idx="0">
                  <c:v>0.54320105820105824</c:v>
                </c:pt>
                <c:pt idx="1">
                  <c:v>0.51645502645502639</c:v>
                </c:pt>
                <c:pt idx="2">
                  <c:v>0.65425925925925932</c:v>
                </c:pt>
                <c:pt idx="3">
                  <c:v>0.52232804232804242</c:v>
                </c:pt>
                <c:pt idx="4">
                  <c:v>0.57280423280423276</c:v>
                </c:pt>
                <c:pt idx="5">
                  <c:v>0.55939153439153433</c:v>
                </c:pt>
                <c:pt idx="6">
                  <c:v>0.56791005291005292</c:v>
                </c:pt>
                <c:pt idx="7">
                  <c:v>0.4766137566137566</c:v>
                </c:pt>
                <c:pt idx="8">
                  <c:v>0.37989417989417984</c:v>
                </c:pt>
                <c:pt idx="9">
                  <c:v>0.44571428571428573</c:v>
                </c:pt>
                <c:pt idx="10">
                  <c:v>0.40597883597883599</c:v>
                </c:pt>
                <c:pt idx="11">
                  <c:v>0.59193121693121697</c:v>
                </c:pt>
              </c:numCache>
            </c:numRef>
          </c:xVal>
          <c:yVal>
            <c:numRef>
              <c:f>TwoArrowPage!$D$4:$D$15</c:f>
              <c:numCache>
                <c:formatCode>General</c:formatCode>
                <c:ptCount val="12"/>
                <c:pt idx="0">
                  <c:v>0.73333333333333328</c:v>
                </c:pt>
                <c:pt idx="1">
                  <c:v>0</c:v>
                </c:pt>
                <c:pt idx="2">
                  <c:v>0.26666666666666666</c:v>
                </c:pt>
                <c:pt idx="3">
                  <c:v>0.8666666666666667</c:v>
                </c:pt>
                <c:pt idx="4">
                  <c:v>0.66666666666666663</c:v>
                </c:pt>
                <c:pt idx="5">
                  <c:v>0.13333333333333333</c:v>
                </c:pt>
                <c:pt idx="6">
                  <c:v>0.93333333333333335</c:v>
                </c:pt>
                <c:pt idx="7">
                  <c:v>0.8</c:v>
                </c:pt>
                <c:pt idx="8">
                  <c:v>0.46666666666666667</c:v>
                </c:pt>
                <c:pt idx="9">
                  <c:v>0.53333333333333333</c:v>
                </c:pt>
                <c:pt idx="10">
                  <c:v>0.6</c:v>
                </c:pt>
                <c:pt idx="11">
                  <c:v>1</c:v>
                </c:pt>
              </c:numCache>
            </c:numRef>
          </c:yVal>
          <c:smooth val="0"/>
          <c:extLst>
            <c:ext xmlns:c15="http://schemas.microsoft.com/office/drawing/2012/chart" uri="{02D57815-91ED-43cb-92C2-25804820EDAC}">
              <c15:datalabelsRange>
                <c15:f>TwoArrowPage!$B$4:$B$23</c15:f>
                <c15:dlblRangeCache>
                  <c:ptCount val="20"/>
                  <c:pt idx="0">
                    <c:v>BRF SA</c:v>
                  </c:pt>
                  <c:pt idx="1">
                    <c:v>CAMPBELL SOUP CO</c:v>
                  </c:pt>
                  <c:pt idx="2">
                    <c:v>CONAGRA BRANDS INC</c:v>
                  </c:pt>
                  <c:pt idx="3">
                    <c:v>DANONE S.A.</c:v>
                  </c:pt>
                  <c:pt idx="4">
                    <c:v>GENERAL MILLS INC</c:v>
                  </c:pt>
                  <c:pt idx="5">
                    <c:v>HAIN CELESTIAL</c:v>
                  </c:pt>
                  <c:pt idx="6">
                    <c:v>HERSHEY CO</c:v>
                  </c:pt>
                  <c:pt idx="7">
                    <c:v>HORMEL FOODS CORP</c:v>
                  </c:pt>
                  <c:pt idx="8">
                    <c:v>J M SMUCKER CO</c:v>
                  </c:pt>
                  <c:pt idx="9">
                    <c:v>KELLOGG CO</c:v>
                  </c:pt>
                  <c:pt idx="10">
                    <c:v>KRAFT HEINZ CO</c:v>
                  </c:pt>
                  <c:pt idx="11">
                    <c:v>LAMB WESTON</c:v>
                  </c:pt>
                  <c:pt idx="12">
                    <c:v>MCCORMICK &amp; CO INC</c:v>
                  </c:pt>
                  <c:pt idx="13">
                    <c:v>MONDELEZ</c:v>
                  </c:pt>
                  <c:pt idx="14">
                    <c:v>PILGRIMS PRIDE CORP</c:v>
                  </c:pt>
                  <c:pt idx="15">
                    <c:v>TYSON FOODS INC</c:v>
                  </c:pt>
                </c15:dlblRangeCache>
              </c15:datalabelsRange>
            </c:ext>
            <c:ext xmlns:c16="http://schemas.microsoft.com/office/drawing/2014/chart" uri="{C3380CC4-5D6E-409C-BE32-E72D297353CC}">
              <c16:uniqueId val="{00000002-835B-4563-97A2-CA7447CDB991}"/>
            </c:ext>
          </c:extLst>
        </c:ser>
        <c:ser>
          <c:idx val="1"/>
          <c:order val="1"/>
          <c:tx>
            <c:strRef>
              <c:f>TwoArrowPage!$A$43</c:f>
              <c:strCache>
                <c:ptCount val="1"/>
                <c:pt idx="0">
                  <c:v>Composite Median</c:v>
                </c:pt>
              </c:strCache>
            </c:strRef>
          </c:tx>
          <c:spPr>
            <a:ln w="22225">
              <a:solidFill>
                <a:schemeClr val="accent6">
                  <a:lumMod val="40000"/>
                  <a:lumOff val="60000"/>
                </a:schemeClr>
              </a:solidFill>
              <a:prstDash val="dash"/>
            </a:ln>
          </c:spPr>
          <c:marker>
            <c:symbol val="none"/>
          </c:marker>
          <c:dPt>
            <c:idx val="0"/>
            <c:bubble3D val="0"/>
            <c:extLst>
              <c:ext xmlns:c16="http://schemas.microsoft.com/office/drawing/2014/chart" uri="{C3380CC4-5D6E-409C-BE32-E72D297353CC}">
                <c16:uniqueId val="{0000000C-B2E9-473E-B5C6-75D860530848}"/>
              </c:ext>
            </c:extLst>
          </c:dPt>
          <c:dPt>
            <c:idx val="1"/>
            <c:bubble3D val="0"/>
            <c:spPr>
              <a:ln w="22225">
                <a:solidFill>
                  <a:srgbClr val="FFC000"/>
                </a:solidFill>
                <a:prstDash val="dash"/>
              </a:ln>
            </c:spPr>
            <c:extLst>
              <c:ext xmlns:c16="http://schemas.microsoft.com/office/drawing/2014/chart" uri="{C3380CC4-5D6E-409C-BE32-E72D297353CC}">
                <c16:uniqueId val="{0000000D-B2E9-473E-B5C6-75D860530848}"/>
              </c:ext>
            </c:extLst>
          </c:dPt>
          <c:xVal>
            <c:numRef>
              <c:f>TwoArrowPage!$C$43:$D$43</c:f>
              <c:numCache>
                <c:formatCode>General</c:formatCode>
                <c:ptCount val="2"/>
                <c:pt idx="0">
                  <c:v>0.52830687830687839</c:v>
                </c:pt>
                <c:pt idx="1">
                  <c:v>0.52830687830687839</c:v>
                </c:pt>
              </c:numCache>
            </c:numRef>
          </c:xVal>
          <c:yVal>
            <c:numRef>
              <c:f>TwoArrowPage!$E$43:$F$43</c:f>
              <c:numCache>
                <c:formatCode>General</c:formatCode>
                <c:ptCount val="2"/>
                <c:pt idx="0">
                  <c:v>0</c:v>
                </c:pt>
                <c:pt idx="1">
                  <c:v>1</c:v>
                </c:pt>
              </c:numCache>
            </c:numRef>
          </c:yVal>
          <c:smooth val="0"/>
          <c:extLst>
            <c:ext xmlns:c16="http://schemas.microsoft.com/office/drawing/2014/chart" uri="{C3380CC4-5D6E-409C-BE32-E72D297353CC}">
              <c16:uniqueId val="{0000001C-7630-493F-8365-0873044BB7C7}"/>
            </c:ext>
          </c:extLst>
        </c:ser>
        <c:ser>
          <c:idx val="2"/>
          <c:order val="2"/>
          <c:tx>
            <c:strRef>
              <c:f>TwoArrowPage!$A$44</c:f>
              <c:strCache>
                <c:ptCount val="1"/>
                <c:pt idx="0">
                  <c:v>Composite Top Quartile</c:v>
                </c:pt>
              </c:strCache>
            </c:strRef>
          </c:tx>
          <c:spPr>
            <a:ln w="22225">
              <a:solidFill>
                <a:schemeClr val="accent3"/>
              </a:solidFill>
              <a:prstDash val="dash"/>
            </a:ln>
          </c:spPr>
          <c:marker>
            <c:symbol val="none"/>
          </c:marker>
          <c:dPt>
            <c:idx val="0"/>
            <c:bubble3D val="0"/>
            <c:extLst>
              <c:ext xmlns:c16="http://schemas.microsoft.com/office/drawing/2014/chart" uri="{C3380CC4-5D6E-409C-BE32-E72D297353CC}">
                <c16:uniqueId val="{0000000E-B2E9-473E-B5C6-75D860530848}"/>
              </c:ext>
            </c:extLst>
          </c:dPt>
          <c:dPt>
            <c:idx val="1"/>
            <c:bubble3D val="0"/>
            <c:extLst>
              <c:ext xmlns:c16="http://schemas.microsoft.com/office/drawing/2014/chart" uri="{C3380CC4-5D6E-409C-BE32-E72D297353CC}">
                <c16:uniqueId val="{0000000F-B2E9-473E-B5C6-75D860530848}"/>
              </c:ext>
            </c:extLst>
          </c:dPt>
          <c:xVal>
            <c:numRef>
              <c:f>TwoArrowPage!$C$44:$D$44</c:f>
              <c:numCache>
                <c:formatCode>General</c:formatCode>
                <c:ptCount val="2"/>
                <c:pt idx="0">
                  <c:v>0.56913359788359785</c:v>
                </c:pt>
                <c:pt idx="1">
                  <c:v>0.56913359788359785</c:v>
                </c:pt>
              </c:numCache>
            </c:numRef>
          </c:xVal>
          <c:yVal>
            <c:numRef>
              <c:f>TwoArrowPage!$E$44:$F$44</c:f>
              <c:numCache>
                <c:formatCode>General</c:formatCode>
                <c:ptCount val="2"/>
                <c:pt idx="0">
                  <c:v>0</c:v>
                </c:pt>
                <c:pt idx="1">
                  <c:v>1</c:v>
                </c:pt>
              </c:numCache>
            </c:numRef>
          </c:yVal>
          <c:smooth val="0"/>
          <c:extLst>
            <c:ext xmlns:c16="http://schemas.microsoft.com/office/drawing/2014/chart" uri="{C3380CC4-5D6E-409C-BE32-E72D297353CC}">
              <c16:uniqueId val="{0000001D-7630-493F-8365-0873044BB7C7}"/>
            </c:ext>
          </c:extLst>
        </c:ser>
        <c:ser>
          <c:idx val="3"/>
          <c:order val="3"/>
          <c:tx>
            <c:strRef>
              <c:f>TwoArrowPage!$A$45</c:f>
              <c:strCache>
                <c:ptCount val="1"/>
                <c:pt idx="0">
                  <c:v>EBITDA Median</c:v>
                </c:pt>
              </c:strCache>
            </c:strRef>
          </c:tx>
          <c:spPr>
            <a:ln w="22225">
              <a:solidFill>
                <a:schemeClr val="accent6">
                  <a:lumMod val="60000"/>
                  <a:lumOff val="40000"/>
                </a:schemeClr>
              </a:solidFill>
              <a:prstDash val="dash"/>
            </a:ln>
          </c:spPr>
          <c:marker>
            <c:symbol val="none"/>
          </c:marker>
          <c:dPt>
            <c:idx val="0"/>
            <c:bubble3D val="0"/>
            <c:extLst>
              <c:ext xmlns:c16="http://schemas.microsoft.com/office/drawing/2014/chart" uri="{C3380CC4-5D6E-409C-BE32-E72D297353CC}">
                <c16:uniqueId val="{00000010-B2E9-473E-B5C6-75D860530848}"/>
              </c:ext>
            </c:extLst>
          </c:dPt>
          <c:dPt>
            <c:idx val="1"/>
            <c:bubble3D val="0"/>
            <c:spPr>
              <a:ln w="22225">
                <a:solidFill>
                  <a:srgbClr val="FFC000"/>
                </a:solidFill>
                <a:prstDash val="dash"/>
              </a:ln>
            </c:spPr>
            <c:extLst>
              <c:ext xmlns:c16="http://schemas.microsoft.com/office/drawing/2014/chart" uri="{C3380CC4-5D6E-409C-BE32-E72D297353CC}">
                <c16:uniqueId val="{00000011-B2E9-473E-B5C6-75D860530848}"/>
              </c:ext>
            </c:extLst>
          </c:dPt>
          <c:xVal>
            <c:numRef>
              <c:f>TwoArrowPage!$C$45:$D$45</c:f>
              <c:numCache>
                <c:formatCode>General</c:formatCode>
                <c:ptCount val="2"/>
                <c:pt idx="0">
                  <c:v>0</c:v>
                </c:pt>
                <c:pt idx="1">
                  <c:v>1</c:v>
                </c:pt>
              </c:numCache>
            </c:numRef>
          </c:xVal>
          <c:yVal>
            <c:numRef>
              <c:f>TwoArrowPage!$E$45:$F$45</c:f>
              <c:numCache>
                <c:formatCode>General</c:formatCode>
                <c:ptCount val="2"/>
                <c:pt idx="0">
                  <c:v>0.5</c:v>
                </c:pt>
                <c:pt idx="1">
                  <c:v>0.5</c:v>
                </c:pt>
              </c:numCache>
            </c:numRef>
          </c:yVal>
          <c:smooth val="0"/>
          <c:extLst>
            <c:ext xmlns:c16="http://schemas.microsoft.com/office/drawing/2014/chart" uri="{C3380CC4-5D6E-409C-BE32-E72D297353CC}">
              <c16:uniqueId val="{0000001E-7630-493F-8365-0873044BB7C7}"/>
            </c:ext>
          </c:extLst>
        </c:ser>
        <c:ser>
          <c:idx val="4"/>
          <c:order val="4"/>
          <c:tx>
            <c:strRef>
              <c:f>TwoArrowPage!$A$46</c:f>
              <c:strCache>
                <c:ptCount val="1"/>
                <c:pt idx="0">
                  <c:v>EDITDA Top Quartile</c:v>
                </c:pt>
              </c:strCache>
            </c:strRef>
          </c:tx>
          <c:spPr>
            <a:ln w="22225">
              <a:solidFill>
                <a:schemeClr val="accent3"/>
              </a:solidFill>
              <a:prstDash val="dash"/>
            </a:ln>
          </c:spPr>
          <c:marker>
            <c:spPr>
              <a:ln>
                <a:noFill/>
              </a:ln>
            </c:spPr>
          </c:marker>
          <c:dPt>
            <c:idx val="0"/>
            <c:marker>
              <c:spPr>
                <a:pattFill>
                  <a:fgClr>
                    <a:srgbClr val="000000"/>
                  </a:fgClr>
                  <a:bgClr>
                    <a:srgbClr val="000000"/>
                  </a:bgClr>
                </a:pattFill>
                <a:ln>
                  <a:noFill/>
                </a:ln>
              </c:spPr>
            </c:marker>
            <c:bubble3D val="0"/>
            <c:extLst>
              <c:ext xmlns:c16="http://schemas.microsoft.com/office/drawing/2014/chart" uri="{C3380CC4-5D6E-409C-BE32-E72D297353CC}">
                <c16:uniqueId val="{00000012-B2E9-473E-B5C6-75D860530848}"/>
              </c:ext>
            </c:extLst>
          </c:dPt>
          <c:dPt>
            <c:idx val="1"/>
            <c:marker>
              <c:spPr>
                <a:pattFill>
                  <a:fgClr>
                    <a:srgbClr val="000000"/>
                  </a:fgClr>
                  <a:bgClr>
                    <a:srgbClr val="000000"/>
                  </a:bgClr>
                </a:pattFill>
                <a:ln>
                  <a:noFill/>
                </a:ln>
              </c:spPr>
            </c:marker>
            <c:bubble3D val="0"/>
            <c:extLst>
              <c:ext xmlns:c16="http://schemas.microsoft.com/office/drawing/2014/chart" uri="{C3380CC4-5D6E-409C-BE32-E72D297353CC}">
                <c16:uniqueId val="{00000013-B2E9-473E-B5C6-75D860530848}"/>
              </c:ext>
            </c:extLst>
          </c:dPt>
          <c:xVal>
            <c:numRef>
              <c:f>TwoArrowPage!$C$46:$D$46</c:f>
              <c:numCache>
                <c:formatCode>General</c:formatCode>
                <c:ptCount val="2"/>
                <c:pt idx="0">
                  <c:v>0</c:v>
                </c:pt>
                <c:pt idx="1">
                  <c:v>1</c:v>
                </c:pt>
              </c:numCache>
            </c:numRef>
          </c:xVal>
          <c:yVal>
            <c:numRef>
              <c:f>TwoArrowPage!$E$46:$F$46</c:f>
              <c:numCache>
                <c:formatCode>General</c:formatCode>
                <c:ptCount val="2"/>
                <c:pt idx="0">
                  <c:v>0.75</c:v>
                </c:pt>
                <c:pt idx="1">
                  <c:v>0.75</c:v>
                </c:pt>
              </c:numCache>
            </c:numRef>
          </c:yVal>
          <c:smooth val="0"/>
          <c:extLst>
            <c:ext xmlns:c16="http://schemas.microsoft.com/office/drawing/2014/chart" uri="{C3380CC4-5D6E-409C-BE32-E72D297353CC}">
              <c16:uniqueId val="{0000001F-7630-493F-8365-0873044BB7C7}"/>
            </c:ext>
          </c:extLst>
        </c:ser>
        <c:dLbls>
          <c:showLegendKey val="0"/>
          <c:showVal val="0"/>
          <c:showCatName val="0"/>
          <c:showSerName val="0"/>
          <c:showPercent val="0"/>
          <c:showBubbleSize val="0"/>
        </c:dLbls>
        <c:axId val="556567552"/>
        <c:axId val="556598400"/>
      </c:scatterChart>
      <c:valAx>
        <c:axId val="556567552"/>
        <c:scaling>
          <c:orientation val="minMax"/>
          <c:max val="1"/>
        </c:scaling>
        <c:delete val="0"/>
        <c:axPos val="b"/>
        <c:numFmt formatCode="0.0" sourceLinked="0"/>
        <c:majorTickMark val="out"/>
        <c:minorTickMark val="none"/>
        <c:tickLblPos val="nextTo"/>
        <c:crossAx val="556598400"/>
        <c:crosses val="autoZero"/>
        <c:crossBetween val="midCat"/>
      </c:valAx>
      <c:valAx>
        <c:axId val="556598400"/>
        <c:scaling>
          <c:orientation val="minMax"/>
          <c:max val="1"/>
        </c:scaling>
        <c:delete val="0"/>
        <c:axPos val="l"/>
        <c:numFmt formatCode="0.0" sourceLinked="0"/>
        <c:majorTickMark val="out"/>
        <c:minorTickMark val="none"/>
        <c:tickLblPos val="nextTo"/>
        <c:crossAx val="556567552"/>
        <c:crosses val="autoZero"/>
        <c:crossBetween val="midCat"/>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531775767861636E-2"/>
          <c:y val="4.3357629834612346E-2"/>
          <c:w val="0.88945921700286057"/>
          <c:h val="0.87562676296211106"/>
        </c:manualLayout>
      </c:layout>
      <c:scatterChart>
        <c:scatterStyle val="lineMarker"/>
        <c:varyColors val="0"/>
        <c:ser>
          <c:idx val="0"/>
          <c:order val="0"/>
          <c:tx>
            <c:v>Dots</c:v>
          </c:tx>
          <c:spPr>
            <a:ln w="28575">
              <a:noFill/>
            </a:ln>
            <a:effectLst>
              <a:outerShdw blurRad="50800" dist="38100" dir="2700000" algn="ctr" rotWithShape="0">
                <a:srgbClr val="000000">
                  <a:alpha val="40000"/>
                </a:srgbClr>
              </a:outerShdw>
            </a:effectLst>
          </c:spPr>
          <c:marker>
            <c:symbol val="circle"/>
            <c:size val="10"/>
            <c:spPr>
              <a:solidFill>
                <a:srgbClr val="002B49"/>
              </a:solidFill>
              <a:ln>
                <a:noFill/>
              </a:ln>
              <a:effectLst>
                <a:outerShdw blurRad="50800" dist="38100" dir="2700000" algn="ctr" rotWithShape="0">
                  <a:srgbClr val="000000">
                    <a:alpha val="40000"/>
                  </a:srgbClr>
                </a:outerShdw>
              </a:effectLst>
            </c:spPr>
          </c:marker>
          <c:dPt>
            <c:idx val="0"/>
            <c:marker>
              <c:spPr>
                <a:pattFill>
                  <a:fgClr>
                    <a:srgbClr val="000000"/>
                  </a:fgClr>
                  <a:bgClr>
                    <a:srgbClr val="000000"/>
                  </a:bgClr>
                </a:pattFill>
                <a:ln>
                  <a:solidFill>
                    <a:schemeClr val="accent1"/>
                  </a:solidFill>
                </a:ln>
              </c:spPr>
            </c:marker>
            <c:bubble3D val="0"/>
            <c:extLst>
              <c:ext xmlns:c16="http://schemas.microsoft.com/office/drawing/2014/chart" uri="{C3380CC4-5D6E-409C-BE32-E72D297353CC}">
                <c16:uniqueId val="{00000000-6187-4370-B3B8-8A62932862C8}"/>
              </c:ext>
            </c:extLst>
          </c:dPt>
          <c:dPt>
            <c:idx val="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1-6187-4370-B3B8-8A62932862C8}"/>
              </c:ext>
            </c:extLst>
          </c:dPt>
          <c:dPt>
            <c:idx val="2"/>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2-6187-4370-B3B8-8A62932862C8}"/>
              </c:ext>
            </c:extLst>
          </c:dPt>
          <c:dPt>
            <c:idx val="3"/>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3-6187-4370-B3B8-8A62932862C8}"/>
              </c:ext>
            </c:extLst>
          </c:dPt>
          <c:dPt>
            <c:idx val="4"/>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4-6187-4370-B3B8-8A62932862C8}"/>
              </c:ext>
            </c:extLst>
          </c:dPt>
          <c:dPt>
            <c:idx val="5"/>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5-6187-4370-B3B8-8A62932862C8}"/>
              </c:ext>
            </c:extLst>
          </c:dPt>
          <c:dPt>
            <c:idx val="6"/>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6-6187-4370-B3B8-8A62932862C8}"/>
              </c:ext>
            </c:extLst>
          </c:dPt>
          <c:dPt>
            <c:idx val="7"/>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7-6187-4370-B3B8-8A62932862C8}"/>
              </c:ext>
            </c:extLst>
          </c:dPt>
          <c:dPt>
            <c:idx val="8"/>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8-6187-4370-B3B8-8A62932862C8}"/>
              </c:ext>
            </c:extLst>
          </c:dPt>
          <c:dPt>
            <c:idx val="9"/>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9-6187-4370-B3B8-8A62932862C8}"/>
              </c:ext>
            </c:extLst>
          </c:dPt>
          <c:dPt>
            <c:idx val="10"/>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A-6187-4370-B3B8-8A62932862C8}"/>
              </c:ext>
            </c:extLst>
          </c:dPt>
          <c:dPt>
            <c:idx val="1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B-6187-4370-B3B8-8A62932862C8}"/>
              </c:ext>
            </c:extLst>
          </c:dPt>
          <c:dLbls>
            <c:dLbl>
              <c:idx val="0"/>
              <c:tx>
                <c:rich>
                  <a:bodyPr/>
                  <a:lstStyle/>
                  <a:p>
                    <a:fld id="{E1E09C8E-1D22-4AEA-A2A8-958AFE3F6EC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187-4370-B3B8-8A62932862C8}"/>
                </c:ext>
              </c:extLst>
            </c:dLbl>
            <c:dLbl>
              <c:idx val="1"/>
              <c:tx>
                <c:rich>
                  <a:bodyPr/>
                  <a:lstStyle/>
                  <a:p>
                    <a:fld id="{240E6F0E-AD6F-4D01-BD86-6BBDA200BB7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187-4370-B3B8-8A62932862C8}"/>
                </c:ext>
              </c:extLst>
            </c:dLbl>
            <c:dLbl>
              <c:idx val="2"/>
              <c:tx>
                <c:rich>
                  <a:bodyPr/>
                  <a:lstStyle/>
                  <a:p>
                    <a:fld id="{86EFC9A7-E457-453E-B41A-682CFDF88F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187-4370-B3B8-8A62932862C8}"/>
                </c:ext>
              </c:extLst>
            </c:dLbl>
            <c:dLbl>
              <c:idx val="3"/>
              <c:tx>
                <c:rich>
                  <a:bodyPr/>
                  <a:lstStyle/>
                  <a:p>
                    <a:fld id="{DC8B310D-A6C2-4018-BAB6-781A3290C1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187-4370-B3B8-8A62932862C8}"/>
                </c:ext>
              </c:extLst>
            </c:dLbl>
            <c:dLbl>
              <c:idx val="4"/>
              <c:tx>
                <c:rich>
                  <a:bodyPr/>
                  <a:lstStyle/>
                  <a:p>
                    <a:fld id="{F95A1F21-384D-4CCD-9A1A-563795E60E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187-4370-B3B8-8A62932862C8}"/>
                </c:ext>
              </c:extLst>
            </c:dLbl>
            <c:dLbl>
              <c:idx val="5"/>
              <c:tx>
                <c:rich>
                  <a:bodyPr/>
                  <a:lstStyle/>
                  <a:p>
                    <a:fld id="{6E4A2ECD-C9EB-452A-B853-0185831D63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187-4370-B3B8-8A62932862C8}"/>
                </c:ext>
              </c:extLst>
            </c:dLbl>
            <c:dLbl>
              <c:idx val="6"/>
              <c:tx>
                <c:rich>
                  <a:bodyPr/>
                  <a:lstStyle/>
                  <a:p>
                    <a:fld id="{58CD1997-26C5-4645-9697-25E22840F14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187-4370-B3B8-8A62932862C8}"/>
                </c:ext>
              </c:extLst>
            </c:dLbl>
            <c:dLbl>
              <c:idx val="7"/>
              <c:tx>
                <c:rich>
                  <a:bodyPr/>
                  <a:lstStyle/>
                  <a:p>
                    <a:fld id="{4BFFBF5B-0EC1-4A64-ADA9-B22391073C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187-4370-B3B8-8A62932862C8}"/>
                </c:ext>
              </c:extLst>
            </c:dLbl>
            <c:dLbl>
              <c:idx val="8"/>
              <c:tx>
                <c:rich>
                  <a:bodyPr/>
                  <a:lstStyle/>
                  <a:p>
                    <a:fld id="{0F30C70E-0F84-47E5-9374-D738412D09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187-4370-B3B8-8A62932862C8}"/>
                </c:ext>
              </c:extLst>
            </c:dLbl>
            <c:dLbl>
              <c:idx val="9"/>
              <c:tx>
                <c:rich>
                  <a:bodyPr/>
                  <a:lstStyle/>
                  <a:p>
                    <a:fld id="{1E6E2302-1CC2-4C87-9F47-7D6BC5B1D0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187-4370-B3B8-8A62932862C8}"/>
                </c:ext>
              </c:extLst>
            </c:dLbl>
            <c:dLbl>
              <c:idx val="10"/>
              <c:tx>
                <c:rich>
                  <a:bodyPr/>
                  <a:lstStyle/>
                  <a:p>
                    <a:fld id="{33A52A82-E272-4FA9-BB07-55B4E16C78A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187-4370-B3B8-8A62932862C8}"/>
                </c:ext>
              </c:extLst>
            </c:dLbl>
            <c:dLbl>
              <c:idx val="11"/>
              <c:tx>
                <c:rich>
                  <a:bodyPr/>
                  <a:lstStyle/>
                  <a:p>
                    <a:fld id="{182686F9-6647-4E79-B442-B49B174F6E3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187-4370-B3B8-8A62932862C8}"/>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TwoArrowPage!$C$4:$C$15</c:f>
              <c:numCache>
                <c:formatCode>General</c:formatCode>
                <c:ptCount val="12"/>
                <c:pt idx="0">
                  <c:v>0.54320105820105824</c:v>
                </c:pt>
                <c:pt idx="1">
                  <c:v>0.51645502645502639</c:v>
                </c:pt>
                <c:pt idx="2">
                  <c:v>0.65425925925925932</c:v>
                </c:pt>
                <c:pt idx="3">
                  <c:v>0.52232804232804242</c:v>
                </c:pt>
                <c:pt idx="4">
                  <c:v>0.57280423280423276</c:v>
                </c:pt>
                <c:pt idx="5">
                  <c:v>0.55939153439153433</c:v>
                </c:pt>
                <c:pt idx="6">
                  <c:v>0.56791005291005292</c:v>
                </c:pt>
                <c:pt idx="7">
                  <c:v>0.4766137566137566</c:v>
                </c:pt>
                <c:pt idx="8">
                  <c:v>0.37989417989417984</c:v>
                </c:pt>
                <c:pt idx="9">
                  <c:v>0.44571428571428573</c:v>
                </c:pt>
                <c:pt idx="10">
                  <c:v>0.40597883597883599</c:v>
                </c:pt>
                <c:pt idx="11">
                  <c:v>0.59193121693121697</c:v>
                </c:pt>
              </c:numCache>
            </c:numRef>
          </c:xVal>
          <c:yVal>
            <c:numRef>
              <c:f>TwoArrowPage!$D$4:$D$15</c:f>
              <c:numCache>
                <c:formatCode>General</c:formatCode>
                <c:ptCount val="12"/>
                <c:pt idx="0">
                  <c:v>0.73333333333333328</c:v>
                </c:pt>
                <c:pt idx="1">
                  <c:v>0</c:v>
                </c:pt>
                <c:pt idx="2">
                  <c:v>0.26666666666666666</c:v>
                </c:pt>
                <c:pt idx="3">
                  <c:v>0.8666666666666667</c:v>
                </c:pt>
                <c:pt idx="4">
                  <c:v>0.66666666666666663</c:v>
                </c:pt>
                <c:pt idx="5">
                  <c:v>0.13333333333333333</c:v>
                </c:pt>
                <c:pt idx="6">
                  <c:v>0.93333333333333335</c:v>
                </c:pt>
                <c:pt idx="7">
                  <c:v>0.8</c:v>
                </c:pt>
                <c:pt idx="8">
                  <c:v>0.46666666666666667</c:v>
                </c:pt>
                <c:pt idx="9">
                  <c:v>0.53333333333333333</c:v>
                </c:pt>
                <c:pt idx="10">
                  <c:v>0.6</c:v>
                </c:pt>
                <c:pt idx="11">
                  <c:v>1</c:v>
                </c:pt>
              </c:numCache>
            </c:numRef>
          </c:yVal>
          <c:smooth val="0"/>
          <c:extLst>
            <c:ext xmlns:c15="http://schemas.microsoft.com/office/drawing/2012/chart" uri="{02D57815-91ED-43cb-92C2-25804820EDAC}">
              <c15:datalabelsRange>
                <c15:f>LiquidityTwoArrowPage!$B$4:$B$23</c15:f>
                <c15:dlblRangeCache>
                  <c:ptCount val="20"/>
                  <c:pt idx="0">
                    <c:v>BRF SA</c:v>
                  </c:pt>
                  <c:pt idx="1">
                    <c:v>CAMPBELL SOUP CO</c:v>
                  </c:pt>
                  <c:pt idx="2">
                    <c:v>CONAGRA BRANDS INC</c:v>
                  </c:pt>
                  <c:pt idx="3">
                    <c:v>DANONE S.A.</c:v>
                  </c:pt>
                  <c:pt idx="4">
                    <c:v>GENERAL MILLS INC</c:v>
                  </c:pt>
                  <c:pt idx="5">
                    <c:v>HAIN CELESTIAL</c:v>
                  </c:pt>
                  <c:pt idx="6">
                    <c:v>HERSHEY CO</c:v>
                  </c:pt>
                  <c:pt idx="7">
                    <c:v>HORMEL FOODS CORP</c:v>
                  </c:pt>
                  <c:pt idx="8">
                    <c:v>J M SMUCKER CO</c:v>
                  </c:pt>
                  <c:pt idx="9">
                    <c:v>KELLOGG CO</c:v>
                  </c:pt>
                  <c:pt idx="10">
                    <c:v>KRAFT HEINZ CO</c:v>
                  </c:pt>
                  <c:pt idx="11">
                    <c:v>LAMB WESTON</c:v>
                  </c:pt>
                  <c:pt idx="12">
                    <c:v>MCCORMICK &amp; CO INC</c:v>
                  </c:pt>
                  <c:pt idx="13">
                    <c:v>MONDELEZ</c:v>
                  </c:pt>
                  <c:pt idx="14">
                    <c:v>PILGRIMS PRIDE CORP</c:v>
                  </c:pt>
                  <c:pt idx="15">
                    <c:v>TYSON FOODS INC</c:v>
                  </c:pt>
                </c15:dlblRangeCache>
              </c15:datalabelsRange>
            </c:ext>
            <c:ext xmlns:c16="http://schemas.microsoft.com/office/drawing/2014/chart" uri="{C3380CC4-5D6E-409C-BE32-E72D297353CC}">
              <c16:uniqueId val="{0000000C-6187-4370-B3B8-8A62932862C8}"/>
            </c:ext>
          </c:extLst>
        </c:ser>
        <c:ser>
          <c:idx val="1"/>
          <c:order val="1"/>
          <c:tx>
            <c:strRef>
              <c:f>LiquidityTwoArrowPage!$A$43</c:f>
              <c:strCache>
                <c:ptCount val="1"/>
                <c:pt idx="0">
                  <c:v>Composite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0C-F714-47DD-8740-87626A331DE6}"/>
              </c:ext>
            </c:extLst>
          </c:dPt>
          <c:dPt>
            <c:idx val="1"/>
            <c:bubble3D val="0"/>
            <c:extLst>
              <c:ext xmlns:c16="http://schemas.microsoft.com/office/drawing/2014/chart" uri="{C3380CC4-5D6E-409C-BE32-E72D297353CC}">
                <c16:uniqueId val="{0000000D-F714-47DD-8740-87626A331DE6}"/>
              </c:ext>
            </c:extLst>
          </c:dPt>
          <c:xVal>
            <c:numRef>
              <c:f>LiquidityTwoArrowPage!$C$43:$D$43</c:f>
              <c:numCache>
                <c:formatCode>General</c:formatCode>
                <c:ptCount val="2"/>
                <c:pt idx="0">
                  <c:v>0.51666666666666672</c:v>
                </c:pt>
                <c:pt idx="1">
                  <c:v>0.51666666666666672</c:v>
                </c:pt>
              </c:numCache>
            </c:numRef>
          </c:xVal>
          <c:yVal>
            <c:numRef>
              <c:f>LiquidityTwoArrowPage!$E$43:$F$43</c:f>
              <c:numCache>
                <c:formatCode>General</c:formatCode>
                <c:ptCount val="2"/>
                <c:pt idx="0">
                  <c:v>0</c:v>
                </c:pt>
                <c:pt idx="1">
                  <c:v>1</c:v>
                </c:pt>
              </c:numCache>
            </c:numRef>
          </c:yVal>
          <c:smooth val="0"/>
          <c:extLst>
            <c:ext xmlns:c16="http://schemas.microsoft.com/office/drawing/2014/chart" uri="{C3380CC4-5D6E-409C-BE32-E72D297353CC}">
              <c16:uniqueId val="{0000000D-6187-4370-B3B8-8A62932862C8}"/>
            </c:ext>
          </c:extLst>
        </c:ser>
        <c:ser>
          <c:idx val="2"/>
          <c:order val="2"/>
          <c:tx>
            <c:strRef>
              <c:f>LiquidityTwoArrowPage!$A$44</c:f>
              <c:strCache>
                <c:ptCount val="1"/>
                <c:pt idx="0">
                  <c:v>Composite Top Quartile</c:v>
                </c:pt>
              </c:strCache>
            </c:strRef>
          </c:tx>
          <c:spPr>
            <a:ln w="22225">
              <a:solidFill>
                <a:schemeClr val="accent3"/>
              </a:solidFill>
              <a:prstDash val="dash"/>
            </a:ln>
          </c:spPr>
          <c:marker>
            <c:symbol val="none"/>
          </c:marker>
          <c:dPt>
            <c:idx val="0"/>
            <c:bubble3D val="0"/>
            <c:extLst>
              <c:ext xmlns:c16="http://schemas.microsoft.com/office/drawing/2014/chart" uri="{C3380CC4-5D6E-409C-BE32-E72D297353CC}">
                <c16:uniqueId val="{0000000E-F714-47DD-8740-87626A331DE6}"/>
              </c:ext>
            </c:extLst>
          </c:dPt>
          <c:dPt>
            <c:idx val="1"/>
            <c:bubble3D val="0"/>
            <c:extLst>
              <c:ext xmlns:c16="http://schemas.microsoft.com/office/drawing/2014/chart" uri="{C3380CC4-5D6E-409C-BE32-E72D297353CC}">
                <c16:uniqueId val="{0000000F-F714-47DD-8740-87626A331DE6}"/>
              </c:ext>
            </c:extLst>
          </c:dPt>
          <c:xVal>
            <c:numRef>
              <c:f>LiquidityTwoArrowPage!$C$44:$D$44</c:f>
              <c:numCache>
                <c:formatCode>General</c:formatCode>
                <c:ptCount val="2"/>
                <c:pt idx="0">
                  <c:v>0.60166666666666668</c:v>
                </c:pt>
                <c:pt idx="1">
                  <c:v>0.60166666666666668</c:v>
                </c:pt>
              </c:numCache>
            </c:numRef>
          </c:xVal>
          <c:yVal>
            <c:numRef>
              <c:f>LiquidityTwoArrowPage!$E$44:$F$44</c:f>
              <c:numCache>
                <c:formatCode>General</c:formatCode>
                <c:ptCount val="2"/>
                <c:pt idx="0">
                  <c:v>0</c:v>
                </c:pt>
                <c:pt idx="1">
                  <c:v>1</c:v>
                </c:pt>
              </c:numCache>
            </c:numRef>
          </c:yVal>
          <c:smooth val="0"/>
          <c:extLst>
            <c:ext xmlns:c16="http://schemas.microsoft.com/office/drawing/2014/chart" uri="{C3380CC4-5D6E-409C-BE32-E72D297353CC}">
              <c16:uniqueId val="{0000000E-6187-4370-B3B8-8A62932862C8}"/>
            </c:ext>
          </c:extLst>
        </c:ser>
        <c:ser>
          <c:idx val="3"/>
          <c:order val="3"/>
          <c:tx>
            <c:strRef>
              <c:f>LiquidityTwoArrowPage!$A$45</c:f>
              <c:strCache>
                <c:ptCount val="1"/>
                <c:pt idx="0">
                  <c:v>EBITDA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10-F714-47DD-8740-87626A331DE6}"/>
              </c:ext>
            </c:extLst>
          </c:dPt>
          <c:dPt>
            <c:idx val="1"/>
            <c:bubble3D val="0"/>
            <c:extLst>
              <c:ext xmlns:c16="http://schemas.microsoft.com/office/drawing/2014/chart" uri="{C3380CC4-5D6E-409C-BE32-E72D297353CC}">
                <c16:uniqueId val="{00000011-F714-47DD-8740-87626A331DE6}"/>
              </c:ext>
            </c:extLst>
          </c:dPt>
          <c:xVal>
            <c:numRef>
              <c:f>LiquidityTwoArrowPage!$C$45:$D$45</c:f>
              <c:numCache>
                <c:formatCode>General</c:formatCode>
                <c:ptCount val="2"/>
                <c:pt idx="0">
                  <c:v>0</c:v>
                </c:pt>
                <c:pt idx="1">
                  <c:v>1</c:v>
                </c:pt>
              </c:numCache>
            </c:numRef>
          </c:xVal>
          <c:yVal>
            <c:numRef>
              <c:f>LiquidityTwoArrowPage!$E$45:$F$45</c:f>
              <c:numCache>
                <c:formatCode>General</c:formatCode>
                <c:ptCount val="2"/>
                <c:pt idx="0">
                  <c:v>0.5</c:v>
                </c:pt>
                <c:pt idx="1">
                  <c:v>0.5</c:v>
                </c:pt>
              </c:numCache>
            </c:numRef>
          </c:yVal>
          <c:smooth val="0"/>
          <c:extLst>
            <c:ext xmlns:c16="http://schemas.microsoft.com/office/drawing/2014/chart" uri="{C3380CC4-5D6E-409C-BE32-E72D297353CC}">
              <c16:uniqueId val="{0000000F-6187-4370-B3B8-8A62932862C8}"/>
            </c:ext>
          </c:extLst>
        </c:ser>
        <c:ser>
          <c:idx val="4"/>
          <c:order val="4"/>
          <c:tx>
            <c:strRef>
              <c:f>LiquidityTwoArrowPage!$A$46</c:f>
              <c:strCache>
                <c:ptCount val="1"/>
                <c:pt idx="0">
                  <c:v>EDITDA Top Quartile</c:v>
                </c:pt>
              </c:strCache>
            </c:strRef>
          </c:tx>
          <c:spPr>
            <a:ln w="22225">
              <a:solidFill>
                <a:schemeClr val="accent3"/>
              </a:solidFill>
              <a:prstDash val="dash"/>
            </a:ln>
          </c:spPr>
          <c:marker>
            <c:spPr>
              <a:ln>
                <a:noFill/>
              </a:ln>
            </c:spPr>
          </c:marker>
          <c:dPt>
            <c:idx val="0"/>
            <c:marker>
              <c:spPr>
                <a:pattFill>
                  <a:fgClr>
                    <a:srgbClr val="000000"/>
                  </a:fgClr>
                  <a:bgClr>
                    <a:srgbClr val="000000"/>
                  </a:bgClr>
                </a:pattFill>
                <a:ln>
                  <a:noFill/>
                </a:ln>
              </c:spPr>
            </c:marker>
            <c:bubble3D val="0"/>
            <c:extLst>
              <c:ext xmlns:c16="http://schemas.microsoft.com/office/drawing/2014/chart" uri="{C3380CC4-5D6E-409C-BE32-E72D297353CC}">
                <c16:uniqueId val="{00000012-F714-47DD-8740-87626A331DE6}"/>
              </c:ext>
            </c:extLst>
          </c:dPt>
          <c:dPt>
            <c:idx val="1"/>
            <c:marker>
              <c:spPr>
                <a:pattFill>
                  <a:fgClr>
                    <a:srgbClr val="000000"/>
                  </a:fgClr>
                  <a:bgClr>
                    <a:srgbClr val="000000"/>
                  </a:bgClr>
                </a:pattFill>
                <a:ln>
                  <a:noFill/>
                </a:ln>
              </c:spPr>
            </c:marker>
            <c:bubble3D val="0"/>
            <c:extLst>
              <c:ext xmlns:c16="http://schemas.microsoft.com/office/drawing/2014/chart" uri="{C3380CC4-5D6E-409C-BE32-E72D297353CC}">
                <c16:uniqueId val="{00000013-F714-47DD-8740-87626A331DE6}"/>
              </c:ext>
            </c:extLst>
          </c:dPt>
          <c:xVal>
            <c:numRef>
              <c:f>LiquidityTwoArrowPage!$C$46:$D$46</c:f>
              <c:numCache>
                <c:formatCode>General</c:formatCode>
                <c:ptCount val="2"/>
                <c:pt idx="0">
                  <c:v>0</c:v>
                </c:pt>
                <c:pt idx="1">
                  <c:v>1</c:v>
                </c:pt>
              </c:numCache>
            </c:numRef>
          </c:xVal>
          <c:yVal>
            <c:numRef>
              <c:f>LiquidityTwoArrowPage!$E$46:$F$46</c:f>
              <c:numCache>
                <c:formatCode>General</c:formatCode>
                <c:ptCount val="2"/>
                <c:pt idx="0">
                  <c:v>0.75</c:v>
                </c:pt>
                <c:pt idx="1">
                  <c:v>0.75</c:v>
                </c:pt>
              </c:numCache>
            </c:numRef>
          </c:yVal>
          <c:smooth val="0"/>
          <c:extLst>
            <c:ext xmlns:c16="http://schemas.microsoft.com/office/drawing/2014/chart" uri="{C3380CC4-5D6E-409C-BE32-E72D297353CC}">
              <c16:uniqueId val="{00000010-6187-4370-B3B8-8A62932862C8}"/>
            </c:ext>
          </c:extLst>
        </c:ser>
        <c:dLbls>
          <c:showLegendKey val="0"/>
          <c:showVal val="0"/>
          <c:showCatName val="0"/>
          <c:showSerName val="0"/>
          <c:showPercent val="0"/>
          <c:showBubbleSize val="0"/>
        </c:dLbls>
        <c:axId val="556567552"/>
        <c:axId val="556598400"/>
      </c:scatterChart>
      <c:valAx>
        <c:axId val="556567552"/>
        <c:scaling>
          <c:orientation val="minMax"/>
          <c:max val="1"/>
        </c:scaling>
        <c:delete val="0"/>
        <c:axPos val="b"/>
        <c:numFmt formatCode="0.0" sourceLinked="0"/>
        <c:majorTickMark val="out"/>
        <c:minorTickMark val="none"/>
        <c:tickLblPos val="nextTo"/>
        <c:crossAx val="556598400"/>
        <c:crosses val="autoZero"/>
        <c:crossBetween val="midCat"/>
      </c:valAx>
      <c:valAx>
        <c:axId val="556598400"/>
        <c:scaling>
          <c:orientation val="minMax"/>
          <c:max val="1"/>
        </c:scaling>
        <c:delete val="0"/>
        <c:axPos val="l"/>
        <c:numFmt formatCode="0.0" sourceLinked="0"/>
        <c:majorTickMark val="out"/>
        <c:minorTickMark val="none"/>
        <c:tickLblPos val="nextTo"/>
        <c:crossAx val="556567552"/>
        <c:crosses val="autoZero"/>
        <c:crossBetween val="midCat"/>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531775767861636E-2"/>
          <c:y val="4.3357629834612346E-2"/>
          <c:w val="0.88945921700286057"/>
          <c:h val="0.87562676296211106"/>
        </c:manualLayout>
      </c:layout>
      <c:scatterChart>
        <c:scatterStyle val="lineMarker"/>
        <c:varyColors val="0"/>
        <c:ser>
          <c:idx val="0"/>
          <c:order val="0"/>
          <c:tx>
            <c:v>Dots</c:v>
          </c:tx>
          <c:spPr>
            <a:ln w="28575">
              <a:noFill/>
            </a:ln>
            <a:effectLst>
              <a:outerShdw blurRad="50800" dist="38100" dir="2700000" algn="ctr" rotWithShape="0">
                <a:srgbClr val="000000">
                  <a:alpha val="40000"/>
                </a:srgbClr>
              </a:outerShdw>
            </a:effectLst>
          </c:spPr>
          <c:marker>
            <c:symbol val="circle"/>
            <c:size val="10"/>
            <c:spPr>
              <a:solidFill>
                <a:srgbClr val="002B49"/>
              </a:solidFill>
              <a:ln>
                <a:noFill/>
              </a:ln>
              <a:effectLst>
                <a:outerShdw blurRad="50800" dist="38100" dir="2700000" algn="ctr" rotWithShape="0">
                  <a:srgbClr val="000000">
                    <a:alpha val="40000"/>
                  </a:srgbClr>
                </a:outerShdw>
              </a:effectLst>
            </c:spPr>
          </c:marker>
          <c:dPt>
            <c:idx val="0"/>
            <c:marker>
              <c:spPr>
                <a:pattFill>
                  <a:fgClr>
                    <a:srgbClr val="000000"/>
                  </a:fgClr>
                  <a:bgClr>
                    <a:srgbClr val="000000"/>
                  </a:bgClr>
                </a:pattFill>
                <a:ln>
                  <a:solidFill>
                    <a:schemeClr val="accent1"/>
                  </a:solidFill>
                </a:ln>
              </c:spPr>
            </c:marker>
            <c:bubble3D val="0"/>
            <c:extLst>
              <c:ext xmlns:c16="http://schemas.microsoft.com/office/drawing/2014/chart" uri="{C3380CC4-5D6E-409C-BE32-E72D297353CC}">
                <c16:uniqueId val="{00000000-2B23-49B3-A6B3-9823A1A517D2}"/>
              </c:ext>
            </c:extLst>
          </c:dPt>
          <c:dPt>
            <c:idx val="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1-2B23-49B3-A6B3-9823A1A517D2}"/>
              </c:ext>
            </c:extLst>
          </c:dPt>
          <c:dPt>
            <c:idx val="2"/>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2-2B23-49B3-A6B3-9823A1A517D2}"/>
              </c:ext>
            </c:extLst>
          </c:dPt>
          <c:dPt>
            <c:idx val="3"/>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3-2B23-49B3-A6B3-9823A1A517D2}"/>
              </c:ext>
            </c:extLst>
          </c:dPt>
          <c:dPt>
            <c:idx val="4"/>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4-2B23-49B3-A6B3-9823A1A517D2}"/>
              </c:ext>
            </c:extLst>
          </c:dPt>
          <c:dPt>
            <c:idx val="5"/>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5-2B23-49B3-A6B3-9823A1A517D2}"/>
              </c:ext>
            </c:extLst>
          </c:dPt>
          <c:dPt>
            <c:idx val="6"/>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6-2B23-49B3-A6B3-9823A1A517D2}"/>
              </c:ext>
            </c:extLst>
          </c:dPt>
          <c:dPt>
            <c:idx val="7"/>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7-2B23-49B3-A6B3-9823A1A517D2}"/>
              </c:ext>
            </c:extLst>
          </c:dPt>
          <c:dPt>
            <c:idx val="8"/>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8-2B23-49B3-A6B3-9823A1A517D2}"/>
              </c:ext>
            </c:extLst>
          </c:dPt>
          <c:dPt>
            <c:idx val="9"/>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9-2B23-49B3-A6B3-9823A1A517D2}"/>
              </c:ext>
            </c:extLst>
          </c:dPt>
          <c:dPt>
            <c:idx val="10"/>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A-2B23-49B3-A6B3-9823A1A517D2}"/>
              </c:ext>
            </c:extLst>
          </c:dPt>
          <c:dPt>
            <c:idx val="1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B-2B23-49B3-A6B3-9823A1A517D2}"/>
              </c:ext>
            </c:extLst>
          </c:dPt>
          <c:dLbls>
            <c:dLbl>
              <c:idx val="0"/>
              <c:tx>
                <c:rich>
                  <a:bodyPr/>
                  <a:lstStyle/>
                  <a:p>
                    <a:fld id="{29B04D35-76EF-4037-9CE8-40663181BBF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B23-49B3-A6B3-9823A1A517D2}"/>
                </c:ext>
              </c:extLst>
            </c:dLbl>
            <c:dLbl>
              <c:idx val="1"/>
              <c:tx>
                <c:rich>
                  <a:bodyPr/>
                  <a:lstStyle/>
                  <a:p>
                    <a:fld id="{50DCDF5B-4D0F-45C2-8BED-95F435431A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B23-49B3-A6B3-9823A1A517D2}"/>
                </c:ext>
              </c:extLst>
            </c:dLbl>
            <c:dLbl>
              <c:idx val="2"/>
              <c:tx>
                <c:rich>
                  <a:bodyPr/>
                  <a:lstStyle/>
                  <a:p>
                    <a:fld id="{CC3C9F2B-7A34-4EFD-AB42-7B09828FDC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B23-49B3-A6B3-9823A1A517D2}"/>
                </c:ext>
              </c:extLst>
            </c:dLbl>
            <c:dLbl>
              <c:idx val="3"/>
              <c:tx>
                <c:rich>
                  <a:bodyPr/>
                  <a:lstStyle/>
                  <a:p>
                    <a:fld id="{169FB59D-B014-49FE-B03E-2B0F310E98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B23-49B3-A6B3-9823A1A517D2}"/>
                </c:ext>
              </c:extLst>
            </c:dLbl>
            <c:dLbl>
              <c:idx val="4"/>
              <c:tx>
                <c:rich>
                  <a:bodyPr/>
                  <a:lstStyle/>
                  <a:p>
                    <a:fld id="{5EAD7A23-98D5-4A29-834D-8B65FCD6D32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B23-49B3-A6B3-9823A1A517D2}"/>
                </c:ext>
              </c:extLst>
            </c:dLbl>
            <c:dLbl>
              <c:idx val="5"/>
              <c:tx>
                <c:rich>
                  <a:bodyPr/>
                  <a:lstStyle/>
                  <a:p>
                    <a:fld id="{A3DB95D0-D422-453A-BE8C-CB6C651775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B23-49B3-A6B3-9823A1A517D2}"/>
                </c:ext>
              </c:extLst>
            </c:dLbl>
            <c:dLbl>
              <c:idx val="6"/>
              <c:tx>
                <c:rich>
                  <a:bodyPr/>
                  <a:lstStyle/>
                  <a:p>
                    <a:fld id="{495C5069-3B0A-4BCE-9070-92682529DB7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B23-49B3-A6B3-9823A1A517D2}"/>
                </c:ext>
              </c:extLst>
            </c:dLbl>
            <c:dLbl>
              <c:idx val="7"/>
              <c:tx>
                <c:rich>
                  <a:bodyPr/>
                  <a:lstStyle/>
                  <a:p>
                    <a:fld id="{1DF083BE-D2D4-4ED9-A400-AF0192848C9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B23-49B3-A6B3-9823A1A517D2}"/>
                </c:ext>
              </c:extLst>
            </c:dLbl>
            <c:dLbl>
              <c:idx val="8"/>
              <c:tx>
                <c:rich>
                  <a:bodyPr/>
                  <a:lstStyle/>
                  <a:p>
                    <a:fld id="{29A60097-F03A-49AD-B75B-D360DB3C47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B23-49B3-A6B3-9823A1A517D2}"/>
                </c:ext>
              </c:extLst>
            </c:dLbl>
            <c:dLbl>
              <c:idx val="9"/>
              <c:tx>
                <c:rich>
                  <a:bodyPr/>
                  <a:lstStyle/>
                  <a:p>
                    <a:fld id="{307470EE-1F52-435B-B193-06A204F6750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B23-49B3-A6B3-9823A1A517D2}"/>
                </c:ext>
              </c:extLst>
            </c:dLbl>
            <c:dLbl>
              <c:idx val="10"/>
              <c:tx>
                <c:rich>
                  <a:bodyPr/>
                  <a:lstStyle/>
                  <a:p>
                    <a:fld id="{AE8ADA75-31C7-4A4B-B914-B11622B8DFB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B23-49B3-A6B3-9823A1A517D2}"/>
                </c:ext>
              </c:extLst>
            </c:dLbl>
            <c:dLbl>
              <c:idx val="11"/>
              <c:tx>
                <c:rich>
                  <a:bodyPr/>
                  <a:lstStyle/>
                  <a:p>
                    <a:fld id="{109149BE-D830-41BF-8951-FCB861910F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B23-49B3-A6B3-9823A1A517D2}"/>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TwoArrowPage!$C$4:$C$15</c:f>
              <c:numCache>
                <c:formatCode>General</c:formatCode>
                <c:ptCount val="12"/>
                <c:pt idx="0">
                  <c:v>0.54320105820105824</c:v>
                </c:pt>
                <c:pt idx="1">
                  <c:v>0.51645502645502639</c:v>
                </c:pt>
                <c:pt idx="2">
                  <c:v>0.65425925925925932</c:v>
                </c:pt>
                <c:pt idx="3">
                  <c:v>0.52232804232804242</c:v>
                </c:pt>
                <c:pt idx="4">
                  <c:v>0.57280423280423276</c:v>
                </c:pt>
                <c:pt idx="5">
                  <c:v>0.55939153439153433</c:v>
                </c:pt>
                <c:pt idx="6">
                  <c:v>0.56791005291005292</c:v>
                </c:pt>
                <c:pt idx="7">
                  <c:v>0.4766137566137566</c:v>
                </c:pt>
                <c:pt idx="8">
                  <c:v>0.37989417989417984</c:v>
                </c:pt>
                <c:pt idx="9">
                  <c:v>0.44571428571428573</c:v>
                </c:pt>
                <c:pt idx="10">
                  <c:v>0.40597883597883599</c:v>
                </c:pt>
                <c:pt idx="11">
                  <c:v>0.59193121693121697</c:v>
                </c:pt>
              </c:numCache>
            </c:numRef>
          </c:xVal>
          <c:yVal>
            <c:numRef>
              <c:f>TwoArrowPage!$D$4:$D$15</c:f>
              <c:numCache>
                <c:formatCode>General</c:formatCode>
                <c:ptCount val="12"/>
                <c:pt idx="0">
                  <c:v>0.73333333333333328</c:v>
                </c:pt>
                <c:pt idx="1">
                  <c:v>0</c:v>
                </c:pt>
                <c:pt idx="2">
                  <c:v>0.26666666666666666</c:v>
                </c:pt>
                <c:pt idx="3">
                  <c:v>0.8666666666666667</c:v>
                </c:pt>
                <c:pt idx="4">
                  <c:v>0.66666666666666663</c:v>
                </c:pt>
                <c:pt idx="5">
                  <c:v>0.13333333333333333</c:v>
                </c:pt>
                <c:pt idx="6">
                  <c:v>0.93333333333333335</c:v>
                </c:pt>
                <c:pt idx="7">
                  <c:v>0.8</c:v>
                </c:pt>
                <c:pt idx="8">
                  <c:v>0.46666666666666667</c:v>
                </c:pt>
                <c:pt idx="9">
                  <c:v>0.53333333333333333</c:v>
                </c:pt>
                <c:pt idx="10">
                  <c:v>0.6</c:v>
                </c:pt>
                <c:pt idx="11">
                  <c:v>1</c:v>
                </c:pt>
              </c:numCache>
            </c:numRef>
          </c:yVal>
          <c:smooth val="0"/>
          <c:extLst>
            <c:ext xmlns:c15="http://schemas.microsoft.com/office/drawing/2012/chart" uri="{02D57815-91ED-43cb-92C2-25804820EDAC}">
              <c15:datalabelsRange>
                <c15:f>ProfitabilityTwoArrowPage!$B$4:$B$23</c15:f>
                <c15:dlblRangeCache>
                  <c:ptCount val="20"/>
                  <c:pt idx="0">
                    <c:v>BRF SA</c:v>
                  </c:pt>
                  <c:pt idx="1">
                    <c:v>CAMPBELL SOUP CO</c:v>
                  </c:pt>
                  <c:pt idx="2">
                    <c:v>CONAGRA BRANDS INC</c:v>
                  </c:pt>
                  <c:pt idx="3">
                    <c:v>DANONE S.A.</c:v>
                  </c:pt>
                  <c:pt idx="4">
                    <c:v>GENERAL MILLS INC</c:v>
                  </c:pt>
                  <c:pt idx="5">
                    <c:v>HAIN CELESTIAL</c:v>
                  </c:pt>
                  <c:pt idx="6">
                    <c:v>HERSHEY CO</c:v>
                  </c:pt>
                  <c:pt idx="7">
                    <c:v>HORMEL FOODS CORP</c:v>
                  </c:pt>
                  <c:pt idx="8">
                    <c:v>J M SMUCKER CO</c:v>
                  </c:pt>
                  <c:pt idx="9">
                    <c:v>KELLOGG CO</c:v>
                  </c:pt>
                  <c:pt idx="10">
                    <c:v>KRAFT HEINZ CO</c:v>
                  </c:pt>
                  <c:pt idx="11">
                    <c:v>LAMB WESTON</c:v>
                  </c:pt>
                  <c:pt idx="12">
                    <c:v>MCCORMICK &amp; CO INC</c:v>
                  </c:pt>
                  <c:pt idx="13">
                    <c:v>MONDELEZ</c:v>
                  </c:pt>
                  <c:pt idx="14">
                    <c:v>PILGRIMS PRIDE CORP</c:v>
                  </c:pt>
                  <c:pt idx="15">
                    <c:v>TYSON FOODS INC</c:v>
                  </c:pt>
                </c15:dlblRangeCache>
              </c15:datalabelsRange>
            </c:ext>
            <c:ext xmlns:c16="http://schemas.microsoft.com/office/drawing/2014/chart" uri="{C3380CC4-5D6E-409C-BE32-E72D297353CC}">
              <c16:uniqueId val="{0000000C-2B23-49B3-A6B3-9823A1A517D2}"/>
            </c:ext>
          </c:extLst>
        </c:ser>
        <c:ser>
          <c:idx val="1"/>
          <c:order val="1"/>
          <c:tx>
            <c:strRef>
              <c:f>ProfitabilityTwoArrowPage!$A$43</c:f>
              <c:strCache>
                <c:ptCount val="1"/>
                <c:pt idx="0">
                  <c:v>Composite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0C-622D-4E92-89BA-6A1049CE9081}"/>
              </c:ext>
            </c:extLst>
          </c:dPt>
          <c:dPt>
            <c:idx val="1"/>
            <c:bubble3D val="0"/>
            <c:extLst>
              <c:ext xmlns:c16="http://schemas.microsoft.com/office/drawing/2014/chart" uri="{C3380CC4-5D6E-409C-BE32-E72D297353CC}">
                <c16:uniqueId val="{0000000D-622D-4E92-89BA-6A1049CE9081}"/>
              </c:ext>
            </c:extLst>
          </c:dPt>
          <c:xVal>
            <c:numRef>
              <c:f>ProfitabilityTwoArrowPage!$C$43:$D$43</c:f>
              <c:numCache>
                <c:formatCode>General</c:formatCode>
                <c:ptCount val="2"/>
                <c:pt idx="0">
                  <c:v>0.54761904761904767</c:v>
                </c:pt>
                <c:pt idx="1">
                  <c:v>0.54761904761904767</c:v>
                </c:pt>
              </c:numCache>
            </c:numRef>
          </c:xVal>
          <c:yVal>
            <c:numRef>
              <c:f>ProfitabilityTwoArrowPage!$E$43:$F$43</c:f>
              <c:numCache>
                <c:formatCode>General</c:formatCode>
                <c:ptCount val="2"/>
                <c:pt idx="0">
                  <c:v>0</c:v>
                </c:pt>
                <c:pt idx="1">
                  <c:v>1</c:v>
                </c:pt>
              </c:numCache>
            </c:numRef>
          </c:yVal>
          <c:smooth val="0"/>
          <c:extLst>
            <c:ext xmlns:c16="http://schemas.microsoft.com/office/drawing/2014/chart" uri="{C3380CC4-5D6E-409C-BE32-E72D297353CC}">
              <c16:uniqueId val="{0000000D-2B23-49B3-A6B3-9823A1A517D2}"/>
            </c:ext>
          </c:extLst>
        </c:ser>
        <c:ser>
          <c:idx val="2"/>
          <c:order val="2"/>
          <c:tx>
            <c:strRef>
              <c:f>ProfitabilityTwoArrowPage!$A$44</c:f>
              <c:strCache>
                <c:ptCount val="1"/>
                <c:pt idx="0">
                  <c:v>Composite Top Quartile</c:v>
                </c:pt>
              </c:strCache>
            </c:strRef>
          </c:tx>
          <c:spPr>
            <a:ln w="22225">
              <a:solidFill>
                <a:schemeClr val="accent3"/>
              </a:solidFill>
              <a:prstDash val="dash"/>
            </a:ln>
          </c:spPr>
          <c:marker>
            <c:symbol val="none"/>
          </c:marker>
          <c:dPt>
            <c:idx val="0"/>
            <c:bubble3D val="0"/>
            <c:extLst>
              <c:ext xmlns:c16="http://schemas.microsoft.com/office/drawing/2014/chart" uri="{C3380CC4-5D6E-409C-BE32-E72D297353CC}">
                <c16:uniqueId val="{0000000E-622D-4E92-89BA-6A1049CE9081}"/>
              </c:ext>
            </c:extLst>
          </c:dPt>
          <c:dPt>
            <c:idx val="1"/>
            <c:bubble3D val="0"/>
            <c:extLst>
              <c:ext xmlns:c16="http://schemas.microsoft.com/office/drawing/2014/chart" uri="{C3380CC4-5D6E-409C-BE32-E72D297353CC}">
                <c16:uniqueId val="{0000000F-622D-4E92-89BA-6A1049CE9081}"/>
              </c:ext>
            </c:extLst>
          </c:dPt>
          <c:xVal>
            <c:numRef>
              <c:f>ProfitabilityTwoArrowPage!$C$44:$D$44</c:f>
              <c:numCache>
                <c:formatCode>General</c:formatCode>
                <c:ptCount val="2"/>
                <c:pt idx="0">
                  <c:v>0.73809523809523803</c:v>
                </c:pt>
                <c:pt idx="1">
                  <c:v>0.73809523809523803</c:v>
                </c:pt>
              </c:numCache>
            </c:numRef>
          </c:xVal>
          <c:yVal>
            <c:numRef>
              <c:f>ProfitabilityTwoArrowPage!$E$44:$F$44</c:f>
              <c:numCache>
                <c:formatCode>General</c:formatCode>
                <c:ptCount val="2"/>
                <c:pt idx="0">
                  <c:v>0</c:v>
                </c:pt>
                <c:pt idx="1">
                  <c:v>1</c:v>
                </c:pt>
              </c:numCache>
            </c:numRef>
          </c:yVal>
          <c:smooth val="0"/>
          <c:extLst>
            <c:ext xmlns:c16="http://schemas.microsoft.com/office/drawing/2014/chart" uri="{C3380CC4-5D6E-409C-BE32-E72D297353CC}">
              <c16:uniqueId val="{0000000E-2B23-49B3-A6B3-9823A1A517D2}"/>
            </c:ext>
          </c:extLst>
        </c:ser>
        <c:ser>
          <c:idx val="3"/>
          <c:order val="3"/>
          <c:tx>
            <c:strRef>
              <c:f>ProfitabilityTwoArrowPage!$A$45</c:f>
              <c:strCache>
                <c:ptCount val="1"/>
                <c:pt idx="0">
                  <c:v>EBITDA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10-622D-4E92-89BA-6A1049CE9081}"/>
              </c:ext>
            </c:extLst>
          </c:dPt>
          <c:dPt>
            <c:idx val="1"/>
            <c:bubble3D val="0"/>
            <c:extLst>
              <c:ext xmlns:c16="http://schemas.microsoft.com/office/drawing/2014/chart" uri="{C3380CC4-5D6E-409C-BE32-E72D297353CC}">
                <c16:uniqueId val="{00000011-622D-4E92-89BA-6A1049CE9081}"/>
              </c:ext>
            </c:extLst>
          </c:dPt>
          <c:xVal>
            <c:numRef>
              <c:f>ProfitabilityTwoArrowPage!$C$45:$D$45</c:f>
              <c:numCache>
                <c:formatCode>General</c:formatCode>
                <c:ptCount val="2"/>
                <c:pt idx="0">
                  <c:v>0</c:v>
                </c:pt>
                <c:pt idx="1">
                  <c:v>1</c:v>
                </c:pt>
              </c:numCache>
            </c:numRef>
          </c:xVal>
          <c:yVal>
            <c:numRef>
              <c:f>ProfitabilityTwoArrowPage!$E$45:$F$45</c:f>
              <c:numCache>
                <c:formatCode>General</c:formatCode>
                <c:ptCount val="2"/>
                <c:pt idx="0">
                  <c:v>0.5</c:v>
                </c:pt>
                <c:pt idx="1">
                  <c:v>0.5</c:v>
                </c:pt>
              </c:numCache>
            </c:numRef>
          </c:yVal>
          <c:smooth val="0"/>
          <c:extLst>
            <c:ext xmlns:c16="http://schemas.microsoft.com/office/drawing/2014/chart" uri="{C3380CC4-5D6E-409C-BE32-E72D297353CC}">
              <c16:uniqueId val="{0000000F-2B23-49B3-A6B3-9823A1A517D2}"/>
            </c:ext>
          </c:extLst>
        </c:ser>
        <c:ser>
          <c:idx val="4"/>
          <c:order val="4"/>
          <c:tx>
            <c:strRef>
              <c:f>ProfitabilityTwoArrowPage!$A$46</c:f>
              <c:strCache>
                <c:ptCount val="1"/>
                <c:pt idx="0">
                  <c:v>EDITDA Top Quartile</c:v>
                </c:pt>
              </c:strCache>
            </c:strRef>
          </c:tx>
          <c:spPr>
            <a:ln w="22225">
              <a:solidFill>
                <a:schemeClr val="accent3"/>
              </a:solidFill>
              <a:prstDash val="dash"/>
            </a:ln>
          </c:spPr>
          <c:marker>
            <c:spPr>
              <a:ln>
                <a:noFill/>
              </a:ln>
            </c:spPr>
          </c:marker>
          <c:dPt>
            <c:idx val="0"/>
            <c:marker>
              <c:spPr>
                <a:pattFill>
                  <a:fgClr>
                    <a:srgbClr val="000000"/>
                  </a:fgClr>
                  <a:bgClr>
                    <a:srgbClr val="000000"/>
                  </a:bgClr>
                </a:pattFill>
                <a:ln>
                  <a:noFill/>
                </a:ln>
              </c:spPr>
            </c:marker>
            <c:bubble3D val="0"/>
            <c:extLst>
              <c:ext xmlns:c16="http://schemas.microsoft.com/office/drawing/2014/chart" uri="{C3380CC4-5D6E-409C-BE32-E72D297353CC}">
                <c16:uniqueId val="{00000012-622D-4E92-89BA-6A1049CE9081}"/>
              </c:ext>
            </c:extLst>
          </c:dPt>
          <c:dPt>
            <c:idx val="1"/>
            <c:marker>
              <c:spPr>
                <a:pattFill>
                  <a:fgClr>
                    <a:srgbClr val="000000"/>
                  </a:fgClr>
                  <a:bgClr>
                    <a:srgbClr val="000000"/>
                  </a:bgClr>
                </a:pattFill>
                <a:ln>
                  <a:noFill/>
                </a:ln>
              </c:spPr>
            </c:marker>
            <c:bubble3D val="0"/>
            <c:extLst>
              <c:ext xmlns:c16="http://schemas.microsoft.com/office/drawing/2014/chart" uri="{C3380CC4-5D6E-409C-BE32-E72D297353CC}">
                <c16:uniqueId val="{00000013-622D-4E92-89BA-6A1049CE9081}"/>
              </c:ext>
            </c:extLst>
          </c:dPt>
          <c:xVal>
            <c:numRef>
              <c:f>ProfitabilityTwoArrowPage!$C$46:$D$46</c:f>
              <c:numCache>
                <c:formatCode>General</c:formatCode>
                <c:ptCount val="2"/>
                <c:pt idx="0">
                  <c:v>0</c:v>
                </c:pt>
                <c:pt idx="1">
                  <c:v>1</c:v>
                </c:pt>
              </c:numCache>
            </c:numRef>
          </c:xVal>
          <c:yVal>
            <c:numRef>
              <c:f>ProfitabilityTwoArrowPage!$E$46:$F$46</c:f>
              <c:numCache>
                <c:formatCode>General</c:formatCode>
                <c:ptCount val="2"/>
                <c:pt idx="0">
                  <c:v>0.75</c:v>
                </c:pt>
                <c:pt idx="1">
                  <c:v>0.75</c:v>
                </c:pt>
              </c:numCache>
            </c:numRef>
          </c:yVal>
          <c:smooth val="0"/>
          <c:extLst>
            <c:ext xmlns:c16="http://schemas.microsoft.com/office/drawing/2014/chart" uri="{C3380CC4-5D6E-409C-BE32-E72D297353CC}">
              <c16:uniqueId val="{00000010-2B23-49B3-A6B3-9823A1A517D2}"/>
            </c:ext>
          </c:extLst>
        </c:ser>
        <c:dLbls>
          <c:showLegendKey val="0"/>
          <c:showVal val="0"/>
          <c:showCatName val="0"/>
          <c:showSerName val="0"/>
          <c:showPercent val="0"/>
          <c:showBubbleSize val="0"/>
        </c:dLbls>
        <c:axId val="556567552"/>
        <c:axId val="556598400"/>
      </c:scatterChart>
      <c:valAx>
        <c:axId val="556567552"/>
        <c:scaling>
          <c:orientation val="minMax"/>
          <c:max val="1"/>
        </c:scaling>
        <c:delete val="0"/>
        <c:axPos val="b"/>
        <c:numFmt formatCode="0.0" sourceLinked="0"/>
        <c:majorTickMark val="out"/>
        <c:minorTickMark val="none"/>
        <c:tickLblPos val="nextTo"/>
        <c:crossAx val="556598400"/>
        <c:crosses val="autoZero"/>
        <c:crossBetween val="midCat"/>
      </c:valAx>
      <c:valAx>
        <c:axId val="556598400"/>
        <c:scaling>
          <c:orientation val="minMax"/>
          <c:max val="1"/>
        </c:scaling>
        <c:delete val="0"/>
        <c:axPos val="l"/>
        <c:numFmt formatCode="0.0" sourceLinked="0"/>
        <c:majorTickMark val="out"/>
        <c:minorTickMark val="none"/>
        <c:tickLblPos val="nextTo"/>
        <c:crossAx val="556567552"/>
        <c:crosses val="autoZero"/>
        <c:crossBetween val="midCat"/>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531775767861636E-2"/>
          <c:y val="4.3357629834612346E-2"/>
          <c:w val="0.88945921700286057"/>
          <c:h val="0.87562676296211106"/>
        </c:manualLayout>
      </c:layout>
      <c:scatterChart>
        <c:scatterStyle val="lineMarker"/>
        <c:varyColors val="0"/>
        <c:ser>
          <c:idx val="0"/>
          <c:order val="0"/>
          <c:tx>
            <c:v>Dots</c:v>
          </c:tx>
          <c:spPr>
            <a:ln w="28575">
              <a:noFill/>
            </a:ln>
            <a:effectLst>
              <a:outerShdw blurRad="50800" dist="38100" dir="2700000" algn="ctr" rotWithShape="0">
                <a:srgbClr val="000000">
                  <a:alpha val="40000"/>
                </a:srgbClr>
              </a:outerShdw>
            </a:effectLst>
          </c:spPr>
          <c:marker>
            <c:symbol val="circle"/>
            <c:size val="10"/>
            <c:spPr>
              <a:solidFill>
                <a:srgbClr val="002B49"/>
              </a:solidFill>
              <a:ln>
                <a:noFill/>
              </a:ln>
              <a:effectLst>
                <a:outerShdw blurRad="50800" dist="38100" dir="2700000" algn="ctr" rotWithShape="0">
                  <a:srgbClr val="000000">
                    <a:alpha val="40000"/>
                  </a:srgbClr>
                </a:outerShdw>
              </a:effectLst>
            </c:spPr>
          </c:marker>
          <c:dPt>
            <c:idx val="0"/>
            <c:marker>
              <c:spPr>
                <a:pattFill>
                  <a:fgClr>
                    <a:srgbClr val="000000"/>
                  </a:fgClr>
                  <a:bgClr>
                    <a:srgbClr val="000000"/>
                  </a:bgClr>
                </a:pattFill>
                <a:ln>
                  <a:solidFill>
                    <a:schemeClr val="accent1"/>
                  </a:solidFill>
                </a:ln>
              </c:spPr>
            </c:marker>
            <c:bubble3D val="0"/>
            <c:extLst>
              <c:ext xmlns:c16="http://schemas.microsoft.com/office/drawing/2014/chart" uri="{C3380CC4-5D6E-409C-BE32-E72D297353CC}">
                <c16:uniqueId val="{00000000-22F3-43A1-A2F1-2E8C36488481}"/>
              </c:ext>
            </c:extLst>
          </c:dPt>
          <c:dPt>
            <c:idx val="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1-22F3-43A1-A2F1-2E8C36488481}"/>
              </c:ext>
            </c:extLst>
          </c:dPt>
          <c:dPt>
            <c:idx val="2"/>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2-22F3-43A1-A2F1-2E8C36488481}"/>
              </c:ext>
            </c:extLst>
          </c:dPt>
          <c:dPt>
            <c:idx val="3"/>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3-22F3-43A1-A2F1-2E8C36488481}"/>
              </c:ext>
            </c:extLst>
          </c:dPt>
          <c:dPt>
            <c:idx val="4"/>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4-22F3-43A1-A2F1-2E8C36488481}"/>
              </c:ext>
            </c:extLst>
          </c:dPt>
          <c:dPt>
            <c:idx val="5"/>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5-22F3-43A1-A2F1-2E8C36488481}"/>
              </c:ext>
            </c:extLst>
          </c:dPt>
          <c:dPt>
            <c:idx val="6"/>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6-22F3-43A1-A2F1-2E8C36488481}"/>
              </c:ext>
            </c:extLst>
          </c:dPt>
          <c:dPt>
            <c:idx val="7"/>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7-22F3-43A1-A2F1-2E8C36488481}"/>
              </c:ext>
            </c:extLst>
          </c:dPt>
          <c:dPt>
            <c:idx val="8"/>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8-22F3-43A1-A2F1-2E8C36488481}"/>
              </c:ext>
            </c:extLst>
          </c:dPt>
          <c:dPt>
            <c:idx val="9"/>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9-22F3-43A1-A2F1-2E8C36488481}"/>
              </c:ext>
            </c:extLst>
          </c:dPt>
          <c:dPt>
            <c:idx val="10"/>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A-22F3-43A1-A2F1-2E8C36488481}"/>
              </c:ext>
            </c:extLst>
          </c:dPt>
          <c:dPt>
            <c:idx val="1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B-22F3-43A1-A2F1-2E8C36488481}"/>
              </c:ext>
            </c:extLst>
          </c:dPt>
          <c:dLbls>
            <c:dLbl>
              <c:idx val="0"/>
              <c:tx>
                <c:rich>
                  <a:bodyPr/>
                  <a:lstStyle/>
                  <a:p>
                    <a:fld id="{73C8CD3F-3F9B-497E-9677-7F9CE46B10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22F3-43A1-A2F1-2E8C36488481}"/>
                </c:ext>
              </c:extLst>
            </c:dLbl>
            <c:dLbl>
              <c:idx val="1"/>
              <c:tx>
                <c:rich>
                  <a:bodyPr/>
                  <a:lstStyle/>
                  <a:p>
                    <a:fld id="{3ADFD9C0-E3E7-4F72-A935-76182F8CB7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2F3-43A1-A2F1-2E8C36488481}"/>
                </c:ext>
              </c:extLst>
            </c:dLbl>
            <c:dLbl>
              <c:idx val="2"/>
              <c:tx>
                <c:rich>
                  <a:bodyPr/>
                  <a:lstStyle/>
                  <a:p>
                    <a:fld id="{F2CDEF90-D99D-4845-BE97-CB2C9859AB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2F3-43A1-A2F1-2E8C36488481}"/>
                </c:ext>
              </c:extLst>
            </c:dLbl>
            <c:dLbl>
              <c:idx val="3"/>
              <c:tx>
                <c:rich>
                  <a:bodyPr/>
                  <a:lstStyle/>
                  <a:p>
                    <a:fld id="{3194AEF0-FE26-43E2-9D28-5E90BEA7DF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2F3-43A1-A2F1-2E8C36488481}"/>
                </c:ext>
              </c:extLst>
            </c:dLbl>
            <c:dLbl>
              <c:idx val="4"/>
              <c:tx>
                <c:rich>
                  <a:bodyPr/>
                  <a:lstStyle/>
                  <a:p>
                    <a:fld id="{0F0428A9-C9D8-47A8-A861-13BF8EEF16B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2F3-43A1-A2F1-2E8C36488481}"/>
                </c:ext>
              </c:extLst>
            </c:dLbl>
            <c:dLbl>
              <c:idx val="5"/>
              <c:tx>
                <c:rich>
                  <a:bodyPr/>
                  <a:lstStyle/>
                  <a:p>
                    <a:fld id="{9DF12E08-A3B4-459E-9088-45360C5DEB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2F3-43A1-A2F1-2E8C36488481}"/>
                </c:ext>
              </c:extLst>
            </c:dLbl>
            <c:dLbl>
              <c:idx val="6"/>
              <c:tx>
                <c:rich>
                  <a:bodyPr/>
                  <a:lstStyle/>
                  <a:p>
                    <a:fld id="{0C248381-A40C-4860-8EAE-212AA0FE6E2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2F3-43A1-A2F1-2E8C36488481}"/>
                </c:ext>
              </c:extLst>
            </c:dLbl>
            <c:dLbl>
              <c:idx val="7"/>
              <c:tx>
                <c:rich>
                  <a:bodyPr/>
                  <a:lstStyle/>
                  <a:p>
                    <a:fld id="{3678E96F-D3A3-4B22-965E-EBAC7FB0E3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2F3-43A1-A2F1-2E8C36488481}"/>
                </c:ext>
              </c:extLst>
            </c:dLbl>
            <c:dLbl>
              <c:idx val="8"/>
              <c:tx>
                <c:rich>
                  <a:bodyPr/>
                  <a:lstStyle/>
                  <a:p>
                    <a:fld id="{54183326-A00E-4335-A446-CE3FD8F992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2F3-43A1-A2F1-2E8C36488481}"/>
                </c:ext>
              </c:extLst>
            </c:dLbl>
            <c:dLbl>
              <c:idx val="9"/>
              <c:tx>
                <c:rich>
                  <a:bodyPr/>
                  <a:lstStyle/>
                  <a:p>
                    <a:fld id="{7BD4C232-3151-42B2-92EC-42FCA4137E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2F3-43A1-A2F1-2E8C36488481}"/>
                </c:ext>
              </c:extLst>
            </c:dLbl>
            <c:dLbl>
              <c:idx val="10"/>
              <c:tx>
                <c:rich>
                  <a:bodyPr/>
                  <a:lstStyle/>
                  <a:p>
                    <a:fld id="{082697B5-4B8F-4FD1-B226-E12C579169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2F3-43A1-A2F1-2E8C36488481}"/>
                </c:ext>
              </c:extLst>
            </c:dLbl>
            <c:dLbl>
              <c:idx val="11"/>
              <c:tx>
                <c:rich>
                  <a:bodyPr/>
                  <a:lstStyle/>
                  <a:p>
                    <a:fld id="{3405FC6C-BEE3-413B-8C21-37A4700FBC8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2F3-43A1-A2F1-2E8C36488481}"/>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TwoArrowPage!$C$4:$C$15</c:f>
              <c:numCache>
                <c:formatCode>General</c:formatCode>
                <c:ptCount val="12"/>
                <c:pt idx="0">
                  <c:v>0.54320105820105824</c:v>
                </c:pt>
                <c:pt idx="1">
                  <c:v>0.51645502645502639</c:v>
                </c:pt>
                <c:pt idx="2">
                  <c:v>0.65425925925925932</c:v>
                </c:pt>
                <c:pt idx="3">
                  <c:v>0.52232804232804242</c:v>
                </c:pt>
                <c:pt idx="4">
                  <c:v>0.57280423280423276</c:v>
                </c:pt>
                <c:pt idx="5">
                  <c:v>0.55939153439153433</c:v>
                </c:pt>
                <c:pt idx="6">
                  <c:v>0.56791005291005292</c:v>
                </c:pt>
                <c:pt idx="7">
                  <c:v>0.4766137566137566</c:v>
                </c:pt>
                <c:pt idx="8">
                  <c:v>0.37989417989417984</c:v>
                </c:pt>
                <c:pt idx="9">
                  <c:v>0.44571428571428573</c:v>
                </c:pt>
                <c:pt idx="10">
                  <c:v>0.40597883597883599</c:v>
                </c:pt>
                <c:pt idx="11">
                  <c:v>0.59193121693121697</c:v>
                </c:pt>
              </c:numCache>
            </c:numRef>
          </c:xVal>
          <c:yVal>
            <c:numRef>
              <c:f>TwoArrowPage!$D$4:$D$15</c:f>
              <c:numCache>
                <c:formatCode>General</c:formatCode>
                <c:ptCount val="12"/>
                <c:pt idx="0">
                  <c:v>0.73333333333333328</c:v>
                </c:pt>
                <c:pt idx="1">
                  <c:v>0</c:v>
                </c:pt>
                <c:pt idx="2">
                  <c:v>0.26666666666666666</c:v>
                </c:pt>
                <c:pt idx="3">
                  <c:v>0.8666666666666667</c:v>
                </c:pt>
                <c:pt idx="4">
                  <c:v>0.66666666666666663</c:v>
                </c:pt>
                <c:pt idx="5">
                  <c:v>0.13333333333333333</c:v>
                </c:pt>
                <c:pt idx="6">
                  <c:v>0.93333333333333335</c:v>
                </c:pt>
                <c:pt idx="7">
                  <c:v>0.8</c:v>
                </c:pt>
                <c:pt idx="8">
                  <c:v>0.46666666666666667</c:v>
                </c:pt>
                <c:pt idx="9">
                  <c:v>0.53333333333333333</c:v>
                </c:pt>
                <c:pt idx="10">
                  <c:v>0.6</c:v>
                </c:pt>
                <c:pt idx="11">
                  <c:v>1</c:v>
                </c:pt>
              </c:numCache>
            </c:numRef>
          </c:yVal>
          <c:smooth val="0"/>
          <c:extLst>
            <c:ext xmlns:c15="http://schemas.microsoft.com/office/drawing/2012/chart" uri="{02D57815-91ED-43cb-92C2-25804820EDAC}">
              <c15:datalabelsRange>
                <c15:f>LeverageTwoArrowPage!$B$4:$B$23</c15:f>
                <c15:dlblRangeCache>
                  <c:ptCount val="20"/>
                  <c:pt idx="0">
                    <c:v>BRF SA</c:v>
                  </c:pt>
                  <c:pt idx="1">
                    <c:v>CAMPBELL SOUP CO</c:v>
                  </c:pt>
                  <c:pt idx="2">
                    <c:v>CONAGRA BRANDS INC</c:v>
                  </c:pt>
                  <c:pt idx="3">
                    <c:v>DANONE S.A.</c:v>
                  </c:pt>
                  <c:pt idx="4">
                    <c:v>GENERAL MILLS INC</c:v>
                  </c:pt>
                  <c:pt idx="5">
                    <c:v>HAIN CELESTIAL</c:v>
                  </c:pt>
                  <c:pt idx="6">
                    <c:v>HERSHEY CO</c:v>
                  </c:pt>
                  <c:pt idx="7">
                    <c:v>HORMEL FOODS CORP</c:v>
                  </c:pt>
                  <c:pt idx="8">
                    <c:v>J M SMUCKER CO</c:v>
                  </c:pt>
                  <c:pt idx="9">
                    <c:v>KELLOGG CO</c:v>
                  </c:pt>
                  <c:pt idx="10">
                    <c:v>KRAFT HEINZ CO</c:v>
                  </c:pt>
                  <c:pt idx="11">
                    <c:v>LAMB WESTON</c:v>
                  </c:pt>
                  <c:pt idx="12">
                    <c:v>MCCORMICK &amp; CO INC</c:v>
                  </c:pt>
                  <c:pt idx="13">
                    <c:v>MONDELEZ</c:v>
                  </c:pt>
                  <c:pt idx="14">
                    <c:v>PILGRIMS PRIDE CORP</c:v>
                  </c:pt>
                  <c:pt idx="15">
                    <c:v>TYSON FOODS INC</c:v>
                  </c:pt>
                </c15:dlblRangeCache>
              </c15:datalabelsRange>
            </c:ext>
            <c:ext xmlns:c16="http://schemas.microsoft.com/office/drawing/2014/chart" uri="{C3380CC4-5D6E-409C-BE32-E72D297353CC}">
              <c16:uniqueId val="{0000000C-22F3-43A1-A2F1-2E8C36488481}"/>
            </c:ext>
          </c:extLst>
        </c:ser>
        <c:ser>
          <c:idx val="1"/>
          <c:order val="1"/>
          <c:tx>
            <c:strRef>
              <c:f>LeverageTwoArrowPage!$A$43</c:f>
              <c:strCache>
                <c:ptCount val="1"/>
                <c:pt idx="0">
                  <c:v>Composite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0C-0127-4875-BDE6-CB76F50B4BC2}"/>
              </c:ext>
            </c:extLst>
          </c:dPt>
          <c:dPt>
            <c:idx val="1"/>
            <c:bubble3D val="0"/>
            <c:extLst>
              <c:ext xmlns:c16="http://schemas.microsoft.com/office/drawing/2014/chart" uri="{C3380CC4-5D6E-409C-BE32-E72D297353CC}">
                <c16:uniqueId val="{0000000D-0127-4875-BDE6-CB76F50B4BC2}"/>
              </c:ext>
            </c:extLst>
          </c:dPt>
          <c:xVal>
            <c:numRef>
              <c:f>LeverageTwoArrowPage!$C$43:$D$43</c:f>
              <c:numCache>
                <c:formatCode>General</c:formatCode>
                <c:ptCount val="2"/>
                <c:pt idx="0">
                  <c:v>0.45333333333333337</c:v>
                </c:pt>
                <c:pt idx="1">
                  <c:v>0.45333333333333337</c:v>
                </c:pt>
              </c:numCache>
            </c:numRef>
          </c:xVal>
          <c:yVal>
            <c:numRef>
              <c:f>LeverageTwoArrowPage!$E$43:$F$43</c:f>
              <c:numCache>
                <c:formatCode>General</c:formatCode>
                <c:ptCount val="2"/>
                <c:pt idx="0">
                  <c:v>0</c:v>
                </c:pt>
                <c:pt idx="1">
                  <c:v>1</c:v>
                </c:pt>
              </c:numCache>
            </c:numRef>
          </c:yVal>
          <c:smooth val="0"/>
          <c:extLst>
            <c:ext xmlns:c16="http://schemas.microsoft.com/office/drawing/2014/chart" uri="{C3380CC4-5D6E-409C-BE32-E72D297353CC}">
              <c16:uniqueId val="{0000000D-22F3-43A1-A2F1-2E8C36488481}"/>
            </c:ext>
          </c:extLst>
        </c:ser>
        <c:ser>
          <c:idx val="2"/>
          <c:order val="2"/>
          <c:tx>
            <c:strRef>
              <c:f>LeverageTwoArrowPage!$A$44</c:f>
              <c:strCache>
                <c:ptCount val="1"/>
                <c:pt idx="0">
                  <c:v>Composite Top Quartile</c:v>
                </c:pt>
              </c:strCache>
            </c:strRef>
          </c:tx>
          <c:spPr>
            <a:ln w="22225">
              <a:solidFill>
                <a:schemeClr val="accent3"/>
              </a:solidFill>
              <a:prstDash val="dash"/>
            </a:ln>
          </c:spPr>
          <c:marker>
            <c:symbol val="none"/>
          </c:marker>
          <c:dPt>
            <c:idx val="0"/>
            <c:bubble3D val="0"/>
            <c:extLst>
              <c:ext xmlns:c16="http://schemas.microsoft.com/office/drawing/2014/chart" uri="{C3380CC4-5D6E-409C-BE32-E72D297353CC}">
                <c16:uniqueId val="{0000000E-0127-4875-BDE6-CB76F50B4BC2}"/>
              </c:ext>
            </c:extLst>
          </c:dPt>
          <c:dPt>
            <c:idx val="1"/>
            <c:bubble3D val="0"/>
            <c:extLst>
              <c:ext xmlns:c16="http://schemas.microsoft.com/office/drawing/2014/chart" uri="{C3380CC4-5D6E-409C-BE32-E72D297353CC}">
                <c16:uniqueId val="{0000000F-0127-4875-BDE6-CB76F50B4BC2}"/>
              </c:ext>
            </c:extLst>
          </c:dPt>
          <c:xVal>
            <c:numRef>
              <c:f>LeverageTwoArrowPage!$C$44:$D$44</c:f>
              <c:numCache>
                <c:formatCode>General</c:formatCode>
                <c:ptCount val="2"/>
                <c:pt idx="0">
                  <c:v>0.6</c:v>
                </c:pt>
                <c:pt idx="1">
                  <c:v>0.6</c:v>
                </c:pt>
              </c:numCache>
            </c:numRef>
          </c:xVal>
          <c:yVal>
            <c:numRef>
              <c:f>LeverageTwoArrowPage!$E$44:$F$44</c:f>
              <c:numCache>
                <c:formatCode>General</c:formatCode>
                <c:ptCount val="2"/>
                <c:pt idx="0">
                  <c:v>0</c:v>
                </c:pt>
                <c:pt idx="1">
                  <c:v>1</c:v>
                </c:pt>
              </c:numCache>
            </c:numRef>
          </c:yVal>
          <c:smooth val="0"/>
          <c:extLst>
            <c:ext xmlns:c16="http://schemas.microsoft.com/office/drawing/2014/chart" uri="{C3380CC4-5D6E-409C-BE32-E72D297353CC}">
              <c16:uniqueId val="{0000000E-22F3-43A1-A2F1-2E8C36488481}"/>
            </c:ext>
          </c:extLst>
        </c:ser>
        <c:ser>
          <c:idx val="3"/>
          <c:order val="3"/>
          <c:tx>
            <c:strRef>
              <c:f>LeverageTwoArrowPage!$A$45</c:f>
              <c:strCache>
                <c:ptCount val="1"/>
                <c:pt idx="0">
                  <c:v>EBITDA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10-0127-4875-BDE6-CB76F50B4BC2}"/>
              </c:ext>
            </c:extLst>
          </c:dPt>
          <c:dPt>
            <c:idx val="1"/>
            <c:bubble3D val="0"/>
            <c:extLst>
              <c:ext xmlns:c16="http://schemas.microsoft.com/office/drawing/2014/chart" uri="{C3380CC4-5D6E-409C-BE32-E72D297353CC}">
                <c16:uniqueId val="{00000011-0127-4875-BDE6-CB76F50B4BC2}"/>
              </c:ext>
            </c:extLst>
          </c:dPt>
          <c:xVal>
            <c:numRef>
              <c:f>LeverageTwoArrowPage!$C$45:$D$45</c:f>
              <c:numCache>
                <c:formatCode>General</c:formatCode>
                <c:ptCount val="2"/>
                <c:pt idx="0">
                  <c:v>0</c:v>
                </c:pt>
                <c:pt idx="1">
                  <c:v>1</c:v>
                </c:pt>
              </c:numCache>
            </c:numRef>
          </c:xVal>
          <c:yVal>
            <c:numRef>
              <c:f>LeverageTwoArrowPage!$E$45:$F$45</c:f>
              <c:numCache>
                <c:formatCode>General</c:formatCode>
                <c:ptCount val="2"/>
                <c:pt idx="0">
                  <c:v>0.5</c:v>
                </c:pt>
                <c:pt idx="1">
                  <c:v>0.5</c:v>
                </c:pt>
              </c:numCache>
            </c:numRef>
          </c:yVal>
          <c:smooth val="0"/>
          <c:extLst>
            <c:ext xmlns:c16="http://schemas.microsoft.com/office/drawing/2014/chart" uri="{C3380CC4-5D6E-409C-BE32-E72D297353CC}">
              <c16:uniqueId val="{0000000F-22F3-43A1-A2F1-2E8C36488481}"/>
            </c:ext>
          </c:extLst>
        </c:ser>
        <c:ser>
          <c:idx val="4"/>
          <c:order val="4"/>
          <c:tx>
            <c:strRef>
              <c:f>LeverageTwoArrowPage!$A$46</c:f>
              <c:strCache>
                <c:ptCount val="1"/>
                <c:pt idx="0">
                  <c:v>EDITDA Top Quartile</c:v>
                </c:pt>
              </c:strCache>
            </c:strRef>
          </c:tx>
          <c:spPr>
            <a:ln w="22225">
              <a:solidFill>
                <a:schemeClr val="accent3"/>
              </a:solidFill>
              <a:prstDash val="dash"/>
            </a:ln>
          </c:spPr>
          <c:marker>
            <c:spPr>
              <a:ln>
                <a:noFill/>
              </a:ln>
            </c:spPr>
          </c:marker>
          <c:dPt>
            <c:idx val="0"/>
            <c:marker>
              <c:spPr>
                <a:pattFill>
                  <a:fgClr>
                    <a:srgbClr val="000000"/>
                  </a:fgClr>
                  <a:bgClr>
                    <a:srgbClr val="000000"/>
                  </a:bgClr>
                </a:pattFill>
                <a:ln>
                  <a:noFill/>
                </a:ln>
              </c:spPr>
            </c:marker>
            <c:bubble3D val="0"/>
            <c:extLst>
              <c:ext xmlns:c16="http://schemas.microsoft.com/office/drawing/2014/chart" uri="{C3380CC4-5D6E-409C-BE32-E72D297353CC}">
                <c16:uniqueId val="{00000012-0127-4875-BDE6-CB76F50B4BC2}"/>
              </c:ext>
            </c:extLst>
          </c:dPt>
          <c:dPt>
            <c:idx val="1"/>
            <c:marker>
              <c:spPr>
                <a:pattFill>
                  <a:fgClr>
                    <a:srgbClr val="000000"/>
                  </a:fgClr>
                  <a:bgClr>
                    <a:srgbClr val="000000"/>
                  </a:bgClr>
                </a:pattFill>
                <a:ln>
                  <a:noFill/>
                </a:ln>
              </c:spPr>
            </c:marker>
            <c:bubble3D val="0"/>
            <c:extLst>
              <c:ext xmlns:c16="http://schemas.microsoft.com/office/drawing/2014/chart" uri="{C3380CC4-5D6E-409C-BE32-E72D297353CC}">
                <c16:uniqueId val="{00000013-0127-4875-BDE6-CB76F50B4BC2}"/>
              </c:ext>
            </c:extLst>
          </c:dPt>
          <c:xVal>
            <c:numRef>
              <c:f>LeverageTwoArrowPage!$C$46:$D$46</c:f>
              <c:numCache>
                <c:formatCode>General</c:formatCode>
                <c:ptCount val="2"/>
                <c:pt idx="0">
                  <c:v>0</c:v>
                </c:pt>
                <c:pt idx="1">
                  <c:v>1</c:v>
                </c:pt>
              </c:numCache>
            </c:numRef>
          </c:xVal>
          <c:yVal>
            <c:numRef>
              <c:f>LeverageTwoArrowPage!$E$46:$F$46</c:f>
              <c:numCache>
                <c:formatCode>General</c:formatCode>
                <c:ptCount val="2"/>
                <c:pt idx="0">
                  <c:v>0.75</c:v>
                </c:pt>
                <c:pt idx="1">
                  <c:v>0.75</c:v>
                </c:pt>
              </c:numCache>
            </c:numRef>
          </c:yVal>
          <c:smooth val="0"/>
          <c:extLst>
            <c:ext xmlns:c16="http://schemas.microsoft.com/office/drawing/2014/chart" uri="{C3380CC4-5D6E-409C-BE32-E72D297353CC}">
              <c16:uniqueId val="{00000010-22F3-43A1-A2F1-2E8C36488481}"/>
            </c:ext>
          </c:extLst>
        </c:ser>
        <c:dLbls>
          <c:showLegendKey val="0"/>
          <c:showVal val="0"/>
          <c:showCatName val="0"/>
          <c:showSerName val="0"/>
          <c:showPercent val="0"/>
          <c:showBubbleSize val="0"/>
        </c:dLbls>
        <c:axId val="556567552"/>
        <c:axId val="556598400"/>
      </c:scatterChart>
      <c:valAx>
        <c:axId val="556567552"/>
        <c:scaling>
          <c:orientation val="minMax"/>
          <c:max val="1"/>
        </c:scaling>
        <c:delete val="0"/>
        <c:axPos val="b"/>
        <c:numFmt formatCode="0.0" sourceLinked="0"/>
        <c:majorTickMark val="out"/>
        <c:minorTickMark val="none"/>
        <c:tickLblPos val="nextTo"/>
        <c:crossAx val="556598400"/>
        <c:crosses val="autoZero"/>
        <c:crossBetween val="midCat"/>
      </c:valAx>
      <c:valAx>
        <c:axId val="556598400"/>
        <c:scaling>
          <c:orientation val="minMax"/>
          <c:max val="1"/>
        </c:scaling>
        <c:delete val="0"/>
        <c:axPos val="l"/>
        <c:numFmt formatCode="0.0" sourceLinked="0"/>
        <c:majorTickMark val="out"/>
        <c:minorTickMark val="none"/>
        <c:tickLblPos val="nextTo"/>
        <c:crossAx val="556567552"/>
        <c:crosses val="autoZero"/>
        <c:crossBetween val="midCat"/>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531775767861636E-2"/>
          <c:y val="4.3357629834612346E-2"/>
          <c:w val="0.88945921700286057"/>
          <c:h val="0.87562676296211106"/>
        </c:manualLayout>
      </c:layout>
      <c:scatterChart>
        <c:scatterStyle val="lineMarker"/>
        <c:varyColors val="0"/>
        <c:ser>
          <c:idx val="0"/>
          <c:order val="0"/>
          <c:tx>
            <c:v>Dots</c:v>
          </c:tx>
          <c:spPr>
            <a:ln w="28575">
              <a:noFill/>
            </a:ln>
            <a:effectLst>
              <a:outerShdw blurRad="50800" dist="38100" dir="2700000" algn="ctr" rotWithShape="0">
                <a:srgbClr val="000000">
                  <a:alpha val="40000"/>
                </a:srgbClr>
              </a:outerShdw>
            </a:effectLst>
          </c:spPr>
          <c:marker>
            <c:symbol val="circle"/>
            <c:size val="10"/>
            <c:spPr>
              <a:solidFill>
                <a:srgbClr val="002B49"/>
              </a:solidFill>
              <a:ln>
                <a:noFill/>
              </a:ln>
              <a:effectLst>
                <a:outerShdw blurRad="50800" dist="38100" dir="2700000" algn="ctr" rotWithShape="0">
                  <a:srgbClr val="000000">
                    <a:alpha val="40000"/>
                  </a:srgbClr>
                </a:outerShdw>
              </a:effectLst>
            </c:spPr>
          </c:marker>
          <c:dPt>
            <c:idx val="0"/>
            <c:marker>
              <c:spPr>
                <a:pattFill>
                  <a:fgClr>
                    <a:srgbClr val="000000"/>
                  </a:fgClr>
                  <a:bgClr>
                    <a:srgbClr val="000000"/>
                  </a:bgClr>
                </a:pattFill>
                <a:ln>
                  <a:solidFill>
                    <a:schemeClr val="accent1"/>
                  </a:solidFill>
                </a:ln>
              </c:spPr>
            </c:marker>
            <c:bubble3D val="0"/>
            <c:extLst>
              <c:ext xmlns:c16="http://schemas.microsoft.com/office/drawing/2014/chart" uri="{C3380CC4-5D6E-409C-BE32-E72D297353CC}">
                <c16:uniqueId val="{00000000-6E82-4E46-889D-F99DBCB0EC4B}"/>
              </c:ext>
            </c:extLst>
          </c:dPt>
          <c:dPt>
            <c:idx val="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1-6E82-4E46-889D-F99DBCB0EC4B}"/>
              </c:ext>
            </c:extLst>
          </c:dPt>
          <c:dPt>
            <c:idx val="2"/>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2-6E82-4E46-889D-F99DBCB0EC4B}"/>
              </c:ext>
            </c:extLst>
          </c:dPt>
          <c:dPt>
            <c:idx val="3"/>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3-6E82-4E46-889D-F99DBCB0EC4B}"/>
              </c:ext>
            </c:extLst>
          </c:dPt>
          <c:dPt>
            <c:idx val="4"/>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4-6E82-4E46-889D-F99DBCB0EC4B}"/>
              </c:ext>
            </c:extLst>
          </c:dPt>
          <c:dPt>
            <c:idx val="5"/>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5-6E82-4E46-889D-F99DBCB0EC4B}"/>
              </c:ext>
            </c:extLst>
          </c:dPt>
          <c:dPt>
            <c:idx val="6"/>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6-6E82-4E46-889D-F99DBCB0EC4B}"/>
              </c:ext>
            </c:extLst>
          </c:dPt>
          <c:dPt>
            <c:idx val="7"/>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7-6E82-4E46-889D-F99DBCB0EC4B}"/>
              </c:ext>
            </c:extLst>
          </c:dPt>
          <c:dPt>
            <c:idx val="8"/>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8-6E82-4E46-889D-F99DBCB0EC4B}"/>
              </c:ext>
            </c:extLst>
          </c:dPt>
          <c:dPt>
            <c:idx val="9"/>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9-6E82-4E46-889D-F99DBCB0EC4B}"/>
              </c:ext>
            </c:extLst>
          </c:dPt>
          <c:dPt>
            <c:idx val="10"/>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A-6E82-4E46-889D-F99DBCB0EC4B}"/>
              </c:ext>
            </c:extLst>
          </c:dPt>
          <c:dPt>
            <c:idx val="11"/>
            <c:marker>
              <c:spPr>
                <a:pattFill>
                  <a:fgClr>
                    <a:srgbClr val="000000"/>
                  </a:fgClr>
                  <a:bgClr>
                    <a:srgbClr val="000000"/>
                  </a:bgClr>
                </a:pattFill>
                <a:ln>
                  <a:noFill/>
                </a:ln>
                <a:effectLst>
                  <a:outerShdw blurRad="50800" dist="38100" dir="2700000" algn="ctr" rotWithShape="0">
                    <a:srgbClr val="000000">
                      <a:alpha val="40000"/>
                    </a:srgbClr>
                  </a:outerShdw>
                </a:effectLst>
              </c:spPr>
            </c:marker>
            <c:bubble3D val="0"/>
            <c:extLst>
              <c:ext xmlns:c16="http://schemas.microsoft.com/office/drawing/2014/chart" uri="{C3380CC4-5D6E-409C-BE32-E72D297353CC}">
                <c16:uniqueId val="{0000000B-6E82-4E46-889D-F99DBCB0EC4B}"/>
              </c:ext>
            </c:extLst>
          </c:dPt>
          <c:dLbls>
            <c:dLbl>
              <c:idx val="0"/>
              <c:tx>
                <c:rich>
                  <a:bodyPr/>
                  <a:lstStyle/>
                  <a:p>
                    <a:fld id="{347EEE44-033C-4D57-BF10-D755E4E4D7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6E82-4E46-889D-F99DBCB0EC4B}"/>
                </c:ext>
              </c:extLst>
            </c:dLbl>
            <c:dLbl>
              <c:idx val="1"/>
              <c:tx>
                <c:rich>
                  <a:bodyPr/>
                  <a:lstStyle/>
                  <a:p>
                    <a:fld id="{5DFC6FC5-9145-4D6D-A868-7063B8D9E2A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E82-4E46-889D-F99DBCB0EC4B}"/>
                </c:ext>
              </c:extLst>
            </c:dLbl>
            <c:dLbl>
              <c:idx val="2"/>
              <c:tx>
                <c:rich>
                  <a:bodyPr/>
                  <a:lstStyle/>
                  <a:p>
                    <a:fld id="{8898ECE5-064D-41A2-861F-F719FB3E605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E82-4E46-889D-F99DBCB0EC4B}"/>
                </c:ext>
              </c:extLst>
            </c:dLbl>
            <c:dLbl>
              <c:idx val="3"/>
              <c:tx>
                <c:rich>
                  <a:bodyPr/>
                  <a:lstStyle/>
                  <a:p>
                    <a:fld id="{08E628F7-ABEA-4B58-A5D0-0DF4995270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E82-4E46-889D-F99DBCB0EC4B}"/>
                </c:ext>
              </c:extLst>
            </c:dLbl>
            <c:dLbl>
              <c:idx val="4"/>
              <c:tx>
                <c:rich>
                  <a:bodyPr/>
                  <a:lstStyle/>
                  <a:p>
                    <a:fld id="{B6DE132A-3FBA-4031-8C10-D157F4F1AE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E82-4E46-889D-F99DBCB0EC4B}"/>
                </c:ext>
              </c:extLst>
            </c:dLbl>
            <c:dLbl>
              <c:idx val="5"/>
              <c:tx>
                <c:rich>
                  <a:bodyPr/>
                  <a:lstStyle/>
                  <a:p>
                    <a:fld id="{B25C3418-30EF-4EF2-8B7A-87015ECE9DE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E82-4E46-889D-F99DBCB0EC4B}"/>
                </c:ext>
              </c:extLst>
            </c:dLbl>
            <c:dLbl>
              <c:idx val="6"/>
              <c:tx>
                <c:rich>
                  <a:bodyPr/>
                  <a:lstStyle/>
                  <a:p>
                    <a:fld id="{315B3077-E99A-4E1E-9C27-4C183C4371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E82-4E46-889D-F99DBCB0EC4B}"/>
                </c:ext>
              </c:extLst>
            </c:dLbl>
            <c:dLbl>
              <c:idx val="7"/>
              <c:tx>
                <c:rich>
                  <a:bodyPr/>
                  <a:lstStyle/>
                  <a:p>
                    <a:fld id="{A8BB0D61-3578-4AC4-9CF8-675D48C2AD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E82-4E46-889D-F99DBCB0EC4B}"/>
                </c:ext>
              </c:extLst>
            </c:dLbl>
            <c:dLbl>
              <c:idx val="8"/>
              <c:tx>
                <c:rich>
                  <a:bodyPr/>
                  <a:lstStyle/>
                  <a:p>
                    <a:fld id="{7889AF4D-6D0D-4774-A4AB-4D1AF2136D3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E82-4E46-889D-F99DBCB0EC4B}"/>
                </c:ext>
              </c:extLst>
            </c:dLbl>
            <c:dLbl>
              <c:idx val="9"/>
              <c:tx>
                <c:rich>
                  <a:bodyPr/>
                  <a:lstStyle/>
                  <a:p>
                    <a:fld id="{7C7AA51A-C2A8-4F78-A5FA-27C7AF8878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E82-4E46-889D-F99DBCB0EC4B}"/>
                </c:ext>
              </c:extLst>
            </c:dLbl>
            <c:dLbl>
              <c:idx val="10"/>
              <c:tx>
                <c:rich>
                  <a:bodyPr/>
                  <a:lstStyle/>
                  <a:p>
                    <a:fld id="{6DA42AA6-74CE-4620-A42B-AFF827C0448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E82-4E46-889D-F99DBCB0EC4B}"/>
                </c:ext>
              </c:extLst>
            </c:dLbl>
            <c:dLbl>
              <c:idx val="11"/>
              <c:tx>
                <c:rich>
                  <a:bodyPr/>
                  <a:lstStyle/>
                  <a:p>
                    <a:fld id="{3030CD95-FFE7-401E-9966-CEBE417116D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E82-4E46-889D-F99DBCB0EC4B}"/>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ext>
            </c:extLst>
          </c:dLbls>
          <c:xVal>
            <c:numRef>
              <c:f>TwoArrowPage!$C$4:$C$15</c:f>
              <c:numCache>
                <c:formatCode>General</c:formatCode>
                <c:ptCount val="12"/>
                <c:pt idx="0">
                  <c:v>0.54320105820105824</c:v>
                </c:pt>
                <c:pt idx="1">
                  <c:v>0.51645502645502639</c:v>
                </c:pt>
                <c:pt idx="2">
                  <c:v>0.65425925925925932</c:v>
                </c:pt>
                <c:pt idx="3">
                  <c:v>0.52232804232804242</c:v>
                </c:pt>
                <c:pt idx="4">
                  <c:v>0.57280423280423276</c:v>
                </c:pt>
                <c:pt idx="5">
                  <c:v>0.55939153439153433</c:v>
                </c:pt>
                <c:pt idx="6">
                  <c:v>0.56791005291005292</c:v>
                </c:pt>
                <c:pt idx="7">
                  <c:v>0.4766137566137566</c:v>
                </c:pt>
                <c:pt idx="8">
                  <c:v>0.37989417989417984</c:v>
                </c:pt>
                <c:pt idx="9">
                  <c:v>0.44571428571428573</c:v>
                </c:pt>
                <c:pt idx="10">
                  <c:v>0.40597883597883599</c:v>
                </c:pt>
                <c:pt idx="11">
                  <c:v>0.59193121693121697</c:v>
                </c:pt>
              </c:numCache>
            </c:numRef>
          </c:xVal>
          <c:yVal>
            <c:numRef>
              <c:f>TwoArrowPage!$D$4:$D$15</c:f>
              <c:numCache>
                <c:formatCode>General</c:formatCode>
                <c:ptCount val="12"/>
                <c:pt idx="0">
                  <c:v>0.73333333333333328</c:v>
                </c:pt>
                <c:pt idx="1">
                  <c:v>0</c:v>
                </c:pt>
                <c:pt idx="2">
                  <c:v>0.26666666666666666</c:v>
                </c:pt>
                <c:pt idx="3">
                  <c:v>0.8666666666666667</c:v>
                </c:pt>
                <c:pt idx="4">
                  <c:v>0.66666666666666663</c:v>
                </c:pt>
                <c:pt idx="5">
                  <c:v>0.13333333333333333</c:v>
                </c:pt>
                <c:pt idx="6">
                  <c:v>0.93333333333333335</c:v>
                </c:pt>
                <c:pt idx="7">
                  <c:v>0.8</c:v>
                </c:pt>
                <c:pt idx="8">
                  <c:v>0.46666666666666667</c:v>
                </c:pt>
                <c:pt idx="9">
                  <c:v>0.53333333333333333</c:v>
                </c:pt>
                <c:pt idx="10">
                  <c:v>0.6</c:v>
                </c:pt>
                <c:pt idx="11">
                  <c:v>1</c:v>
                </c:pt>
              </c:numCache>
            </c:numRef>
          </c:yVal>
          <c:smooth val="0"/>
          <c:extLst>
            <c:ext xmlns:c15="http://schemas.microsoft.com/office/drawing/2012/chart" uri="{02D57815-91ED-43cb-92C2-25804820EDAC}">
              <c15:datalabelsRange>
                <c15:f>TurnoverTwoArrowPage!$B$4:$B$23</c15:f>
                <c15:dlblRangeCache>
                  <c:ptCount val="20"/>
                  <c:pt idx="0">
                    <c:v>BRF SA</c:v>
                  </c:pt>
                  <c:pt idx="1">
                    <c:v>CAMPBELL SOUP CO</c:v>
                  </c:pt>
                  <c:pt idx="2">
                    <c:v>CONAGRA BRANDS INC</c:v>
                  </c:pt>
                  <c:pt idx="3">
                    <c:v>DANONE S.A.</c:v>
                  </c:pt>
                  <c:pt idx="4">
                    <c:v>GENERAL MILLS INC</c:v>
                  </c:pt>
                  <c:pt idx="5">
                    <c:v>HAIN CELESTIAL</c:v>
                  </c:pt>
                  <c:pt idx="6">
                    <c:v>HERSHEY CO</c:v>
                  </c:pt>
                  <c:pt idx="7">
                    <c:v>HORMEL FOODS CORP</c:v>
                  </c:pt>
                  <c:pt idx="8">
                    <c:v>J M SMUCKER CO</c:v>
                  </c:pt>
                  <c:pt idx="9">
                    <c:v>KELLOGG CO</c:v>
                  </c:pt>
                  <c:pt idx="10">
                    <c:v>KRAFT HEINZ CO</c:v>
                  </c:pt>
                  <c:pt idx="11">
                    <c:v>LAMB WESTON</c:v>
                  </c:pt>
                  <c:pt idx="12">
                    <c:v>MCCORMICK &amp; CO INC</c:v>
                  </c:pt>
                  <c:pt idx="13">
                    <c:v>MONDELEZ</c:v>
                  </c:pt>
                  <c:pt idx="14">
                    <c:v>PILGRIMS PRIDE CORP</c:v>
                  </c:pt>
                  <c:pt idx="15">
                    <c:v>TYSON FOODS INC</c:v>
                  </c:pt>
                </c15:dlblRangeCache>
              </c15:datalabelsRange>
            </c:ext>
            <c:ext xmlns:c16="http://schemas.microsoft.com/office/drawing/2014/chart" uri="{C3380CC4-5D6E-409C-BE32-E72D297353CC}">
              <c16:uniqueId val="{0000000C-6E82-4E46-889D-F99DBCB0EC4B}"/>
            </c:ext>
          </c:extLst>
        </c:ser>
        <c:ser>
          <c:idx val="1"/>
          <c:order val="1"/>
          <c:tx>
            <c:strRef>
              <c:f>TurnoverTwoArrowPage!$A$43</c:f>
              <c:strCache>
                <c:ptCount val="1"/>
                <c:pt idx="0">
                  <c:v>Composite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0C-787D-4633-A42E-41ED7D95DE32}"/>
              </c:ext>
            </c:extLst>
          </c:dPt>
          <c:dPt>
            <c:idx val="1"/>
            <c:bubble3D val="0"/>
            <c:extLst>
              <c:ext xmlns:c16="http://schemas.microsoft.com/office/drawing/2014/chart" uri="{C3380CC4-5D6E-409C-BE32-E72D297353CC}">
                <c16:uniqueId val="{0000000D-787D-4633-A42E-41ED7D95DE32}"/>
              </c:ext>
            </c:extLst>
          </c:dPt>
          <c:xVal>
            <c:numRef>
              <c:f>TurnoverTwoArrowPage!$C$43:$D$43</c:f>
              <c:numCache>
                <c:formatCode>General</c:formatCode>
                <c:ptCount val="2"/>
                <c:pt idx="0">
                  <c:v>0.47407407407407409</c:v>
                </c:pt>
                <c:pt idx="1">
                  <c:v>0.47407407407407409</c:v>
                </c:pt>
              </c:numCache>
            </c:numRef>
          </c:xVal>
          <c:yVal>
            <c:numRef>
              <c:f>TurnoverTwoArrowPage!$E$43:$F$43</c:f>
              <c:numCache>
                <c:formatCode>General</c:formatCode>
                <c:ptCount val="2"/>
                <c:pt idx="0">
                  <c:v>0</c:v>
                </c:pt>
                <c:pt idx="1">
                  <c:v>1</c:v>
                </c:pt>
              </c:numCache>
            </c:numRef>
          </c:yVal>
          <c:smooth val="0"/>
          <c:extLst>
            <c:ext xmlns:c16="http://schemas.microsoft.com/office/drawing/2014/chart" uri="{C3380CC4-5D6E-409C-BE32-E72D297353CC}">
              <c16:uniqueId val="{0000000D-6E82-4E46-889D-F99DBCB0EC4B}"/>
            </c:ext>
          </c:extLst>
        </c:ser>
        <c:ser>
          <c:idx val="2"/>
          <c:order val="2"/>
          <c:tx>
            <c:strRef>
              <c:f>TurnoverTwoArrowPage!$A$44</c:f>
              <c:strCache>
                <c:ptCount val="1"/>
                <c:pt idx="0">
                  <c:v>Composite Top Quartile</c:v>
                </c:pt>
              </c:strCache>
            </c:strRef>
          </c:tx>
          <c:spPr>
            <a:ln w="22225">
              <a:solidFill>
                <a:schemeClr val="accent3"/>
              </a:solidFill>
              <a:prstDash val="dash"/>
            </a:ln>
          </c:spPr>
          <c:marker>
            <c:symbol val="none"/>
          </c:marker>
          <c:dPt>
            <c:idx val="0"/>
            <c:bubble3D val="0"/>
            <c:extLst>
              <c:ext xmlns:c16="http://schemas.microsoft.com/office/drawing/2014/chart" uri="{C3380CC4-5D6E-409C-BE32-E72D297353CC}">
                <c16:uniqueId val="{0000000E-787D-4633-A42E-41ED7D95DE32}"/>
              </c:ext>
            </c:extLst>
          </c:dPt>
          <c:dPt>
            <c:idx val="1"/>
            <c:bubble3D val="0"/>
            <c:extLst>
              <c:ext xmlns:c16="http://schemas.microsoft.com/office/drawing/2014/chart" uri="{C3380CC4-5D6E-409C-BE32-E72D297353CC}">
                <c16:uniqueId val="{0000000F-787D-4633-A42E-41ED7D95DE32}"/>
              </c:ext>
            </c:extLst>
          </c:dPt>
          <c:xVal>
            <c:numRef>
              <c:f>TurnoverTwoArrowPage!$C$44:$D$44</c:f>
              <c:numCache>
                <c:formatCode>General</c:formatCode>
                <c:ptCount val="2"/>
                <c:pt idx="0">
                  <c:v>0.57777777777777772</c:v>
                </c:pt>
                <c:pt idx="1">
                  <c:v>0.57777777777777772</c:v>
                </c:pt>
              </c:numCache>
            </c:numRef>
          </c:xVal>
          <c:yVal>
            <c:numRef>
              <c:f>TurnoverTwoArrowPage!$E$44:$F$44</c:f>
              <c:numCache>
                <c:formatCode>General</c:formatCode>
                <c:ptCount val="2"/>
                <c:pt idx="0">
                  <c:v>0</c:v>
                </c:pt>
                <c:pt idx="1">
                  <c:v>1</c:v>
                </c:pt>
              </c:numCache>
            </c:numRef>
          </c:yVal>
          <c:smooth val="0"/>
          <c:extLst>
            <c:ext xmlns:c16="http://schemas.microsoft.com/office/drawing/2014/chart" uri="{C3380CC4-5D6E-409C-BE32-E72D297353CC}">
              <c16:uniqueId val="{0000000E-6E82-4E46-889D-F99DBCB0EC4B}"/>
            </c:ext>
          </c:extLst>
        </c:ser>
        <c:ser>
          <c:idx val="3"/>
          <c:order val="3"/>
          <c:tx>
            <c:strRef>
              <c:f>TurnoverTwoArrowPage!$A$45</c:f>
              <c:strCache>
                <c:ptCount val="1"/>
                <c:pt idx="0">
                  <c:v>EBITDA Median</c:v>
                </c:pt>
              </c:strCache>
            </c:strRef>
          </c:tx>
          <c:spPr>
            <a:ln w="22225">
              <a:solidFill>
                <a:srgbClr val="FFC000"/>
              </a:solidFill>
              <a:prstDash val="dash"/>
            </a:ln>
          </c:spPr>
          <c:marker>
            <c:symbol val="none"/>
          </c:marker>
          <c:dPt>
            <c:idx val="0"/>
            <c:bubble3D val="0"/>
            <c:extLst>
              <c:ext xmlns:c16="http://schemas.microsoft.com/office/drawing/2014/chart" uri="{C3380CC4-5D6E-409C-BE32-E72D297353CC}">
                <c16:uniqueId val="{00000010-787D-4633-A42E-41ED7D95DE32}"/>
              </c:ext>
            </c:extLst>
          </c:dPt>
          <c:dPt>
            <c:idx val="1"/>
            <c:bubble3D val="0"/>
            <c:extLst>
              <c:ext xmlns:c16="http://schemas.microsoft.com/office/drawing/2014/chart" uri="{C3380CC4-5D6E-409C-BE32-E72D297353CC}">
                <c16:uniqueId val="{00000011-787D-4633-A42E-41ED7D95DE32}"/>
              </c:ext>
            </c:extLst>
          </c:dPt>
          <c:xVal>
            <c:numRef>
              <c:f>TurnoverTwoArrowPage!$C$45:$D$45</c:f>
              <c:numCache>
                <c:formatCode>General</c:formatCode>
                <c:ptCount val="2"/>
                <c:pt idx="0">
                  <c:v>0</c:v>
                </c:pt>
                <c:pt idx="1">
                  <c:v>1</c:v>
                </c:pt>
              </c:numCache>
            </c:numRef>
          </c:xVal>
          <c:yVal>
            <c:numRef>
              <c:f>TurnoverTwoArrowPage!$E$45:$F$45</c:f>
              <c:numCache>
                <c:formatCode>General</c:formatCode>
                <c:ptCount val="2"/>
                <c:pt idx="0">
                  <c:v>0.5</c:v>
                </c:pt>
                <c:pt idx="1">
                  <c:v>0.5</c:v>
                </c:pt>
              </c:numCache>
            </c:numRef>
          </c:yVal>
          <c:smooth val="0"/>
          <c:extLst>
            <c:ext xmlns:c16="http://schemas.microsoft.com/office/drawing/2014/chart" uri="{C3380CC4-5D6E-409C-BE32-E72D297353CC}">
              <c16:uniqueId val="{0000000F-6E82-4E46-889D-F99DBCB0EC4B}"/>
            </c:ext>
          </c:extLst>
        </c:ser>
        <c:ser>
          <c:idx val="4"/>
          <c:order val="4"/>
          <c:tx>
            <c:strRef>
              <c:f>TurnoverTwoArrowPage!$A$46</c:f>
              <c:strCache>
                <c:ptCount val="1"/>
                <c:pt idx="0">
                  <c:v>EDITDA Top Quartile</c:v>
                </c:pt>
              </c:strCache>
            </c:strRef>
          </c:tx>
          <c:spPr>
            <a:ln w="22225">
              <a:solidFill>
                <a:schemeClr val="accent3"/>
              </a:solidFill>
              <a:prstDash val="dash"/>
            </a:ln>
          </c:spPr>
          <c:marker>
            <c:spPr>
              <a:ln>
                <a:noFill/>
              </a:ln>
            </c:spPr>
          </c:marker>
          <c:dPt>
            <c:idx val="0"/>
            <c:marker>
              <c:spPr>
                <a:pattFill>
                  <a:fgClr>
                    <a:srgbClr val="000000"/>
                  </a:fgClr>
                  <a:bgClr>
                    <a:srgbClr val="000000"/>
                  </a:bgClr>
                </a:pattFill>
                <a:ln>
                  <a:noFill/>
                </a:ln>
              </c:spPr>
            </c:marker>
            <c:bubble3D val="0"/>
            <c:extLst>
              <c:ext xmlns:c16="http://schemas.microsoft.com/office/drawing/2014/chart" uri="{C3380CC4-5D6E-409C-BE32-E72D297353CC}">
                <c16:uniqueId val="{00000012-787D-4633-A42E-41ED7D95DE32}"/>
              </c:ext>
            </c:extLst>
          </c:dPt>
          <c:dPt>
            <c:idx val="1"/>
            <c:marker>
              <c:spPr>
                <a:pattFill>
                  <a:fgClr>
                    <a:srgbClr val="000000"/>
                  </a:fgClr>
                  <a:bgClr>
                    <a:srgbClr val="000000"/>
                  </a:bgClr>
                </a:pattFill>
                <a:ln>
                  <a:noFill/>
                </a:ln>
              </c:spPr>
            </c:marker>
            <c:bubble3D val="0"/>
            <c:extLst>
              <c:ext xmlns:c16="http://schemas.microsoft.com/office/drawing/2014/chart" uri="{C3380CC4-5D6E-409C-BE32-E72D297353CC}">
                <c16:uniqueId val="{00000013-787D-4633-A42E-41ED7D95DE32}"/>
              </c:ext>
            </c:extLst>
          </c:dPt>
          <c:xVal>
            <c:numRef>
              <c:f>TurnoverTwoArrowPage!$C$46:$D$46</c:f>
              <c:numCache>
                <c:formatCode>General</c:formatCode>
                <c:ptCount val="2"/>
                <c:pt idx="0">
                  <c:v>0</c:v>
                </c:pt>
                <c:pt idx="1">
                  <c:v>1</c:v>
                </c:pt>
              </c:numCache>
            </c:numRef>
          </c:xVal>
          <c:yVal>
            <c:numRef>
              <c:f>TurnoverTwoArrowPage!$E$46:$F$46</c:f>
              <c:numCache>
                <c:formatCode>General</c:formatCode>
                <c:ptCount val="2"/>
                <c:pt idx="0">
                  <c:v>0.75</c:v>
                </c:pt>
                <c:pt idx="1">
                  <c:v>0.75</c:v>
                </c:pt>
              </c:numCache>
            </c:numRef>
          </c:yVal>
          <c:smooth val="0"/>
          <c:extLst>
            <c:ext xmlns:c16="http://schemas.microsoft.com/office/drawing/2014/chart" uri="{C3380CC4-5D6E-409C-BE32-E72D297353CC}">
              <c16:uniqueId val="{00000010-6E82-4E46-889D-F99DBCB0EC4B}"/>
            </c:ext>
          </c:extLst>
        </c:ser>
        <c:dLbls>
          <c:showLegendKey val="0"/>
          <c:showVal val="0"/>
          <c:showCatName val="0"/>
          <c:showSerName val="0"/>
          <c:showPercent val="0"/>
          <c:showBubbleSize val="0"/>
        </c:dLbls>
        <c:axId val="556567552"/>
        <c:axId val="556598400"/>
      </c:scatterChart>
      <c:valAx>
        <c:axId val="556567552"/>
        <c:scaling>
          <c:orientation val="minMax"/>
          <c:max val="1"/>
        </c:scaling>
        <c:delete val="0"/>
        <c:axPos val="b"/>
        <c:numFmt formatCode="0.0" sourceLinked="0"/>
        <c:majorTickMark val="out"/>
        <c:minorTickMark val="none"/>
        <c:tickLblPos val="nextTo"/>
        <c:crossAx val="556598400"/>
        <c:crosses val="autoZero"/>
        <c:crossBetween val="midCat"/>
      </c:valAx>
      <c:valAx>
        <c:axId val="556598400"/>
        <c:scaling>
          <c:orientation val="minMax"/>
          <c:max val="1"/>
        </c:scaling>
        <c:delete val="0"/>
        <c:axPos val="l"/>
        <c:numFmt formatCode="0.0" sourceLinked="0"/>
        <c:majorTickMark val="out"/>
        <c:minorTickMark val="none"/>
        <c:tickLblPos val="nextTo"/>
        <c:crossAx val="556567552"/>
        <c:crosses val="autoZero"/>
        <c:crossBetween val="midCat"/>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a:solidFill>
                  <a:schemeClr val="tx1"/>
                </a:solidFill>
              </a:defRPr>
            </a:pPr>
            <a:r>
              <a:rPr lang="en-US" sz="1200" dirty="0">
                <a:solidFill>
                  <a:schemeClr val="tx1"/>
                </a:solidFill>
              </a:rPr>
              <a:t>DSO </a:t>
            </a:r>
            <a:r>
              <a:rPr lang="en-US" sz="1200" baseline="0" dirty="0">
                <a:solidFill>
                  <a:schemeClr val="tx1"/>
                </a:solidFill>
              </a:rPr>
              <a:t>Trending*</a:t>
            </a:r>
            <a:endParaRPr lang="en-US" sz="1200" dirty="0">
              <a:solidFill>
                <a:schemeClr val="tx1"/>
              </a:solidFill>
            </a:endParaRPr>
          </a:p>
        </c:rich>
      </c:tx>
      <c:layout>
        <c:manualLayout>
          <c:xMode val="edge"/>
          <c:yMode val="edge"/>
          <c:x val="1.8471128608924107E-3"/>
          <c:y val="4.6296296296296294E-3"/>
        </c:manualLayout>
      </c:layout>
      <c:overlay val="1"/>
    </c:title>
    <c:autoTitleDeleted val="0"/>
    <c:plotArea>
      <c:layout>
        <c:manualLayout>
          <c:layoutTarget val="inner"/>
          <c:xMode val="edge"/>
          <c:yMode val="edge"/>
          <c:x val="6.8657042869641281E-3"/>
          <c:y val="0.13518503937007875"/>
          <c:w val="0.99313429571303591"/>
          <c:h val="0.75925940507436562"/>
        </c:manualLayout>
      </c:layout>
      <c:barChart>
        <c:barDir val="col"/>
        <c:grouping val="clustered"/>
        <c:varyColors val="0"/>
        <c:ser>
          <c:idx val="1"/>
          <c:order val="0"/>
          <c:tx>
            <c:v>Bars</c:v>
          </c:tx>
          <c:spPr>
            <a:solidFill>
              <a:srgbClr val="002B49"/>
            </a:solidFill>
            <a:effectLst/>
          </c:spPr>
          <c:invertIfNegative val="0"/>
          <c:dPt>
            <c:idx val="0"/>
            <c:invertIfNegative val="0"/>
            <c:bubble3D val="0"/>
            <c:extLst>
              <c:ext xmlns:c16="http://schemas.microsoft.com/office/drawing/2014/chart" uri="{C3380CC4-5D6E-409C-BE32-E72D297353CC}">
                <c16:uniqueId val="{00000001-EB5A-4928-9E9A-2E6BBFC9C18B}"/>
              </c:ext>
            </c:extLst>
          </c:dPt>
          <c:dLbls>
            <c:numFmt formatCode="#,##0" sourceLinked="0"/>
            <c:spPr>
              <a:solidFill>
                <a:sysClr val="window" lastClr="FFFFFF"/>
              </a:solidFill>
              <a:ln>
                <a:solidFill>
                  <a:srgbClr val="767171">
                    <a:lumMod val="65000"/>
                    <a:lumOff val="35000"/>
                  </a:srgbClr>
                </a:solidFill>
              </a:ln>
              <a:effectLst/>
            </c:spPr>
            <c:txPr>
              <a:bodyPr/>
              <a:lstStyle/>
              <a:p>
                <a:pPr>
                  <a:defRPr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TrendingPage!$A$2:$A$7</c:f>
              <c:numCache>
                <c:formatCode>General</c:formatCode>
                <c:ptCount val="6"/>
                <c:pt idx="0">
                  <c:v>2015</c:v>
                </c:pt>
                <c:pt idx="1">
                  <c:v>2016</c:v>
                </c:pt>
                <c:pt idx="2">
                  <c:v>2017</c:v>
                </c:pt>
                <c:pt idx="3">
                  <c:v>2018</c:v>
                </c:pt>
                <c:pt idx="4">
                  <c:v>2019</c:v>
                </c:pt>
                <c:pt idx="5">
                  <c:v>2020</c:v>
                </c:pt>
              </c:numCache>
            </c:numRef>
          </c:cat>
          <c:val>
            <c:numRef>
              <c:f>TrendingPage!$E$2:$E$7</c:f>
              <c:numCache>
                <c:formatCode>0</c:formatCode>
                <c:ptCount val="6"/>
                <c:pt idx="0">
                  <c:v>28.627336701074849</c:v>
                </c:pt>
                <c:pt idx="1">
                  <c:v>28.627336701074849</c:v>
                </c:pt>
                <c:pt idx="2">
                  <c:v>28.627336701074849</c:v>
                </c:pt>
                <c:pt idx="3">
                  <c:v>28.627336701074849</c:v>
                </c:pt>
                <c:pt idx="4">
                  <c:v>28.627336701074849</c:v>
                </c:pt>
                <c:pt idx="5">
                  <c:v>28.627336701074849</c:v>
                </c:pt>
              </c:numCache>
            </c:numRef>
          </c:val>
          <c:extLst>
            <c:ext xmlns:c16="http://schemas.microsoft.com/office/drawing/2014/chart" uri="{C3380CC4-5D6E-409C-BE32-E72D297353CC}">
              <c16:uniqueId val="{00000007-EB5A-4928-9E9A-2E6BBFC9C18B}"/>
            </c:ext>
          </c:extLst>
        </c:ser>
        <c:dLbls>
          <c:showLegendKey val="0"/>
          <c:showVal val="0"/>
          <c:showCatName val="0"/>
          <c:showSerName val="0"/>
          <c:showPercent val="0"/>
          <c:showBubbleSize val="0"/>
        </c:dLbls>
        <c:gapWidth val="71"/>
        <c:axId val="344344304"/>
        <c:axId val="344342992"/>
      </c:barChart>
      <c:valAx>
        <c:axId val="344342992"/>
        <c:scaling>
          <c:orientation val="minMax"/>
        </c:scaling>
        <c:delete val="1"/>
        <c:axPos val="r"/>
        <c:numFmt formatCode="0" sourceLinked="1"/>
        <c:majorTickMark val="out"/>
        <c:minorTickMark val="none"/>
        <c:tickLblPos val="nextTo"/>
        <c:crossAx val="344344304"/>
        <c:crosses val="max"/>
        <c:crossBetween val="between"/>
      </c:valAx>
      <c:catAx>
        <c:axId val="344344304"/>
        <c:scaling>
          <c:orientation val="minMax"/>
        </c:scaling>
        <c:delete val="0"/>
        <c:axPos val="b"/>
        <c:numFmt formatCode="General" sourceLinked="1"/>
        <c:majorTickMark val="out"/>
        <c:minorTickMark val="none"/>
        <c:tickLblPos val="nextTo"/>
        <c:crossAx val="344342992"/>
        <c:crosses val="autoZero"/>
        <c:auto val="1"/>
        <c:lblAlgn val="ctr"/>
        <c:lblOffset val="100"/>
        <c:noMultiLvlLbl val="0"/>
      </c:cat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a:solidFill>
                  <a:schemeClr val="tx1"/>
                </a:solidFill>
              </a:defRPr>
            </a:pPr>
            <a:r>
              <a:rPr lang="en-US" sz="1200" dirty="0">
                <a:solidFill>
                  <a:schemeClr val="tx1"/>
                </a:solidFill>
              </a:rPr>
              <a:t>DIO </a:t>
            </a:r>
            <a:r>
              <a:rPr lang="en-US" sz="1200" baseline="0" dirty="0">
                <a:solidFill>
                  <a:schemeClr val="tx1"/>
                </a:solidFill>
              </a:rPr>
              <a:t>Trending*</a:t>
            </a:r>
            <a:endParaRPr lang="en-US" sz="1200" dirty="0">
              <a:solidFill>
                <a:schemeClr val="tx1"/>
              </a:solidFill>
            </a:endParaRPr>
          </a:p>
        </c:rich>
      </c:tx>
      <c:layout>
        <c:manualLayout>
          <c:xMode val="edge"/>
          <c:yMode val="edge"/>
          <c:x val="1.8471128608924107E-3"/>
          <c:y val="4.6296296296296294E-3"/>
        </c:manualLayout>
      </c:layout>
      <c:overlay val="1"/>
    </c:title>
    <c:autoTitleDeleted val="0"/>
    <c:plotArea>
      <c:layout>
        <c:manualLayout>
          <c:layoutTarget val="inner"/>
          <c:xMode val="edge"/>
          <c:yMode val="edge"/>
          <c:x val="6.8657042869641281E-3"/>
          <c:y val="0.13518503937007875"/>
          <c:w val="0.99313429571303591"/>
          <c:h val="0.75925940507436562"/>
        </c:manualLayout>
      </c:layout>
      <c:barChart>
        <c:barDir val="col"/>
        <c:grouping val="clustered"/>
        <c:varyColors val="0"/>
        <c:ser>
          <c:idx val="1"/>
          <c:order val="0"/>
          <c:tx>
            <c:v>Bars</c:v>
          </c:tx>
          <c:spPr>
            <a:solidFill>
              <a:srgbClr val="002B49"/>
            </a:solidFill>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TrendingPage!$A$2:$A$7</c:f>
              <c:numCache>
                <c:formatCode>General</c:formatCode>
                <c:ptCount val="6"/>
                <c:pt idx="0">
                  <c:v>2015</c:v>
                </c:pt>
                <c:pt idx="1">
                  <c:v>2016</c:v>
                </c:pt>
                <c:pt idx="2">
                  <c:v>2017</c:v>
                </c:pt>
                <c:pt idx="3">
                  <c:v>2018</c:v>
                </c:pt>
                <c:pt idx="4">
                  <c:v>2019</c:v>
                </c:pt>
                <c:pt idx="5">
                  <c:v>2020</c:v>
                </c:pt>
              </c:numCache>
            </c:numRef>
          </c:cat>
          <c:val>
            <c:numRef>
              <c:f>TrendingPage!$C$2:$C$7</c:f>
              <c:numCache>
                <c:formatCode>0</c:formatCode>
                <c:ptCount val="6"/>
                <c:pt idx="0">
                  <c:v>58.024201319406401</c:v>
                </c:pt>
                <c:pt idx="1">
                  <c:v>58.024201319406401</c:v>
                </c:pt>
                <c:pt idx="2">
                  <c:v>58.024201319406401</c:v>
                </c:pt>
                <c:pt idx="3">
                  <c:v>58.024201319406401</c:v>
                </c:pt>
                <c:pt idx="4">
                  <c:v>58.024201319406401</c:v>
                </c:pt>
                <c:pt idx="5">
                  <c:v>58.024201319406401</c:v>
                </c:pt>
              </c:numCache>
            </c:numRef>
          </c:val>
          <c:extLst>
            <c:ext xmlns:c16="http://schemas.microsoft.com/office/drawing/2014/chart" uri="{C3380CC4-5D6E-409C-BE32-E72D297353CC}">
              <c16:uniqueId val="{00000007-5586-4A5A-8BBA-8C8B8CA1B6D3}"/>
            </c:ext>
          </c:extLst>
        </c:ser>
        <c:dLbls>
          <c:showLegendKey val="0"/>
          <c:showVal val="0"/>
          <c:showCatName val="0"/>
          <c:showSerName val="0"/>
          <c:showPercent val="0"/>
          <c:showBubbleSize val="0"/>
        </c:dLbls>
        <c:gapWidth val="71"/>
        <c:axId val="344344304"/>
        <c:axId val="344342992"/>
      </c:barChart>
      <c:valAx>
        <c:axId val="344342992"/>
        <c:scaling>
          <c:orientation val="minMax"/>
        </c:scaling>
        <c:delete val="1"/>
        <c:axPos val="r"/>
        <c:numFmt formatCode="0" sourceLinked="1"/>
        <c:majorTickMark val="out"/>
        <c:minorTickMark val="none"/>
        <c:tickLblPos val="nextTo"/>
        <c:crossAx val="344344304"/>
        <c:crosses val="max"/>
        <c:crossBetween val="between"/>
      </c:valAx>
      <c:catAx>
        <c:axId val="344344304"/>
        <c:scaling>
          <c:orientation val="minMax"/>
        </c:scaling>
        <c:delete val="0"/>
        <c:axPos val="b"/>
        <c:numFmt formatCode="General" sourceLinked="1"/>
        <c:majorTickMark val="out"/>
        <c:minorTickMark val="none"/>
        <c:tickLblPos val="nextTo"/>
        <c:crossAx val="344342992"/>
        <c:crosses val="autoZero"/>
        <c:auto val="1"/>
        <c:lblAlgn val="ctr"/>
        <c:lblOffset val="100"/>
        <c:noMultiLvlLbl val="0"/>
      </c:cat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a:solidFill>
                  <a:schemeClr val="tx1"/>
                </a:solidFill>
              </a:defRPr>
            </a:pPr>
            <a:r>
              <a:rPr lang="en-US" sz="1200" dirty="0">
                <a:solidFill>
                  <a:schemeClr val="tx1"/>
                </a:solidFill>
              </a:rPr>
              <a:t>DPO </a:t>
            </a:r>
            <a:r>
              <a:rPr lang="en-US" sz="1200" baseline="0" dirty="0">
                <a:solidFill>
                  <a:schemeClr val="tx1"/>
                </a:solidFill>
              </a:rPr>
              <a:t>Trending*</a:t>
            </a:r>
            <a:endParaRPr lang="en-US" sz="1200" dirty="0">
              <a:solidFill>
                <a:schemeClr val="tx1"/>
              </a:solidFill>
            </a:endParaRPr>
          </a:p>
        </c:rich>
      </c:tx>
      <c:layout>
        <c:manualLayout>
          <c:xMode val="edge"/>
          <c:yMode val="edge"/>
          <c:x val="1.8471128608924107E-3"/>
          <c:y val="4.6296296296296294E-3"/>
        </c:manualLayout>
      </c:layout>
      <c:overlay val="1"/>
    </c:title>
    <c:autoTitleDeleted val="0"/>
    <c:plotArea>
      <c:layout>
        <c:manualLayout>
          <c:layoutTarget val="inner"/>
          <c:xMode val="edge"/>
          <c:yMode val="edge"/>
          <c:x val="6.8657042869641281E-3"/>
          <c:y val="0.13518503937007875"/>
          <c:w val="0.99313429571303591"/>
          <c:h val="0.75925940507436562"/>
        </c:manualLayout>
      </c:layout>
      <c:barChart>
        <c:barDir val="col"/>
        <c:grouping val="clustered"/>
        <c:varyColors val="0"/>
        <c:ser>
          <c:idx val="1"/>
          <c:order val="0"/>
          <c:tx>
            <c:v>Bars</c:v>
          </c:tx>
          <c:spPr>
            <a:solidFill>
              <a:srgbClr val="002B49"/>
            </a:solidFill>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TrendingPage!$A$2:$A$7</c:f>
              <c:numCache>
                <c:formatCode>General</c:formatCode>
                <c:ptCount val="6"/>
                <c:pt idx="0">
                  <c:v>2015</c:v>
                </c:pt>
                <c:pt idx="1">
                  <c:v>2016</c:v>
                </c:pt>
                <c:pt idx="2">
                  <c:v>2017</c:v>
                </c:pt>
                <c:pt idx="3">
                  <c:v>2018</c:v>
                </c:pt>
                <c:pt idx="4">
                  <c:v>2019</c:v>
                </c:pt>
                <c:pt idx="5">
                  <c:v>2020</c:v>
                </c:pt>
              </c:numCache>
            </c:numRef>
          </c:cat>
          <c:val>
            <c:numRef>
              <c:f>TrendingPage!$D$2:$D$7</c:f>
              <c:numCache>
                <c:formatCode>0</c:formatCode>
                <c:ptCount val="6"/>
                <c:pt idx="0">
                  <c:v>68.502609675530351</c:v>
                </c:pt>
                <c:pt idx="1">
                  <c:v>68.502609675530351</c:v>
                </c:pt>
                <c:pt idx="2">
                  <c:v>68.502609675530351</c:v>
                </c:pt>
                <c:pt idx="3">
                  <c:v>68.502609675530351</c:v>
                </c:pt>
                <c:pt idx="4">
                  <c:v>68.502609675530351</c:v>
                </c:pt>
                <c:pt idx="5">
                  <c:v>68.502609675530351</c:v>
                </c:pt>
              </c:numCache>
            </c:numRef>
          </c:val>
          <c:extLst>
            <c:ext xmlns:c16="http://schemas.microsoft.com/office/drawing/2014/chart" uri="{C3380CC4-5D6E-409C-BE32-E72D297353CC}">
              <c16:uniqueId val="{00000000-3605-441F-B528-D86FE21791CF}"/>
            </c:ext>
          </c:extLst>
        </c:ser>
        <c:dLbls>
          <c:showLegendKey val="0"/>
          <c:showVal val="0"/>
          <c:showCatName val="0"/>
          <c:showSerName val="0"/>
          <c:showPercent val="0"/>
          <c:showBubbleSize val="0"/>
        </c:dLbls>
        <c:gapWidth val="71"/>
        <c:axId val="344344304"/>
        <c:axId val="344342992"/>
      </c:barChart>
      <c:valAx>
        <c:axId val="344342992"/>
        <c:scaling>
          <c:orientation val="minMax"/>
        </c:scaling>
        <c:delete val="1"/>
        <c:axPos val="r"/>
        <c:numFmt formatCode="0" sourceLinked="1"/>
        <c:majorTickMark val="out"/>
        <c:minorTickMark val="none"/>
        <c:tickLblPos val="nextTo"/>
        <c:crossAx val="344344304"/>
        <c:crosses val="max"/>
        <c:crossBetween val="between"/>
      </c:valAx>
      <c:catAx>
        <c:axId val="344344304"/>
        <c:scaling>
          <c:orientation val="minMax"/>
        </c:scaling>
        <c:delete val="0"/>
        <c:axPos val="b"/>
        <c:numFmt formatCode="General" sourceLinked="1"/>
        <c:majorTickMark val="out"/>
        <c:minorTickMark val="none"/>
        <c:tickLblPos val="nextTo"/>
        <c:crossAx val="344342992"/>
        <c:crosses val="autoZero"/>
        <c:auto val="1"/>
        <c:lblAlgn val="ctr"/>
        <c:lblOffset val="100"/>
        <c:noMultiLvlLbl val="0"/>
      </c:cat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200">
                <a:solidFill>
                  <a:schemeClr val="tx1"/>
                </a:solidFill>
              </a:defRPr>
            </a:pPr>
            <a:r>
              <a:rPr lang="en-US" sz="1200" dirty="0">
                <a:solidFill>
                  <a:schemeClr val="tx1"/>
                </a:solidFill>
              </a:rPr>
              <a:t>CCC </a:t>
            </a:r>
            <a:r>
              <a:rPr lang="en-US" sz="1200" baseline="0" dirty="0">
                <a:solidFill>
                  <a:schemeClr val="tx1"/>
                </a:solidFill>
              </a:rPr>
              <a:t>Trending*</a:t>
            </a:r>
            <a:endParaRPr lang="en-US" sz="1200" dirty="0">
              <a:solidFill>
                <a:schemeClr val="tx1"/>
              </a:solidFill>
            </a:endParaRPr>
          </a:p>
        </c:rich>
      </c:tx>
      <c:layout>
        <c:manualLayout>
          <c:xMode val="edge"/>
          <c:yMode val="edge"/>
          <c:x val="1.8471128608924107E-3"/>
          <c:y val="4.6296296296296294E-3"/>
        </c:manualLayout>
      </c:layout>
      <c:overlay val="1"/>
    </c:title>
    <c:autoTitleDeleted val="0"/>
    <c:plotArea>
      <c:layout>
        <c:manualLayout>
          <c:layoutTarget val="inner"/>
          <c:xMode val="edge"/>
          <c:yMode val="edge"/>
          <c:x val="6.8657042869641281E-3"/>
          <c:y val="0.13518503937007875"/>
          <c:w val="0.99313429571303591"/>
          <c:h val="0.75925940507436562"/>
        </c:manualLayout>
      </c:layout>
      <c:barChart>
        <c:barDir val="col"/>
        <c:grouping val="clustered"/>
        <c:varyColors val="0"/>
        <c:ser>
          <c:idx val="1"/>
          <c:order val="0"/>
          <c:tx>
            <c:v>Bars</c:v>
          </c:tx>
          <c:spPr>
            <a:solidFill>
              <a:srgbClr val="002B49"/>
            </a:solidFill>
          </c:spPr>
          <c:invertIfNegative val="0"/>
          <c:dLbls>
            <c:spPr>
              <a:noFill/>
              <a:ln>
                <a:noFill/>
              </a:ln>
              <a:effectLst/>
            </c:spPr>
            <c:txPr>
              <a:bodyPr wrap="square" lIns="38100" tIns="19050" rIns="38100" bIns="19050" anchor="ctr">
                <a:spAutoFit/>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TrendingPage!$A$2:$A$7</c:f>
              <c:numCache>
                <c:formatCode>General</c:formatCode>
                <c:ptCount val="6"/>
                <c:pt idx="0">
                  <c:v>2015</c:v>
                </c:pt>
                <c:pt idx="1">
                  <c:v>2016</c:v>
                </c:pt>
                <c:pt idx="2">
                  <c:v>2017</c:v>
                </c:pt>
                <c:pt idx="3">
                  <c:v>2018</c:v>
                </c:pt>
                <c:pt idx="4">
                  <c:v>2019</c:v>
                </c:pt>
                <c:pt idx="5">
                  <c:v>2020</c:v>
                </c:pt>
              </c:numCache>
            </c:numRef>
          </c:cat>
          <c:val>
            <c:numRef>
              <c:f>TrendingPage!$B$2:$B$7</c:f>
              <c:numCache>
                <c:formatCode>0</c:formatCode>
                <c:ptCount val="6"/>
                <c:pt idx="0">
                  <c:v>25.364363037573249</c:v>
                </c:pt>
                <c:pt idx="1">
                  <c:v>25.364363037573249</c:v>
                </c:pt>
                <c:pt idx="2">
                  <c:v>25.364363037573249</c:v>
                </c:pt>
                <c:pt idx="3">
                  <c:v>25.364363037573249</c:v>
                </c:pt>
                <c:pt idx="4">
                  <c:v>25.364363037573249</c:v>
                </c:pt>
                <c:pt idx="5">
                  <c:v>25.364363037573249</c:v>
                </c:pt>
              </c:numCache>
            </c:numRef>
          </c:val>
          <c:extLst>
            <c:ext xmlns:c16="http://schemas.microsoft.com/office/drawing/2014/chart" uri="{C3380CC4-5D6E-409C-BE32-E72D297353CC}">
              <c16:uniqueId val="{00000002-54D1-4D46-ADEC-F28458B2C228}"/>
            </c:ext>
          </c:extLst>
        </c:ser>
        <c:dLbls>
          <c:showLegendKey val="0"/>
          <c:showVal val="0"/>
          <c:showCatName val="0"/>
          <c:showSerName val="0"/>
          <c:showPercent val="0"/>
          <c:showBubbleSize val="0"/>
        </c:dLbls>
        <c:gapWidth val="71"/>
        <c:axId val="344344304"/>
        <c:axId val="344342992"/>
      </c:barChart>
      <c:valAx>
        <c:axId val="344342992"/>
        <c:scaling>
          <c:orientation val="minMax"/>
        </c:scaling>
        <c:delete val="1"/>
        <c:axPos val="r"/>
        <c:numFmt formatCode="0" sourceLinked="1"/>
        <c:majorTickMark val="out"/>
        <c:minorTickMark val="none"/>
        <c:tickLblPos val="nextTo"/>
        <c:crossAx val="344344304"/>
        <c:crosses val="max"/>
        <c:crossBetween val="between"/>
      </c:valAx>
      <c:catAx>
        <c:axId val="344344304"/>
        <c:scaling>
          <c:orientation val="minMax"/>
        </c:scaling>
        <c:delete val="0"/>
        <c:axPos val="b"/>
        <c:numFmt formatCode="General" sourceLinked="1"/>
        <c:majorTickMark val="out"/>
        <c:minorTickMark val="none"/>
        <c:tickLblPos val="nextTo"/>
        <c:crossAx val="344342992"/>
        <c:crosses val="autoZero"/>
        <c:auto val="1"/>
        <c:lblAlgn val="ctr"/>
        <c:lblOffset val="100"/>
        <c:noMultiLvlLbl val="0"/>
      </c:cat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 Id="rId4"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7</xdr:col>
      <xdr:colOff>19051</xdr:colOff>
      <xdr:row>1</xdr:row>
      <xdr:rowOff>9525</xdr:rowOff>
    </xdr:from>
    <xdr:to>
      <xdr:col>9</xdr:col>
      <xdr:colOff>85725</xdr:colOff>
      <xdr:row>4</xdr:row>
      <xdr:rowOff>180975</xdr:rowOff>
    </xdr:to>
    <xdr:sp macro="[0]!CreatePowerPointWithoutClosing" textlink="">
      <xdr:nvSpPr>
        <xdr:cNvPr id="2" name="Rounded Rectangle 288">
          <a:extLst>
            <a:ext uri="{FF2B5EF4-FFF2-40B4-BE49-F238E27FC236}">
              <a16:creationId xmlns:a16="http://schemas.microsoft.com/office/drawing/2014/main" id="{00000000-0008-0000-0000-000002000000}"/>
            </a:ext>
          </a:extLst>
        </xdr:cNvPr>
        <xdr:cNvSpPr/>
      </xdr:nvSpPr>
      <xdr:spPr>
        <a:xfrm>
          <a:off x="11744326" y="200025"/>
          <a:ext cx="1285874" cy="742950"/>
        </a:xfrm>
        <a:prstGeom prst="roundRect">
          <a:avLst/>
        </a:prstGeom>
        <a:solidFill>
          <a:srgbClr val="2540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Create PPT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371475</xdr:colOff>
      <xdr:row>1</xdr:row>
      <xdr:rowOff>133350</xdr:rowOff>
    </xdr:from>
    <xdr:to>
      <xdr:col>14</xdr:col>
      <xdr:colOff>323849</xdr:colOff>
      <xdr:row>5</xdr:row>
      <xdr:rowOff>123825</xdr:rowOff>
    </xdr:to>
    <xdr:sp macro="[0]!LoadPhrases" textlink="">
      <xdr:nvSpPr>
        <xdr:cNvPr id="2" name="Rounded Rectangle 288">
          <a:extLst>
            <a:ext uri="{FF2B5EF4-FFF2-40B4-BE49-F238E27FC236}">
              <a16:creationId xmlns:a16="http://schemas.microsoft.com/office/drawing/2014/main" id="{00000000-0008-0000-0200-000002000000}"/>
            </a:ext>
          </a:extLst>
        </xdr:cNvPr>
        <xdr:cNvSpPr/>
      </xdr:nvSpPr>
      <xdr:spPr>
        <a:xfrm>
          <a:off x="12315825" y="323850"/>
          <a:ext cx="1171574" cy="561975"/>
        </a:xfrm>
        <a:prstGeom prst="roundRect">
          <a:avLst/>
        </a:prstGeom>
        <a:solidFill>
          <a:srgbClr val="2540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Load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1485900</xdr:colOff>
      <xdr:row>20</xdr:row>
      <xdr:rowOff>133351</xdr:rowOff>
    </xdr:from>
    <xdr:to>
      <xdr:col>14</xdr:col>
      <xdr:colOff>296217</xdr:colOff>
      <xdr:row>59</xdr:row>
      <xdr:rowOff>28576</xdr:rowOff>
    </xdr:to>
    <xdr:graphicFrame macro="">
      <xdr:nvGraphicFramePr>
        <xdr:cNvPr id="50" name="Chart_C6">
          <a:extLst>
            <a:ext uri="{FF2B5EF4-FFF2-40B4-BE49-F238E27FC236}">
              <a16:creationId xmlns:a16="http://schemas.microsoft.com/office/drawing/2014/main" id="{00000000-0008-0000-0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66675</xdr:colOff>
          <xdr:row>25</xdr:row>
          <xdr:rowOff>114300</xdr:rowOff>
        </xdr:from>
        <xdr:to>
          <xdr:col>0</xdr:col>
          <xdr:colOff>1362075</xdr:colOff>
          <xdr:row>27</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Nova Cond"/>
                </a:rPr>
                <a:t>Format</a:t>
              </a:r>
            </a:p>
          </xdr:txBody>
        </xdr:sp>
        <xdr:clientData fPrintsWithSheet="0"/>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0.81988</cdr:x>
      <cdr:y>0.03863</cdr:y>
    </cdr:from>
    <cdr:to>
      <cdr:x>0.84596</cdr:x>
      <cdr:y>0.09346</cdr:y>
    </cdr:to>
    <cdr:sp macro="" textlink="">
      <cdr:nvSpPr>
        <cdr:cNvPr id="4" name="Rectangle 3"/>
        <cdr:cNvSpPr/>
      </cdr:nvSpPr>
      <cdr:spPr>
        <a:xfrm xmlns:a="http://schemas.openxmlformats.org/drawingml/2006/main">
          <a:off x="7451358" y="204868"/>
          <a:ext cx="237024" cy="290751"/>
        </a:xfrm>
        <a:prstGeom xmlns:a="http://schemas.openxmlformats.org/drawingml/2006/main" prst="rect">
          <a:avLst/>
        </a:prstGeom>
        <a:solidFill xmlns:a="http://schemas.openxmlformats.org/drawingml/2006/main">
          <a:srgbClr val="F9C20A"/>
        </a:solidFill>
        <a:ln xmlns:a="http://schemas.openxmlformats.org/drawingml/2006/main" w="3175">
          <a:solidFill>
            <a:schemeClr val="tx1"/>
          </a:solidFill>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0.81988</cdr:x>
      <cdr:y>0.09353</cdr:y>
    </cdr:from>
    <cdr:to>
      <cdr:x>0.84597</cdr:x>
      <cdr:y>0.14836</cdr:y>
    </cdr:to>
    <cdr:sp macro="" textlink="">
      <cdr:nvSpPr>
        <cdr:cNvPr id="5" name="Rectangle 4"/>
        <cdr:cNvSpPr/>
      </cdr:nvSpPr>
      <cdr:spPr>
        <a:xfrm xmlns:a="http://schemas.openxmlformats.org/drawingml/2006/main">
          <a:off x="7422073" y="495955"/>
          <a:ext cx="236183" cy="290752"/>
        </a:xfrm>
        <a:prstGeom xmlns:a="http://schemas.openxmlformats.org/drawingml/2006/main" prst="rect">
          <a:avLst/>
        </a:prstGeom>
        <a:solidFill xmlns:a="http://schemas.openxmlformats.org/drawingml/2006/main">
          <a:srgbClr val="29702A"/>
        </a:solidFill>
        <a:ln xmlns:a="http://schemas.openxmlformats.org/drawingml/2006/main" w="3175">
          <a:solidFill>
            <a:schemeClr val="tx1"/>
          </a:solidFill>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0.84472</cdr:x>
      <cdr:y>0.03863</cdr:y>
    </cdr:from>
    <cdr:to>
      <cdr:x>0.9764</cdr:x>
      <cdr:y>0.07312</cdr:y>
    </cdr:to>
    <cdr:sp macro="" textlink="">
      <cdr:nvSpPr>
        <cdr:cNvPr id="6" name="Rectangle 5"/>
        <cdr:cNvSpPr/>
      </cdr:nvSpPr>
      <cdr:spPr>
        <a:xfrm xmlns:a="http://schemas.openxmlformats.org/drawingml/2006/main">
          <a:off x="7677113" y="204868"/>
          <a:ext cx="1196754" cy="18288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l"/>
          <a:r>
            <a:rPr lang="en-US" sz="1000" b="1">
              <a:solidFill>
                <a:srgbClr val="646464"/>
              </a:solidFill>
            </a:rPr>
            <a:t>Bottom Quartile</a:t>
          </a:r>
        </a:p>
      </cdr:txBody>
    </cdr:sp>
  </cdr:relSizeAnchor>
  <cdr:relSizeAnchor xmlns:cdr="http://schemas.openxmlformats.org/drawingml/2006/chartDrawing">
    <cdr:from>
      <cdr:x>0.84472</cdr:x>
      <cdr:y>0.07625</cdr:y>
    </cdr:from>
    <cdr:to>
      <cdr:x>0.9764</cdr:x>
      <cdr:y>0.11074</cdr:y>
    </cdr:to>
    <cdr:sp macro="" textlink="">
      <cdr:nvSpPr>
        <cdr:cNvPr id="7" name="Rectangle 6"/>
        <cdr:cNvSpPr/>
      </cdr:nvSpPr>
      <cdr:spPr>
        <a:xfrm xmlns:a="http://schemas.openxmlformats.org/drawingml/2006/main">
          <a:off x="7677113" y="404348"/>
          <a:ext cx="1196754" cy="18288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l"/>
          <a:r>
            <a:rPr lang="en-US" sz="1000" b="1">
              <a:solidFill>
                <a:srgbClr val="646464"/>
              </a:solidFill>
            </a:rPr>
            <a:t>Median</a:t>
          </a:r>
        </a:p>
      </cdr:txBody>
    </cdr:sp>
  </cdr:relSizeAnchor>
  <cdr:relSizeAnchor xmlns:cdr="http://schemas.openxmlformats.org/drawingml/2006/chartDrawing">
    <cdr:from>
      <cdr:x>0.84472</cdr:x>
      <cdr:y>0.11387</cdr:y>
    </cdr:from>
    <cdr:to>
      <cdr:x>0.97639</cdr:x>
      <cdr:y>0.14836</cdr:y>
    </cdr:to>
    <cdr:sp macro="" textlink="">
      <cdr:nvSpPr>
        <cdr:cNvPr id="8" name="Rectangle 7"/>
        <cdr:cNvSpPr/>
      </cdr:nvSpPr>
      <cdr:spPr>
        <a:xfrm xmlns:a="http://schemas.openxmlformats.org/drawingml/2006/main">
          <a:off x="7646940" y="603827"/>
          <a:ext cx="1191960" cy="18288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l"/>
          <a:r>
            <a:rPr lang="en-US" sz="1000" b="1">
              <a:solidFill>
                <a:srgbClr val="646464"/>
              </a:solidFill>
            </a:rPr>
            <a:t>Top Quartile</a:t>
          </a:r>
        </a:p>
      </cdr:txBody>
    </cdr:sp>
  </cdr:relSizeAnchor>
  <cdr:relSizeAnchor xmlns:cdr="http://schemas.openxmlformats.org/drawingml/2006/chartDrawing">
    <cdr:from>
      <cdr:x>0.19744</cdr:x>
      <cdr:y>0.02379</cdr:y>
    </cdr:from>
    <cdr:to>
      <cdr:x>0.26396</cdr:x>
      <cdr:y>0.97735</cdr:y>
    </cdr:to>
    <cdr:sp macro="" textlink="">
      <cdr:nvSpPr>
        <cdr:cNvPr id="9" name="GreenRectangle">
          <a:extLst xmlns:a="http://schemas.openxmlformats.org/drawingml/2006/main">
            <a:ext uri="{FF2B5EF4-FFF2-40B4-BE49-F238E27FC236}">
              <a16:creationId xmlns:a16="http://schemas.microsoft.com/office/drawing/2014/main" id="{AE5DD3DF-F643-4E2D-95B5-F3BF543273E5}"/>
            </a:ext>
          </a:extLst>
        </cdr:cNvPr>
        <cdr:cNvSpPr/>
      </cdr:nvSpPr>
      <cdr:spPr>
        <a:xfrm xmlns:a="http://schemas.openxmlformats.org/drawingml/2006/main">
          <a:off x="1781174" y="130051"/>
          <a:ext cx="600075" cy="5213473"/>
        </a:xfrm>
        <a:prstGeom xmlns:a="http://schemas.openxmlformats.org/drawingml/2006/main" prst="rect">
          <a:avLst/>
        </a:prstGeom>
        <a:noFill xmlns:a="http://schemas.openxmlformats.org/drawingml/2006/main"/>
        <a:ln xmlns:a="http://schemas.openxmlformats.org/drawingml/2006/main">
          <a:solidFill>
            <a:srgbClr val="29702A"/>
          </a:solidFill>
          <a:prstDash val="sysDash"/>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xmlns:a="http://schemas.openxmlformats.org/drawingml/2006/main">
          <a:pPr algn="ctr"/>
          <a:endParaRPr lang="en-US" sz="2310" dirty="0"/>
        </a:p>
      </cdr:txBody>
    </cdr: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29</xdr:col>
          <xdr:colOff>219075</xdr:colOff>
          <xdr:row>7</xdr:row>
          <xdr:rowOff>38100</xdr:rowOff>
        </xdr:from>
        <xdr:to>
          <xdr:col>31</xdr:col>
          <xdr:colOff>295275</xdr:colOff>
          <xdr:row>9</xdr:row>
          <xdr:rowOff>9525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twoCellAnchor>
    <xdr:from>
      <xdr:col>33</xdr:col>
      <xdr:colOff>27838</xdr:colOff>
      <xdr:row>69</xdr:row>
      <xdr:rowOff>64477</xdr:rowOff>
    </xdr:from>
    <xdr:to>
      <xdr:col>47</xdr:col>
      <xdr:colOff>602268</xdr:colOff>
      <xdr:row>72</xdr:row>
      <xdr:rowOff>88265</xdr:rowOff>
    </xdr:to>
    <xdr:grpSp>
      <xdr:nvGrpSpPr>
        <xdr:cNvPr id="745" name="Group_Demographics7">
          <a:extLst>
            <a:ext uri="{FF2B5EF4-FFF2-40B4-BE49-F238E27FC236}">
              <a16:creationId xmlns:a16="http://schemas.microsoft.com/office/drawing/2014/main" id="{00000000-0008-0000-0600-0000E9020000}"/>
            </a:ext>
          </a:extLst>
        </xdr:cNvPr>
        <xdr:cNvGrpSpPr/>
      </xdr:nvGrpSpPr>
      <xdr:grpSpPr>
        <a:xfrm>
          <a:off x="19220713" y="9922852"/>
          <a:ext cx="9108830" cy="452413"/>
          <a:chOff x="-81865" y="238322"/>
          <a:chExt cx="9110208" cy="578882"/>
        </a:xfrm>
      </xdr:grpSpPr>
      <xdr:sp macro="" textlink="">
        <xdr:nvSpPr>
          <xdr:cNvPr id="746" name="Bar14">
            <a:extLst>
              <a:ext uri="{FF2B5EF4-FFF2-40B4-BE49-F238E27FC236}">
                <a16:creationId xmlns:a16="http://schemas.microsoft.com/office/drawing/2014/main" id="{00000000-0008-0000-0600-0000EA02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47" name="Bar13">
            <a:extLst>
              <a:ext uri="{FF2B5EF4-FFF2-40B4-BE49-F238E27FC236}">
                <a16:creationId xmlns:a16="http://schemas.microsoft.com/office/drawing/2014/main" id="{00000000-0008-0000-0600-0000EB02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48" name="Bar12">
            <a:extLst>
              <a:ext uri="{FF2B5EF4-FFF2-40B4-BE49-F238E27FC236}">
                <a16:creationId xmlns:a16="http://schemas.microsoft.com/office/drawing/2014/main" id="{00000000-0008-0000-0600-0000EC02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49" name="Bar11">
            <a:extLst>
              <a:ext uri="{FF2B5EF4-FFF2-40B4-BE49-F238E27FC236}">
                <a16:creationId xmlns:a16="http://schemas.microsoft.com/office/drawing/2014/main" id="{00000000-0008-0000-0600-0000ED02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750" name="QuintileLabel15">
            <a:extLst>
              <a:ext uri="{FF2B5EF4-FFF2-40B4-BE49-F238E27FC236}">
                <a16:creationId xmlns:a16="http://schemas.microsoft.com/office/drawing/2014/main" id="{00000000-0008-0000-0600-0000EE02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7C9D7816-4F99-4C00-BD5E-34190950E8D6}" type="TxLink">
              <a:rPr lang="en-US" sz="900" b="0" i="0" u="none" strike="noStrike" kern="1200">
                <a:solidFill>
                  <a:srgbClr val="646464"/>
                </a:solidFill>
                <a:latin typeface="Arial"/>
                <a:cs typeface="Arial"/>
              </a:rPr>
              <a:pPr marL="0" indent="0" algn="ctr" defTabSz="914400" rtl="0" eaLnBrk="1" latinLnBrk="0" hangingPunct="1"/>
              <a:t>▲
▲
-36 days</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751" name="QuintileLabel14">
            <a:extLst>
              <a:ext uri="{FF2B5EF4-FFF2-40B4-BE49-F238E27FC236}">
                <a16:creationId xmlns:a16="http://schemas.microsoft.com/office/drawing/2014/main" id="{00000000-0008-0000-0600-0000EF02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5A95C045-061B-4382-A88E-44C941FCC136}"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9">
        <xdr:nvSpPr>
          <xdr:cNvPr id="752" name="QuintileLabel13">
            <a:extLst>
              <a:ext uri="{FF2B5EF4-FFF2-40B4-BE49-F238E27FC236}">
                <a16:creationId xmlns:a16="http://schemas.microsoft.com/office/drawing/2014/main" id="{00000000-0008-0000-0600-0000F002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D699B7C6-D283-47F3-B01D-A24484F4A153}" type="TxLink">
              <a:rPr lang="en-US" sz="900" b="0" i="0" u="none" strike="noStrike" kern="1200">
                <a:solidFill>
                  <a:srgbClr val="646464"/>
                </a:solidFill>
                <a:latin typeface="Arial"/>
                <a:ea typeface="+mn-ea"/>
                <a:cs typeface="Arial"/>
              </a:rPr>
              <a:pPr marL="0" indent="0" algn="ctr" defTabSz="914400" rtl="0" eaLnBrk="1" latinLnBrk="0" hangingPunct="1"/>
              <a:t>▲
63 days</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9">
        <xdr:nvSpPr>
          <xdr:cNvPr id="753" name="QuintileLabel12">
            <a:extLst>
              <a:ext uri="{FF2B5EF4-FFF2-40B4-BE49-F238E27FC236}">
                <a16:creationId xmlns:a16="http://schemas.microsoft.com/office/drawing/2014/main" id="{00000000-0008-0000-0600-0000F102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145BACBF-2C32-4578-8DE2-BB7B278C5AA7}" type="TxLink">
              <a:rPr lang="en-US" sz="900" b="0" i="0" u="none" strike="noStrike" kern="1200">
                <a:solidFill>
                  <a:srgbClr val="646464"/>
                </a:solidFill>
                <a:latin typeface="Arial"/>
                <a:ea typeface="+mn-ea"/>
                <a:cs typeface="Arial"/>
              </a:rPr>
              <a:pPr marL="0" indent="0" algn="ctr" defTabSz="914400" rtl="0" eaLnBrk="1" latinLnBrk="0" hangingPunct="1"/>
              <a:t>▲
43 days</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9">
        <xdr:nvSpPr>
          <xdr:cNvPr id="754" name="QuintileLabel11">
            <a:extLst>
              <a:ext uri="{FF2B5EF4-FFF2-40B4-BE49-F238E27FC236}">
                <a16:creationId xmlns:a16="http://schemas.microsoft.com/office/drawing/2014/main" id="{00000000-0008-0000-0600-0000F202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DEB49CE9-9000-473F-A247-9A9ACA61A391}" type="TxLink">
              <a:rPr lang="en-US" sz="900" b="0" i="0" u="none" strike="noStrike" kern="1200">
                <a:solidFill>
                  <a:srgbClr val="646464"/>
                </a:solidFill>
                <a:latin typeface="Arial"/>
                <a:cs typeface="Arial"/>
              </a:rPr>
              <a:pPr marL="0" indent="0" algn="ctr" defTabSz="914400" rtl="0" eaLnBrk="1" latinLnBrk="0" hangingPunct="1"/>
              <a:t>▲
7 days</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755" name="Star1">
            <a:extLst>
              <a:ext uri="{FF2B5EF4-FFF2-40B4-BE49-F238E27FC236}">
                <a16:creationId xmlns:a16="http://schemas.microsoft.com/office/drawing/2014/main" id="{00000000-0008-0000-0600-0000F302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756" name="RowLabel1">
            <a:extLst>
              <a:ext uri="{FF2B5EF4-FFF2-40B4-BE49-F238E27FC236}">
                <a16:creationId xmlns:a16="http://schemas.microsoft.com/office/drawing/2014/main" id="{00000000-0008-0000-0600-0000F402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Cash Conversion Cycle</a:t>
            </a:r>
          </a:p>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(in days)</a:t>
            </a:r>
          </a:p>
        </xdr:txBody>
      </xdr:sp>
      <xdr:sp macro="" textlink="$AA$9">
        <xdr:nvSpPr>
          <xdr:cNvPr id="757" name="StarLabel1">
            <a:extLst>
              <a:ext uri="{FF2B5EF4-FFF2-40B4-BE49-F238E27FC236}">
                <a16:creationId xmlns:a16="http://schemas.microsoft.com/office/drawing/2014/main" id="{00000000-0008-0000-0600-0000F5020000}"/>
              </a:ext>
            </a:extLst>
          </xdr:cNvPr>
          <xdr:cNvSpPr txBox="1"/>
        </xdr:nvSpPr>
        <xdr:spPr>
          <a:xfrm>
            <a:off x="3908614"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19E920C0-326D-4CF5-96A9-FD9FED1F047C}" type="TxLink">
              <a:rPr lang="en-US" sz="900" b="1" i="1" u="none" strike="noStrike" kern="1200">
                <a:solidFill>
                  <a:srgbClr val="F9C20A"/>
                </a:solidFill>
                <a:latin typeface="Arial"/>
                <a:cs typeface="Arial"/>
              </a:rPr>
              <a:pPr marL="0" indent="0" algn="l" defTabSz="914400" rtl="0" eaLnBrk="1" latinLnBrk="0" hangingPunct="1"/>
              <a:t>0.248034578</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twoCellAnchor>
    <xdr:from>
      <xdr:col>32</xdr:col>
      <xdr:colOff>520207</xdr:colOff>
      <xdr:row>61</xdr:row>
      <xdr:rowOff>0</xdr:rowOff>
    </xdr:from>
    <xdr:to>
      <xdr:col>47</xdr:col>
      <xdr:colOff>486503</xdr:colOff>
      <xdr:row>64</xdr:row>
      <xdr:rowOff>23788</xdr:rowOff>
    </xdr:to>
    <xdr:grpSp>
      <xdr:nvGrpSpPr>
        <xdr:cNvPr id="732" name="Group_Demographics6">
          <a:extLst>
            <a:ext uri="{FF2B5EF4-FFF2-40B4-BE49-F238E27FC236}">
              <a16:creationId xmlns:a16="http://schemas.microsoft.com/office/drawing/2014/main" id="{00000000-0008-0000-0600-0000DC020000}"/>
            </a:ext>
          </a:extLst>
        </xdr:cNvPr>
        <xdr:cNvGrpSpPr/>
      </xdr:nvGrpSpPr>
      <xdr:grpSpPr>
        <a:xfrm>
          <a:off x="19103482" y="8715375"/>
          <a:ext cx="9110296" cy="452413"/>
          <a:chOff x="-81865" y="238322"/>
          <a:chExt cx="9110208" cy="578882"/>
        </a:xfrm>
      </xdr:grpSpPr>
      <xdr:sp macro="" textlink="">
        <xdr:nvSpPr>
          <xdr:cNvPr id="733" name="Bar14">
            <a:extLst>
              <a:ext uri="{FF2B5EF4-FFF2-40B4-BE49-F238E27FC236}">
                <a16:creationId xmlns:a16="http://schemas.microsoft.com/office/drawing/2014/main" id="{00000000-0008-0000-0600-0000DD02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34" name="Bar13">
            <a:extLst>
              <a:ext uri="{FF2B5EF4-FFF2-40B4-BE49-F238E27FC236}">
                <a16:creationId xmlns:a16="http://schemas.microsoft.com/office/drawing/2014/main" id="{00000000-0008-0000-0600-0000DE02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35" name="Bar12">
            <a:extLst>
              <a:ext uri="{FF2B5EF4-FFF2-40B4-BE49-F238E27FC236}">
                <a16:creationId xmlns:a16="http://schemas.microsoft.com/office/drawing/2014/main" id="{00000000-0008-0000-0600-0000DF02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36" name="Bar11">
            <a:extLst>
              <a:ext uri="{FF2B5EF4-FFF2-40B4-BE49-F238E27FC236}">
                <a16:creationId xmlns:a16="http://schemas.microsoft.com/office/drawing/2014/main" id="{00000000-0008-0000-0600-0000E002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737" name="QuintileLabel15">
            <a:extLst>
              <a:ext uri="{FF2B5EF4-FFF2-40B4-BE49-F238E27FC236}">
                <a16:creationId xmlns:a16="http://schemas.microsoft.com/office/drawing/2014/main" id="{00000000-0008-0000-0600-0000E102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56A20BE8-37C6-4E71-8433-8696E7206704}" type="TxLink">
              <a:rPr lang="en-US" sz="900" b="0" i="0" u="none" strike="noStrike" kern="1200">
                <a:solidFill>
                  <a:srgbClr val="646464"/>
                </a:solidFill>
                <a:latin typeface="Arial"/>
                <a:cs typeface="Arial"/>
              </a:rPr>
              <a:pPr marL="0" indent="0" algn="ctr" defTabSz="914400" rtl="0" eaLnBrk="1" latinLnBrk="0" hangingPunct="1"/>
              <a:t>▲
▲
$310,683</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738" name="QuintileLabel14">
            <a:extLst>
              <a:ext uri="{FF2B5EF4-FFF2-40B4-BE49-F238E27FC236}">
                <a16:creationId xmlns:a16="http://schemas.microsoft.com/office/drawing/2014/main" id="{00000000-0008-0000-0600-0000E202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73B78FF3-74F9-419A-8351-BC34DDF8F2BD}"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8">
        <xdr:nvSpPr>
          <xdr:cNvPr id="739" name="QuintileLabel13">
            <a:extLst>
              <a:ext uri="{FF2B5EF4-FFF2-40B4-BE49-F238E27FC236}">
                <a16:creationId xmlns:a16="http://schemas.microsoft.com/office/drawing/2014/main" id="{00000000-0008-0000-0600-0000E302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2406F833-D080-46D3-8D4C-5B6C5CF47C78}" type="TxLink">
              <a:rPr lang="en-US" sz="900" b="0" i="0" u="none" strike="noStrike" kern="1200">
                <a:solidFill>
                  <a:srgbClr val="646464"/>
                </a:solidFill>
                <a:latin typeface="Arial"/>
                <a:ea typeface="+mn-ea"/>
                <a:cs typeface="Arial"/>
              </a:rPr>
              <a:pPr marL="0" indent="0" algn="ctr" defTabSz="914400" rtl="0" eaLnBrk="1" latinLnBrk="0" hangingPunct="1"/>
              <a:t>▲
$1,054,189</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8">
        <xdr:nvSpPr>
          <xdr:cNvPr id="740" name="QuintileLabel12">
            <a:extLst>
              <a:ext uri="{FF2B5EF4-FFF2-40B4-BE49-F238E27FC236}">
                <a16:creationId xmlns:a16="http://schemas.microsoft.com/office/drawing/2014/main" id="{00000000-0008-0000-0600-0000E402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54D0D655-F012-443A-B96E-DF449C236333}" type="TxLink">
              <a:rPr lang="en-US" sz="900" b="0" i="0" u="none" strike="noStrike" kern="1200">
                <a:solidFill>
                  <a:srgbClr val="646464"/>
                </a:solidFill>
                <a:latin typeface="Arial"/>
                <a:ea typeface="+mn-ea"/>
                <a:cs typeface="Arial"/>
              </a:rPr>
              <a:pPr marL="0" indent="0" algn="ctr" defTabSz="914400" rtl="0" eaLnBrk="1" latinLnBrk="0" hangingPunct="1"/>
              <a:t>▲
$572,413</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8">
        <xdr:nvSpPr>
          <xdr:cNvPr id="741" name="QuintileLabel11">
            <a:extLst>
              <a:ext uri="{FF2B5EF4-FFF2-40B4-BE49-F238E27FC236}">
                <a16:creationId xmlns:a16="http://schemas.microsoft.com/office/drawing/2014/main" id="{00000000-0008-0000-0600-0000E502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EF71CC96-A347-42CB-8790-2901791225B8}" type="TxLink">
              <a:rPr lang="en-US" sz="900" b="0" i="0" u="none" strike="noStrike" kern="1200">
                <a:solidFill>
                  <a:srgbClr val="646464"/>
                </a:solidFill>
                <a:latin typeface="Arial"/>
                <a:cs typeface="Arial"/>
              </a:rPr>
              <a:pPr marL="0" indent="0" algn="ctr" defTabSz="914400" rtl="0" eaLnBrk="1" latinLnBrk="0" hangingPunct="1"/>
              <a:t>▲
$357,279</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742" name="Star1">
            <a:extLst>
              <a:ext uri="{FF2B5EF4-FFF2-40B4-BE49-F238E27FC236}">
                <a16:creationId xmlns:a16="http://schemas.microsoft.com/office/drawing/2014/main" id="{00000000-0008-0000-0600-0000E602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743" name="RowLabel1">
            <a:extLst>
              <a:ext uri="{FF2B5EF4-FFF2-40B4-BE49-F238E27FC236}">
                <a16:creationId xmlns:a16="http://schemas.microsoft.com/office/drawing/2014/main" id="{00000000-0008-0000-0600-0000E702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Revenue per Employee</a:t>
            </a:r>
          </a:p>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(in USD)</a:t>
            </a:r>
          </a:p>
        </xdr:txBody>
      </xdr:sp>
      <xdr:sp macro="" textlink="$AA$8">
        <xdr:nvSpPr>
          <xdr:cNvPr id="744" name="StarLabel1">
            <a:extLst>
              <a:ext uri="{FF2B5EF4-FFF2-40B4-BE49-F238E27FC236}">
                <a16:creationId xmlns:a16="http://schemas.microsoft.com/office/drawing/2014/main" id="{00000000-0008-0000-0600-0000E8020000}"/>
              </a:ext>
            </a:extLst>
          </xdr:cNvPr>
          <xdr:cNvSpPr txBox="1"/>
        </xdr:nvSpPr>
        <xdr:spPr>
          <a:xfrm>
            <a:off x="3908614"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9F5B4E83-110E-4952-98D8-54906DB4D5AE}" type="TxLink">
              <a:rPr lang="en-US" sz="900" b="1" i="1" u="none" strike="noStrike" kern="1200">
                <a:solidFill>
                  <a:srgbClr val="F9C20A"/>
                </a:solidFill>
                <a:latin typeface="Arial"/>
                <a:cs typeface="Arial"/>
              </a:rPr>
              <a:pPr marL="0" indent="0" algn="l" defTabSz="914400" rtl="0" eaLnBrk="1" latinLnBrk="0" hangingPunct="1"/>
              <a:t>0.999847439</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twoCellAnchor>
    <xdr:from>
      <xdr:col>33</xdr:col>
      <xdr:colOff>286342</xdr:colOff>
      <xdr:row>54</xdr:row>
      <xdr:rowOff>8291</xdr:rowOff>
    </xdr:from>
    <xdr:to>
      <xdr:col>48</xdr:col>
      <xdr:colOff>252638</xdr:colOff>
      <xdr:row>57</xdr:row>
      <xdr:rowOff>32079</xdr:rowOff>
    </xdr:to>
    <xdr:grpSp>
      <xdr:nvGrpSpPr>
        <xdr:cNvPr id="719" name="Group_Demographics5">
          <a:extLst>
            <a:ext uri="{FF2B5EF4-FFF2-40B4-BE49-F238E27FC236}">
              <a16:creationId xmlns:a16="http://schemas.microsoft.com/office/drawing/2014/main" id="{00000000-0008-0000-0600-0000CF020000}"/>
            </a:ext>
          </a:extLst>
        </xdr:cNvPr>
        <xdr:cNvGrpSpPr/>
      </xdr:nvGrpSpPr>
      <xdr:grpSpPr>
        <a:xfrm>
          <a:off x="19479217" y="7723541"/>
          <a:ext cx="9110296" cy="452413"/>
          <a:chOff x="-81865" y="238322"/>
          <a:chExt cx="9110208" cy="578882"/>
        </a:xfrm>
      </xdr:grpSpPr>
      <xdr:sp macro="" textlink="">
        <xdr:nvSpPr>
          <xdr:cNvPr id="720" name="Bar14">
            <a:extLst>
              <a:ext uri="{FF2B5EF4-FFF2-40B4-BE49-F238E27FC236}">
                <a16:creationId xmlns:a16="http://schemas.microsoft.com/office/drawing/2014/main" id="{00000000-0008-0000-0600-0000D002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21" name="Bar13">
            <a:extLst>
              <a:ext uri="{FF2B5EF4-FFF2-40B4-BE49-F238E27FC236}">
                <a16:creationId xmlns:a16="http://schemas.microsoft.com/office/drawing/2014/main" id="{00000000-0008-0000-0600-0000D102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22" name="Bar12">
            <a:extLst>
              <a:ext uri="{FF2B5EF4-FFF2-40B4-BE49-F238E27FC236}">
                <a16:creationId xmlns:a16="http://schemas.microsoft.com/office/drawing/2014/main" id="{00000000-0008-0000-0600-0000D202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23" name="Bar11">
            <a:extLst>
              <a:ext uri="{FF2B5EF4-FFF2-40B4-BE49-F238E27FC236}">
                <a16:creationId xmlns:a16="http://schemas.microsoft.com/office/drawing/2014/main" id="{00000000-0008-0000-0600-0000D302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724" name="QuintileLabel15">
            <a:extLst>
              <a:ext uri="{FF2B5EF4-FFF2-40B4-BE49-F238E27FC236}">
                <a16:creationId xmlns:a16="http://schemas.microsoft.com/office/drawing/2014/main" id="{00000000-0008-0000-0600-0000D402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FE2DAFC9-F75B-45F7-8CCA-BD794530ED68}" type="TxLink">
              <a:rPr lang="en-US" sz="900" b="0" i="0" u="none" strike="noStrike" kern="1200">
                <a:solidFill>
                  <a:srgbClr val="646464"/>
                </a:solidFill>
                <a:latin typeface="Arial"/>
                <a:cs typeface="Arial"/>
              </a:rPr>
              <a:pPr marL="0" indent="0" algn="ctr" defTabSz="914400" rtl="0" eaLnBrk="1" latinLnBrk="0" hangingPunct="1"/>
              <a:t>▲
▲
12.47%</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725" name="QuintileLabel14">
            <a:extLst>
              <a:ext uri="{FF2B5EF4-FFF2-40B4-BE49-F238E27FC236}">
                <a16:creationId xmlns:a16="http://schemas.microsoft.com/office/drawing/2014/main" id="{00000000-0008-0000-0600-0000D502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9610D252-832C-4F2A-83A7-7DAD095B90F8}"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7">
        <xdr:nvSpPr>
          <xdr:cNvPr id="726" name="QuintileLabel13">
            <a:extLst>
              <a:ext uri="{FF2B5EF4-FFF2-40B4-BE49-F238E27FC236}">
                <a16:creationId xmlns:a16="http://schemas.microsoft.com/office/drawing/2014/main" id="{00000000-0008-0000-0600-0000D602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1542215A-D53D-4BDF-96A3-68D23853C73C}" type="TxLink">
              <a:rPr lang="en-US" sz="900" b="0" i="0" u="none" strike="noStrike" kern="1200">
                <a:solidFill>
                  <a:srgbClr val="646464"/>
                </a:solidFill>
                <a:latin typeface="Arial"/>
                <a:ea typeface="+mn-ea"/>
                <a:cs typeface="Arial"/>
              </a:rPr>
              <a:pPr marL="0" indent="0" algn="ctr" defTabSz="914400" rtl="0" eaLnBrk="1" latinLnBrk="0" hangingPunct="1"/>
              <a:t>▲
49.07%</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7">
        <xdr:nvSpPr>
          <xdr:cNvPr id="727" name="QuintileLabel12">
            <a:extLst>
              <a:ext uri="{FF2B5EF4-FFF2-40B4-BE49-F238E27FC236}">
                <a16:creationId xmlns:a16="http://schemas.microsoft.com/office/drawing/2014/main" id="{00000000-0008-0000-0600-0000D702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3BD18172-8F3B-4137-BCC3-28D8B0CD185A}" type="TxLink">
              <a:rPr lang="en-US" sz="900" b="0" i="0" u="none" strike="noStrike" kern="1200">
                <a:solidFill>
                  <a:srgbClr val="646464"/>
                </a:solidFill>
                <a:latin typeface="Arial"/>
                <a:ea typeface="+mn-ea"/>
                <a:cs typeface="Arial"/>
              </a:rPr>
              <a:pPr marL="0" indent="0" algn="ctr" defTabSz="914400" rtl="0" eaLnBrk="1" latinLnBrk="0" hangingPunct="1"/>
              <a:t>▲
38.66%</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7">
        <xdr:nvSpPr>
          <xdr:cNvPr id="728" name="QuintileLabel11">
            <a:extLst>
              <a:ext uri="{FF2B5EF4-FFF2-40B4-BE49-F238E27FC236}">
                <a16:creationId xmlns:a16="http://schemas.microsoft.com/office/drawing/2014/main" id="{00000000-0008-0000-0600-0000D802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D51E5BF8-FD12-4014-823A-9AB2CB98D4AC}" type="TxLink">
              <a:rPr lang="en-US" sz="900" b="0" i="0" u="none" strike="noStrike" kern="1200">
                <a:solidFill>
                  <a:srgbClr val="646464"/>
                </a:solidFill>
                <a:latin typeface="Arial"/>
                <a:cs typeface="Arial"/>
              </a:rPr>
              <a:pPr marL="0" indent="0" algn="ctr" defTabSz="914400" rtl="0" eaLnBrk="1" latinLnBrk="0" hangingPunct="1"/>
              <a:t>▲
22.27%</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729" name="Star1">
            <a:extLst>
              <a:ext uri="{FF2B5EF4-FFF2-40B4-BE49-F238E27FC236}">
                <a16:creationId xmlns:a16="http://schemas.microsoft.com/office/drawing/2014/main" id="{00000000-0008-0000-0600-0000D902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730" name="RowLabel1">
            <a:extLst>
              <a:ext uri="{FF2B5EF4-FFF2-40B4-BE49-F238E27FC236}">
                <a16:creationId xmlns:a16="http://schemas.microsoft.com/office/drawing/2014/main" id="{00000000-0008-0000-0600-0000DA02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Gross Margin %</a:t>
            </a:r>
          </a:p>
        </xdr:txBody>
      </xdr:sp>
      <xdr:sp macro="" textlink="$AA$7">
        <xdr:nvSpPr>
          <xdr:cNvPr id="731" name="StarLabel1">
            <a:extLst>
              <a:ext uri="{FF2B5EF4-FFF2-40B4-BE49-F238E27FC236}">
                <a16:creationId xmlns:a16="http://schemas.microsoft.com/office/drawing/2014/main" id="{00000000-0008-0000-0600-0000DB020000}"/>
              </a:ext>
            </a:extLst>
          </xdr:cNvPr>
          <xdr:cNvSpPr txBox="1"/>
        </xdr:nvSpPr>
        <xdr:spPr>
          <a:xfrm>
            <a:off x="3908614"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9C483F2F-D642-4AC4-9DC7-4B70A96C50FD}" type="TxLink">
              <a:rPr lang="en-US" sz="900" b="1" i="1" u="none" strike="noStrike" kern="1200">
                <a:solidFill>
                  <a:srgbClr val="F9C20A"/>
                </a:solidFill>
                <a:latin typeface="Arial"/>
                <a:cs typeface="Arial"/>
              </a:rPr>
              <a:pPr marL="0" indent="0" algn="l" defTabSz="914400" rtl="0" eaLnBrk="1" latinLnBrk="0" hangingPunct="1"/>
              <a:t>0.297734539</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twoCellAnchor>
    <xdr:from>
      <xdr:col>33</xdr:col>
      <xdr:colOff>280482</xdr:colOff>
      <xdr:row>38</xdr:row>
      <xdr:rowOff>75703</xdr:rowOff>
    </xdr:from>
    <xdr:to>
      <xdr:col>48</xdr:col>
      <xdr:colOff>246778</xdr:colOff>
      <xdr:row>41</xdr:row>
      <xdr:rowOff>99491</xdr:rowOff>
    </xdr:to>
    <xdr:grpSp>
      <xdr:nvGrpSpPr>
        <xdr:cNvPr id="706" name="Group_Demographics4">
          <a:extLst>
            <a:ext uri="{FF2B5EF4-FFF2-40B4-BE49-F238E27FC236}">
              <a16:creationId xmlns:a16="http://schemas.microsoft.com/office/drawing/2014/main" id="{00000000-0008-0000-0600-0000C2020000}"/>
            </a:ext>
          </a:extLst>
        </xdr:cNvPr>
        <xdr:cNvGrpSpPr/>
      </xdr:nvGrpSpPr>
      <xdr:grpSpPr>
        <a:xfrm>
          <a:off x="19473357" y="5504953"/>
          <a:ext cx="9110296" cy="452413"/>
          <a:chOff x="-81865" y="238322"/>
          <a:chExt cx="9110208" cy="578882"/>
        </a:xfrm>
      </xdr:grpSpPr>
      <xdr:sp macro="" textlink="">
        <xdr:nvSpPr>
          <xdr:cNvPr id="707" name="Bar14">
            <a:extLst>
              <a:ext uri="{FF2B5EF4-FFF2-40B4-BE49-F238E27FC236}">
                <a16:creationId xmlns:a16="http://schemas.microsoft.com/office/drawing/2014/main" id="{00000000-0008-0000-0600-0000C302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08" name="Bar13">
            <a:extLst>
              <a:ext uri="{FF2B5EF4-FFF2-40B4-BE49-F238E27FC236}">
                <a16:creationId xmlns:a16="http://schemas.microsoft.com/office/drawing/2014/main" id="{00000000-0008-0000-0600-0000C402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09" name="Bar12">
            <a:extLst>
              <a:ext uri="{FF2B5EF4-FFF2-40B4-BE49-F238E27FC236}">
                <a16:creationId xmlns:a16="http://schemas.microsoft.com/office/drawing/2014/main" id="{00000000-0008-0000-0600-0000C502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710" name="Bar11">
            <a:extLst>
              <a:ext uri="{FF2B5EF4-FFF2-40B4-BE49-F238E27FC236}">
                <a16:creationId xmlns:a16="http://schemas.microsoft.com/office/drawing/2014/main" id="{00000000-0008-0000-0600-0000C602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711" name="QuintileLabel15">
            <a:extLst>
              <a:ext uri="{FF2B5EF4-FFF2-40B4-BE49-F238E27FC236}">
                <a16:creationId xmlns:a16="http://schemas.microsoft.com/office/drawing/2014/main" id="{00000000-0008-0000-0600-0000C702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3424DA6D-E045-4564-AE3D-68ADE07F48C3}" type="TxLink">
              <a:rPr lang="en-US" sz="900" b="0" i="0" u="none" strike="noStrike" kern="1200">
                <a:solidFill>
                  <a:srgbClr val="646464"/>
                </a:solidFill>
                <a:latin typeface="Arial"/>
                <a:cs typeface="Arial"/>
              </a:rPr>
              <a:pPr marL="0" indent="0" algn="ctr" defTabSz="914400" rtl="0" eaLnBrk="1" latinLnBrk="0" hangingPunct="1"/>
              <a:t>▲
▲
5,441</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712" name="QuintileLabel14">
            <a:extLst>
              <a:ext uri="{FF2B5EF4-FFF2-40B4-BE49-F238E27FC236}">
                <a16:creationId xmlns:a16="http://schemas.microsoft.com/office/drawing/2014/main" id="{00000000-0008-0000-0600-0000C802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D7221052-8F1A-43FF-90E0-9A940996D7C9}"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6">
        <xdr:nvSpPr>
          <xdr:cNvPr id="713" name="QuintileLabel13">
            <a:extLst>
              <a:ext uri="{FF2B5EF4-FFF2-40B4-BE49-F238E27FC236}">
                <a16:creationId xmlns:a16="http://schemas.microsoft.com/office/drawing/2014/main" id="{00000000-0008-0000-0600-0000C902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36BB1773-CD7D-4419-8285-4083A2907D1B}" type="TxLink">
              <a:rPr lang="en-US" sz="900" b="0" i="0" u="none" strike="noStrike" kern="1200">
                <a:solidFill>
                  <a:srgbClr val="646464"/>
                </a:solidFill>
                <a:latin typeface="Arial"/>
                <a:ea typeface="+mn-ea"/>
                <a:cs typeface="Arial"/>
              </a:rPr>
              <a:pPr marL="0" indent="0" algn="ctr" defTabSz="914400" rtl="0" eaLnBrk="1" latinLnBrk="0" hangingPunct="1"/>
              <a:t>▲
139,000</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6">
        <xdr:nvSpPr>
          <xdr:cNvPr id="714" name="QuintileLabel12">
            <a:extLst>
              <a:ext uri="{FF2B5EF4-FFF2-40B4-BE49-F238E27FC236}">
                <a16:creationId xmlns:a16="http://schemas.microsoft.com/office/drawing/2014/main" id="{00000000-0008-0000-0600-0000CA02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FC402FDF-5419-4974-976C-C8F19DCA090B}" type="TxLink">
              <a:rPr lang="en-US" sz="900" b="0" i="0" u="none" strike="noStrike" kern="1200">
                <a:solidFill>
                  <a:srgbClr val="646464"/>
                </a:solidFill>
                <a:latin typeface="Arial"/>
                <a:ea typeface="+mn-ea"/>
                <a:cs typeface="Arial"/>
              </a:rPr>
              <a:pPr marL="0" indent="0" algn="ctr" defTabSz="914400" rtl="0" eaLnBrk="1" latinLnBrk="0" hangingPunct="1"/>
              <a:t>▲
62,050</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6">
        <xdr:nvSpPr>
          <xdr:cNvPr id="715" name="QuintileLabel11">
            <a:extLst>
              <a:ext uri="{FF2B5EF4-FFF2-40B4-BE49-F238E27FC236}">
                <a16:creationId xmlns:a16="http://schemas.microsoft.com/office/drawing/2014/main" id="{00000000-0008-0000-0600-0000CB02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0C3B5EBE-EB5B-4DF0-A084-2B6F09D97919}" type="TxLink">
              <a:rPr lang="en-US" sz="900" b="0" i="0" u="none" strike="noStrike" kern="1200">
                <a:solidFill>
                  <a:srgbClr val="646464"/>
                </a:solidFill>
                <a:latin typeface="Arial"/>
                <a:cs typeface="Arial"/>
              </a:rPr>
              <a:pPr marL="0" indent="0" algn="ctr" defTabSz="914400" rtl="0" eaLnBrk="1" latinLnBrk="0" hangingPunct="1"/>
              <a:t>▲
14,650</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716" name="Star1">
            <a:extLst>
              <a:ext uri="{FF2B5EF4-FFF2-40B4-BE49-F238E27FC236}">
                <a16:creationId xmlns:a16="http://schemas.microsoft.com/office/drawing/2014/main" id="{00000000-0008-0000-0600-0000CC02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717" name="RowLabel1">
            <a:extLst>
              <a:ext uri="{FF2B5EF4-FFF2-40B4-BE49-F238E27FC236}">
                <a16:creationId xmlns:a16="http://schemas.microsoft.com/office/drawing/2014/main" id="{00000000-0008-0000-0600-0000CD02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Number of Employees</a:t>
            </a:r>
          </a:p>
        </xdr:txBody>
      </xdr:sp>
      <xdr:sp macro="" textlink="$AA$5">
        <xdr:nvSpPr>
          <xdr:cNvPr id="718" name="StarLabel1">
            <a:extLst>
              <a:ext uri="{FF2B5EF4-FFF2-40B4-BE49-F238E27FC236}">
                <a16:creationId xmlns:a16="http://schemas.microsoft.com/office/drawing/2014/main" id="{00000000-0008-0000-0600-0000CE020000}"/>
              </a:ext>
            </a:extLst>
          </xdr:cNvPr>
          <xdr:cNvSpPr txBox="1"/>
        </xdr:nvSpPr>
        <xdr:spPr>
          <a:xfrm>
            <a:off x="3908614"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F2F8E0E2-A5A1-4898-BB1A-5C4BB15EB304}" type="TxLink">
              <a:rPr lang="en-US" sz="900" b="1" i="1" u="none" strike="noStrike" kern="1200">
                <a:solidFill>
                  <a:srgbClr val="F9C20A"/>
                </a:solidFill>
                <a:latin typeface="Arial"/>
                <a:cs typeface="Arial"/>
              </a:rPr>
              <a:pPr marL="0" indent="0" algn="l" defTabSz="914400" rtl="0" eaLnBrk="1" latinLnBrk="0" hangingPunct="1"/>
              <a:t>1</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twoCellAnchor>
    <xdr:from>
      <xdr:col>33</xdr:col>
      <xdr:colOff>128082</xdr:colOff>
      <xdr:row>25</xdr:row>
      <xdr:rowOff>150440</xdr:rowOff>
    </xdr:from>
    <xdr:to>
      <xdr:col>48</xdr:col>
      <xdr:colOff>94378</xdr:colOff>
      <xdr:row>28</xdr:row>
      <xdr:rowOff>174228</xdr:rowOff>
    </xdr:to>
    <xdr:grpSp>
      <xdr:nvGrpSpPr>
        <xdr:cNvPr id="693" name="Group_Demographics3">
          <a:extLst>
            <a:ext uri="{FF2B5EF4-FFF2-40B4-BE49-F238E27FC236}">
              <a16:creationId xmlns:a16="http://schemas.microsoft.com/office/drawing/2014/main" id="{00000000-0008-0000-0600-0000B5020000}"/>
            </a:ext>
          </a:extLst>
        </xdr:cNvPr>
        <xdr:cNvGrpSpPr/>
      </xdr:nvGrpSpPr>
      <xdr:grpSpPr>
        <a:xfrm>
          <a:off x="19320957" y="3712790"/>
          <a:ext cx="9110296" cy="433363"/>
          <a:chOff x="-81865" y="238322"/>
          <a:chExt cx="9110208" cy="578882"/>
        </a:xfrm>
      </xdr:grpSpPr>
      <xdr:sp macro="" textlink="">
        <xdr:nvSpPr>
          <xdr:cNvPr id="694" name="Bar14">
            <a:extLst>
              <a:ext uri="{FF2B5EF4-FFF2-40B4-BE49-F238E27FC236}">
                <a16:creationId xmlns:a16="http://schemas.microsoft.com/office/drawing/2014/main" id="{00000000-0008-0000-0600-0000B602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695" name="Bar13">
            <a:extLst>
              <a:ext uri="{FF2B5EF4-FFF2-40B4-BE49-F238E27FC236}">
                <a16:creationId xmlns:a16="http://schemas.microsoft.com/office/drawing/2014/main" id="{00000000-0008-0000-0600-0000B702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696" name="Bar12">
            <a:extLst>
              <a:ext uri="{FF2B5EF4-FFF2-40B4-BE49-F238E27FC236}">
                <a16:creationId xmlns:a16="http://schemas.microsoft.com/office/drawing/2014/main" id="{00000000-0008-0000-0600-0000B802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697" name="Bar11">
            <a:extLst>
              <a:ext uri="{FF2B5EF4-FFF2-40B4-BE49-F238E27FC236}">
                <a16:creationId xmlns:a16="http://schemas.microsoft.com/office/drawing/2014/main" id="{00000000-0008-0000-0600-0000B902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698" name="QuintileLabel15">
            <a:extLst>
              <a:ext uri="{FF2B5EF4-FFF2-40B4-BE49-F238E27FC236}">
                <a16:creationId xmlns:a16="http://schemas.microsoft.com/office/drawing/2014/main" id="{00000000-0008-0000-0600-0000BA02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84E29BB2-BFA0-4BE6-9FFE-70CB1EDA9BAD}" type="TxLink">
              <a:rPr lang="en-US" sz="900" b="0" i="0" u="none" strike="noStrike" kern="1200">
                <a:solidFill>
                  <a:srgbClr val="646464"/>
                </a:solidFill>
                <a:latin typeface="Arial"/>
                <a:cs typeface="Arial"/>
              </a:rPr>
              <a:pPr marL="0" indent="0" algn="ctr" defTabSz="914400" rtl="0" eaLnBrk="1" latinLnBrk="0" hangingPunct="1"/>
              <a:t>▲
▲
-0.19%</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699" name="QuintileLabel14">
            <a:extLst>
              <a:ext uri="{FF2B5EF4-FFF2-40B4-BE49-F238E27FC236}">
                <a16:creationId xmlns:a16="http://schemas.microsoft.com/office/drawing/2014/main" id="{00000000-0008-0000-0600-0000BB02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FE49A25C-4A6E-4927-A970-E325F3D570C2}"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5">
        <xdr:nvSpPr>
          <xdr:cNvPr id="700" name="QuintileLabel13">
            <a:extLst>
              <a:ext uri="{FF2B5EF4-FFF2-40B4-BE49-F238E27FC236}">
                <a16:creationId xmlns:a16="http://schemas.microsoft.com/office/drawing/2014/main" id="{00000000-0008-0000-0600-0000BC02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8D2C1862-42FE-4637-AB2B-3333170872C6}" type="TxLink">
              <a:rPr lang="en-US" sz="900" b="0" i="0" u="none" strike="noStrike" kern="1200">
                <a:solidFill>
                  <a:srgbClr val="646464"/>
                </a:solidFill>
                <a:latin typeface="Arial"/>
                <a:ea typeface="+mn-ea"/>
                <a:cs typeface="Arial"/>
              </a:rPr>
              <a:pPr marL="0" indent="0" algn="ctr" defTabSz="914400" rtl="0" eaLnBrk="1" latinLnBrk="0" hangingPunct="1"/>
              <a:t>▲
28.48%</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5">
        <xdr:nvSpPr>
          <xdr:cNvPr id="701" name="QuintileLabel12">
            <a:extLst>
              <a:ext uri="{FF2B5EF4-FFF2-40B4-BE49-F238E27FC236}">
                <a16:creationId xmlns:a16="http://schemas.microsoft.com/office/drawing/2014/main" id="{00000000-0008-0000-0600-0000BD02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73C70042-D87F-475C-95D7-EC9AF4E8E40A}" type="TxLink">
              <a:rPr lang="en-US" sz="900" b="0" i="0" u="none" strike="noStrike" kern="1200">
                <a:solidFill>
                  <a:srgbClr val="646464"/>
                </a:solidFill>
                <a:latin typeface="Arial"/>
                <a:ea typeface="+mn-ea"/>
                <a:cs typeface="Arial"/>
              </a:rPr>
              <a:pPr marL="0" indent="0" algn="ctr" defTabSz="914400" rtl="0" eaLnBrk="1" latinLnBrk="0" hangingPunct="1"/>
              <a:t>▲
21.17%</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5">
        <xdr:nvSpPr>
          <xdr:cNvPr id="702" name="QuintileLabel11">
            <a:extLst>
              <a:ext uri="{FF2B5EF4-FFF2-40B4-BE49-F238E27FC236}">
                <a16:creationId xmlns:a16="http://schemas.microsoft.com/office/drawing/2014/main" id="{00000000-0008-0000-0600-0000BE02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E126E358-6B43-46D3-A67D-63F2D2C71F2F}" type="TxLink">
              <a:rPr lang="en-US" sz="900" b="0" i="0" u="none" strike="noStrike" kern="1200">
                <a:solidFill>
                  <a:srgbClr val="646464"/>
                </a:solidFill>
                <a:latin typeface="Arial"/>
                <a:cs typeface="Arial"/>
              </a:rPr>
              <a:pPr marL="0" indent="0" algn="ctr" defTabSz="914400" rtl="0" eaLnBrk="1" latinLnBrk="0" hangingPunct="1"/>
              <a:t>▲
12.22%</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703" name="Star1">
            <a:extLst>
              <a:ext uri="{FF2B5EF4-FFF2-40B4-BE49-F238E27FC236}">
                <a16:creationId xmlns:a16="http://schemas.microsoft.com/office/drawing/2014/main" id="{00000000-0008-0000-0600-0000BF02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704" name="RowLabel1">
            <a:extLst>
              <a:ext uri="{FF2B5EF4-FFF2-40B4-BE49-F238E27FC236}">
                <a16:creationId xmlns:a16="http://schemas.microsoft.com/office/drawing/2014/main" id="{00000000-0008-0000-0600-0000C002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EBITDA Margin %</a:t>
            </a:r>
          </a:p>
        </xdr:txBody>
      </xdr:sp>
      <xdr:sp macro="" textlink="$AA$5">
        <xdr:nvSpPr>
          <xdr:cNvPr id="705" name="StarLabel1">
            <a:extLst>
              <a:ext uri="{FF2B5EF4-FFF2-40B4-BE49-F238E27FC236}">
                <a16:creationId xmlns:a16="http://schemas.microsoft.com/office/drawing/2014/main" id="{00000000-0008-0000-0600-0000C1020000}"/>
              </a:ext>
            </a:extLst>
          </xdr:cNvPr>
          <xdr:cNvSpPr txBox="1"/>
        </xdr:nvSpPr>
        <xdr:spPr>
          <a:xfrm>
            <a:off x="3908614"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F2F8E0E2-A5A1-4898-BB1A-5C4BB15EB304}" type="TxLink">
              <a:rPr lang="en-US" sz="900" b="1" i="1" u="none" strike="noStrike" kern="1200">
                <a:solidFill>
                  <a:srgbClr val="F9C20A"/>
                </a:solidFill>
                <a:latin typeface="Arial"/>
                <a:cs typeface="Arial"/>
              </a:rPr>
              <a:pPr marL="0" indent="0" algn="l" defTabSz="914400" rtl="0" eaLnBrk="1" latinLnBrk="0" hangingPunct="1"/>
              <a:t>1</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twoCellAnchor>
    <xdr:from>
      <xdr:col>33</xdr:col>
      <xdr:colOff>224800</xdr:colOff>
      <xdr:row>14</xdr:row>
      <xdr:rowOff>34677</xdr:rowOff>
    </xdr:from>
    <xdr:to>
      <xdr:col>48</xdr:col>
      <xdr:colOff>191096</xdr:colOff>
      <xdr:row>17</xdr:row>
      <xdr:rowOff>58465</xdr:rowOff>
    </xdr:to>
    <xdr:grpSp>
      <xdr:nvGrpSpPr>
        <xdr:cNvPr id="675" name="Group_Demographics2">
          <a:extLst>
            <a:ext uri="{FF2B5EF4-FFF2-40B4-BE49-F238E27FC236}">
              <a16:creationId xmlns:a16="http://schemas.microsoft.com/office/drawing/2014/main" id="{00000000-0008-0000-0600-0000A3020000}"/>
            </a:ext>
          </a:extLst>
        </xdr:cNvPr>
        <xdr:cNvGrpSpPr/>
      </xdr:nvGrpSpPr>
      <xdr:grpSpPr>
        <a:xfrm>
          <a:off x="19417675" y="2034927"/>
          <a:ext cx="9110296" cy="452413"/>
          <a:chOff x="-81865" y="238322"/>
          <a:chExt cx="9110208" cy="578882"/>
        </a:xfrm>
      </xdr:grpSpPr>
      <xdr:sp macro="" textlink="">
        <xdr:nvSpPr>
          <xdr:cNvPr id="676" name="Bar14">
            <a:extLst>
              <a:ext uri="{FF2B5EF4-FFF2-40B4-BE49-F238E27FC236}">
                <a16:creationId xmlns:a16="http://schemas.microsoft.com/office/drawing/2014/main" id="{00000000-0008-0000-0600-0000A402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677" name="Bar13">
            <a:extLst>
              <a:ext uri="{FF2B5EF4-FFF2-40B4-BE49-F238E27FC236}">
                <a16:creationId xmlns:a16="http://schemas.microsoft.com/office/drawing/2014/main" id="{00000000-0008-0000-0600-0000A502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678" name="Bar12">
            <a:extLst>
              <a:ext uri="{FF2B5EF4-FFF2-40B4-BE49-F238E27FC236}">
                <a16:creationId xmlns:a16="http://schemas.microsoft.com/office/drawing/2014/main" id="{00000000-0008-0000-0600-0000A602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679" name="Bar11">
            <a:extLst>
              <a:ext uri="{FF2B5EF4-FFF2-40B4-BE49-F238E27FC236}">
                <a16:creationId xmlns:a16="http://schemas.microsoft.com/office/drawing/2014/main" id="{00000000-0008-0000-0600-0000A702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680" name="QuintileLabel15">
            <a:extLst>
              <a:ext uri="{FF2B5EF4-FFF2-40B4-BE49-F238E27FC236}">
                <a16:creationId xmlns:a16="http://schemas.microsoft.com/office/drawing/2014/main" id="{00000000-0008-0000-0600-0000A802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46F884C6-E76E-4C4C-B379-C48A6B3D51F6}" type="TxLink">
              <a:rPr lang="en-US" sz="900" b="0" i="0" u="none" strike="noStrike" kern="1200">
                <a:solidFill>
                  <a:srgbClr val="646464"/>
                </a:solidFill>
                <a:latin typeface="Arial"/>
                <a:cs typeface="Arial"/>
              </a:rPr>
              <a:pPr marL="0" indent="0" algn="ctr" defTabSz="914400" rtl="0" eaLnBrk="1" latinLnBrk="0" hangingPunct="1"/>
              <a:t>▲
▲
-4.3%</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681" name="QuintileLabel14">
            <a:extLst>
              <a:ext uri="{FF2B5EF4-FFF2-40B4-BE49-F238E27FC236}">
                <a16:creationId xmlns:a16="http://schemas.microsoft.com/office/drawing/2014/main" id="{00000000-0008-0000-0600-0000A902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029975C6-0F55-4C96-9307-8BE5ED36B812}"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4">
        <xdr:nvSpPr>
          <xdr:cNvPr id="682" name="QuintileLabel13">
            <a:extLst>
              <a:ext uri="{FF2B5EF4-FFF2-40B4-BE49-F238E27FC236}">
                <a16:creationId xmlns:a16="http://schemas.microsoft.com/office/drawing/2014/main" id="{00000000-0008-0000-0600-0000AA02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34E5F702-6D4D-4760-9A16-CA8F43204854}" type="TxLink">
              <a:rPr lang="en-US" sz="900" b="0" i="0" u="none" strike="noStrike" kern="1200">
                <a:solidFill>
                  <a:srgbClr val="646464"/>
                </a:solidFill>
                <a:latin typeface="Arial"/>
                <a:ea typeface="+mn-ea"/>
                <a:cs typeface="Arial"/>
              </a:rPr>
              <a:pPr marL="0" indent="0" algn="ctr" defTabSz="914400" rtl="0" eaLnBrk="1" latinLnBrk="0" hangingPunct="1"/>
              <a:t>▲
14.19%</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4">
        <xdr:nvSpPr>
          <xdr:cNvPr id="683" name="QuintileLabel12">
            <a:extLst>
              <a:ext uri="{FF2B5EF4-FFF2-40B4-BE49-F238E27FC236}">
                <a16:creationId xmlns:a16="http://schemas.microsoft.com/office/drawing/2014/main" id="{00000000-0008-0000-0600-0000AB02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224D93F8-57AC-459E-A009-44709D799629}" type="TxLink">
              <a:rPr lang="en-US" sz="900" b="0" i="0" u="none" strike="noStrike" kern="1200">
                <a:solidFill>
                  <a:srgbClr val="646464"/>
                </a:solidFill>
                <a:latin typeface="Arial"/>
                <a:ea typeface="+mn-ea"/>
                <a:cs typeface="Arial"/>
              </a:rPr>
              <a:pPr marL="0" indent="0" algn="ctr" defTabSz="914400" rtl="0" eaLnBrk="1" latinLnBrk="0" hangingPunct="1"/>
              <a:t>▲
6.08%</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4">
        <xdr:nvSpPr>
          <xdr:cNvPr id="684" name="QuintileLabel11">
            <a:extLst>
              <a:ext uri="{FF2B5EF4-FFF2-40B4-BE49-F238E27FC236}">
                <a16:creationId xmlns:a16="http://schemas.microsoft.com/office/drawing/2014/main" id="{00000000-0008-0000-0600-0000AC02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5E68129A-0B96-4129-B3B0-EB98521B45D2}" type="TxLink">
              <a:rPr lang="en-US" sz="900" b="0" i="0" u="none" strike="noStrike" kern="1200">
                <a:solidFill>
                  <a:srgbClr val="646464"/>
                </a:solidFill>
                <a:latin typeface="Arial"/>
                <a:cs typeface="Arial"/>
              </a:rPr>
              <a:pPr marL="0" indent="0" algn="ctr" defTabSz="914400" rtl="0" eaLnBrk="1" latinLnBrk="0" hangingPunct="1"/>
              <a:t>▲
3.04%</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685" name="Star1">
            <a:extLst>
              <a:ext uri="{FF2B5EF4-FFF2-40B4-BE49-F238E27FC236}">
                <a16:creationId xmlns:a16="http://schemas.microsoft.com/office/drawing/2014/main" id="{00000000-0008-0000-0600-0000AD02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686" name="RowLabel1">
            <a:extLst>
              <a:ext uri="{FF2B5EF4-FFF2-40B4-BE49-F238E27FC236}">
                <a16:creationId xmlns:a16="http://schemas.microsoft.com/office/drawing/2014/main" id="{00000000-0008-0000-0600-0000AE02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Revenue 3 Year CAGR</a:t>
            </a:r>
          </a:p>
        </xdr:txBody>
      </xdr:sp>
      <xdr:sp macro="" textlink="$AA$4">
        <xdr:nvSpPr>
          <xdr:cNvPr id="692" name="StarLabel1">
            <a:extLst>
              <a:ext uri="{FF2B5EF4-FFF2-40B4-BE49-F238E27FC236}">
                <a16:creationId xmlns:a16="http://schemas.microsoft.com/office/drawing/2014/main" id="{00000000-0008-0000-0600-0000B4020000}"/>
              </a:ext>
            </a:extLst>
          </xdr:cNvPr>
          <xdr:cNvSpPr txBox="1"/>
        </xdr:nvSpPr>
        <xdr:spPr>
          <a:xfrm>
            <a:off x="3908614"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19226842-5EEE-4902-B5E3-6460D936C96C}" type="TxLink">
              <a:rPr lang="en-US" sz="900" b="1" i="1" u="none" strike="noStrike" kern="1200">
                <a:solidFill>
                  <a:srgbClr val="F9C20A"/>
                </a:solidFill>
                <a:latin typeface="Arial"/>
                <a:cs typeface="Arial"/>
              </a:rPr>
              <a:pPr marL="0" indent="0" algn="l" defTabSz="914400" rtl="0" eaLnBrk="1" latinLnBrk="0" hangingPunct="1"/>
              <a:t>1</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twoCellAnchor>
    <xdr:from>
      <xdr:col>33</xdr:col>
      <xdr:colOff>226267</xdr:colOff>
      <xdr:row>4</xdr:row>
      <xdr:rowOff>58616</xdr:rowOff>
    </xdr:from>
    <xdr:to>
      <xdr:col>48</xdr:col>
      <xdr:colOff>192563</xdr:colOff>
      <xdr:row>9</xdr:row>
      <xdr:rowOff>111220</xdr:rowOff>
    </xdr:to>
    <xdr:grpSp>
      <xdr:nvGrpSpPr>
        <xdr:cNvPr id="134" name="Group_Demographics1">
          <a:extLst>
            <a:ext uri="{FF2B5EF4-FFF2-40B4-BE49-F238E27FC236}">
              <a16:creationId xmlns:a16="http://schemas.microsoft.com/office/drawing/2014/main" id="{00000000-0008-0000-0600-000086000000}"/>
            </a:ext>
          </a:extLst>
        </xdr:cNvPr>
        <xdr:cNvGrpSpPr/>
      </xdr:nvGrpSpPr>
      <xdr:grpSpPr>
        <a:xfrm>
          <a:off x="19419142" y="630116"/>
          <a:ext cx="9110296" cy="766979"/>
          <a:chOff x="-81865" y="-84060"/>
          <a:chExt cx="9110208" cy="901264"/>
        </a:xfrm>
      </xdr:grpSpPr>
      <xdr:sp macro="" textlink="">
        <xdr:nvSpPr>
          <xdr:cNvPr id="197" name="Bar14">
            <a:extLst>
              <a:ext uri="{FF2B5EF4-FFF2-40B4-BE49-F238E27FC236}">
                <a16:creationId xmlns:a16="http://schemas.microsoft.com/office/drawing/2014/main" id="{00000000-0008-0000-0600-0000C5000000}"/>
              </a:ext>
            </a:extLst>
          </xdr:cNvPr>
          <xdr:cNvSpPr/>
        </xdr:nvSpPr>
        <xdr:spPr>
          <a:xfrm>
            <a:off x="65913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198" name="Bar13">
            <a:extLst>
              <a:ext uri="{FF2B5EF4-FFF2-40B4-BE49-F238E27FC236}">
                <a16:creationId xmlns:a16="http://schemas.microsoft.com/office/drawing/2014/main" id="{00000000-0008-0000-0600-0000C6000000}"/>
              </a:ext>
            </a:extLst>
          </xdr:cNvPr>
          <xdr:cNvSpPr/>
        </xdr:nvSpPr>
        <xdr:spPr>
          <a:xfrm>
            <a:off x="49530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199" name="Bar12">
            <a:extLst>
              <a:ext uri="{FF2B5EF4-FFF2-40B4-BE49-F238E27FC236}">
                <a16:creationId xmlns:a16="http://schemas.microsoft.com/office/drawing/2014/main" id="{00000000-0008-0000-0600-0000C7000000}"/>
              </a:ext>
            </a:extLst>
          </xdr:cNvPr>
          <xdr:cNvSpPr/>
        </xdr:nvSpPr>
        <xdr:spPr>
          <a:xfrm>
            <a:off x="3314700" y="239809"/>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36.64%</a:t>
            </a:r>
          </a:p>
        </xdr:txBody>
      </xdr:sp>
      <xdr:sp macro="" textlink="">
        <xdr:nvSpPr>
          <xdr:cNvPr id="200" name="Bar11">
            <a:extLst>
              <a:ext uri="{FF2B5EF4-FFF2-40B4-BE49-F238E27FC236}">
                <a16:creationId xmlns:a16="http://schemas.microsoft.com/office/drawing/2014/main" id="{00000000-0008-0000-0600-0000C8000000}"/>
              </a:ext>
            </a:extLst>
          </xdr:cNvPr>
          <xdr:cNvSpPr/>
        </xdr:nvSpPr>
        <xdr:spPr>
          <a:xfrm>
            <a:off x="1676400" y="238322"/>
            <a:ext cx="1587500" cy="317500"/>
          </a:xfrm>
          <a:prstGeom prst="rect">
            <a:avLst/>
          </a:prstGeom>
          <a:solidFill>
            <a:srgbClr val="002B49"/>
          </a:solidFill>
          <a:ln>
            <a:solidFill>
              <a:srgbClr val="002060"/>
            </a:solid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91440"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r>
              <a:rPr lang="en-US" sz="1000" b="0" i="0" u="none" strike="noStrike">
                <a:solidFill>
                  <a:srgbClr val="002060"/>
                </a:solidFill>
                <a:latin typeface="Arial Nova Cond" panose="020B0506020202020204" pitchFamily="34" charset="0"/>
                <a:cs typeface="Arial"/>
              </a:rPr>
              <a:t>%</a:t>
            </a:r>
          </a:p>
        </xdr:txBody>
      </xdr:sp>
      <xdr:sp macro="" textlink="#REF!">
        <xdr:nvSpPr>
          <xdr:cNvPr id="201" name="QuintileLabel15">
            <a:extLst>
              <a:ext uri="{FF2B5EF4-FFF2-40B4-BE49-F238E27FC236}">
                <a16:creationId xmlns:a16="http://schemas.microsoft.com/office/drawing/2014/main" id="{00000000-0008-0000-0600-0000C9000000}"/>
              </a:ext>
            </a:extLst>
          </xdr:cNvPr>
          <xdr:cNvSpPr txBox="1"/>
        </xdr:nvSpPr>
        <xdr:spPr>
          <a:xfrm>
            <a:off x="7361007" y="576359"/>
            <a:ext cx="1667336" cy="240845"/>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414C17DB-F842-4907-9A75-5494E08E70C0}" type="TxLink">
              <a:rPr lang="en-US" sz="900" b="0" i="0" u="none" strike="noStrike" kern="1200">
                <a:solidFill>
                  <a:srgbClr val="646464"/>
                </a:solidFill>
                <a:latin typeface="Arial"/>
                <a:cs typeface="Arial"/>
              </a:rPr>
              <a:pPr marL="0" indent="0" algn="ctr" defTabSz="914400" rtl="0" eaLnBrk="1" latinLnBrk="0" hangingPunct="1"/>
              <a:t>▲
▲
$2,054 MM</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REF!">
        <xdr:nvSpPr>
          <xdr:cNvPr id="202" name="QuintileLabel14">
            <a:extLst>
              <a:ext uri="{FF2B5EF4-FFF2-40B4-BE49-F238E27FC236}">
                <a16:creationId xmlns:a16="http://schemas.microsoft.com/office/drawing/2014/main" id="{00000000-0008-0000-0600-0000CA000000}"/>
              </a:ext>
            </a:extLst>
          </xdr:cNvPr>
          <xdr:cNvSpPr txBox="1"/>
        </xdr:nvSpPr>
        <xdr:spPr>
          <a:xfrm>
            <a:off x="5982129" y="55730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FA32B9C6-CD26-4A26-9068-7846DBBB6C3E}" type="TxLink">
              <a:rPr lang="en-US" sz="900" b="0" i="0" u="none" strike="noStrike" kern="1200">
                <a:solidFill>
                  <a:srgbClr val="646464"/>
                </a:solidFill>
                <a:latin typeface="Arial"/>
                <a:cs typeface="Arial"/>
              </a:rPr>
              <a:pPr marL="0" indent="0" algn="ctr" defTabSz="914400" rtl="0" eaLnBrk="1" latinLnBrk="0" hangingPunct="1"/>
              <a:t>▲
</a:t>
            </a:fld>
            <a:endParaRPr lang="en-US" sz="1000" b="0" i="0" u="none" strike="noStrike" kern="1200">
              <a:solidFill>
                <a:schemeClr val="tx1">
                  <a:lumMod val="50000"/>
                  <a:lumOff val="50000"/>
                </a:schemeClr>
              </a:solidFill>
              <a:latin typeface="Arial Nova Cond" panose="020B0506020202020204" pitchFamily="34" charset="0"/>
              <a:cs typeface="Arial"/>
            </a:endParaRPr>
          </a:p>
        </xdr:txBody>
      </xdr:sp>
      <xdr:sp macro="" textlink="$U$3">
        <xdr:nvSpPr>
          <xdr:cNvPr id="203" name="QuintileLabel13">
            <a:extLst>
              <a:ext uri="{FF2B5EF4-FFF2-40B4-BE49-F238E27FC236}">
                <a16:creationId xmlns:a16="http://schemas.microsoft.com/office/drawing/2014/main" id="{00000000-0008-0000-0600-0000CB000000}"/>
              </a:ext>
            </a:extLst>
          </xdr:cNvPr>
          <xdr:cNvSpPr txBox="1"/>
        </xdr:nvSpPr>
        <xdr:spPr>
          <a:xfrm>
            <a:off x="4344628" y="549317"/>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BED88365-49F8-43AA-8A78-259981A15370}" type="TxLink">
              <a:rPr lang="en-US" sz="900" b="0" i="0" u="none" strike="noStrike" kern="1200">
                <a:solidFill>
                  <a:srgbClr val="646464"/>
                </a:solidFill>
                <a:latin typeface="Arial"/>
                <a:ea typeface="+mn-ea"/>
                <a:cs typeface="Arial"/>
              </a:rPr>
              <a:pPr marL="0" indent="0" algn="ctr" defTabSz="914400" rtl="0" eaLnBrk="1" latinLnBrk="0" hangingPunct="1"/>
              <a:t>▲
$47,049 MM</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T$3">
        <xdr:nvSpPr>
          <xdr:cNvPr id="204" name="QuintileLabel12">
            <a:extLst>
              <a:ext uri="{FF2B5EF4-FFF2-40B4-BE49-F238E27FC236}">
                <a16:creationId xmlns:a16="http://schemas.microsoft.com/office/drawing/2014/main" id="{00000000-0008-0000-0600-0000CC000000}"/>
              </a:ext>
            </a:extLst>
          </xdr:cNvPr>
          <xdr:cNvSpPr txBox="1"/>
        </xdr:nvSpPr>
        <xdr:spPr>
          <a:xfrm>
            <a:off x="2705529" y="547784"/>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4E0083A6-50C1-4F42-966B-332F3D74B626}" type="TxLink">
              <a:rPr lang="en-US" sz="900" b="0" i="0" u="none" strike="noStrike" kern="1200">
                <a:solidFill>
                  <a:srgbClr val="646464"/>
                </a:solidFill>
                <a:latin typeface="Arial"/>
                <a:ea typeface="+mn-ea"/>
                <a:cs typeface="Arial"/>
              </a:rPr>
              <a:pPr marL="0" indent="0" algn="ctr" defTabSz="914400" rtl="0" eaLnBrk="1" latinLnBrk="0" hangingPunct="1"/>
              <a:t>▲
$19,730 MM</a:t>
            </a:fld>
            <a:endParaRPr lang="en-US" sz="900" b="0" i="0" u="none" strike="noStrike" kern="1200">
              <a:solidFill>
                <a:srgbClr val="646464"/>
              </a:solidFill>
              <a:latin typeface="Arial" panose="020B0604020202020204" pitchFamily="34" charset="0"/>
              <a:ea typeface="+mn-ea"/>
              <a:cs typeface="Arial" panose="020B0604020202020204" pitchFamily="34" charset="0"/>
            </a:endParaRPr>
          </a:p>
        </xdr:txBody>
      </xdr:sp>
      <xdr:sp macro="" textlink="$R$3">
        <xdr:nvSpPr>
          <xdr:cNvPr id="205" name="QuintileLabel11">
            <a:extLst>
              <a:ext uri="{FF2B5EF4-FFF2-40B4-BE49-F238E27FC236}">
                <a16:creationId xmlns:a16="http://schemas.microsoft.com/office/drawing/2014/main" id="{00000000-0008-0000-0600-0000CD000000}"/>
              </a:ext>
            </a:extLst>
          </xdr:cNvPr>
          <xdr:cNvSpPr txBox="1"/>
        </xdr:nvSpPr>
        <xdr:spPr>
          <a:xfrm>
            <a:off x="1083105" y="538259"/>
            <a:ext cx="1167540" cy="239809"/>
          </a:xfrm>
          <a:prstGeom prst="rect">
            <a:avLst/>
          </a:prstGeom>
          <a:solidFill>
            <a:srgbClr val="FFFFFF">
              <a:alpha val="0"/>
            </a:srgbClr>
          </a:solidFill>
        </xdr:spPr>
        <xdr:txBody>
          <a:bodyPr wrap="square" lIns="0" tIns="0" rIns="0" bIns="0" rtlCol="0" anchor="t">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914400" rtl="0" eaLnBrk="1" latinLnBrk="0" hangingPunct="1"/>
            <a:fld id="{7E14D0DA-F717-4DB0-A6C1-DED0B90E8685}" type="TxLink">
              <a:rPr lang="en-US" sz="900" b="0" i="0" u="none" strike="noStrike" kern="1200">
                <a:solidFill>
                  <a:srgbClr val="646464"/>
                </a:solidFill>
                <a:latin typeface="Arial" panose="020B0604020202020204" pitchFamily="34" charset="0"/>
                <a:cs typeface="Arial" panose="020B0604020202020204" pitchFamily="34" charset="0"/>
              </a:rPr>
              <a:pPr marL="0" indent="0" algn="ctr" defTabSz="914400" rtl="0" eaLnBrk="1" latinLnBrk="0" hangingPunct="1"/>
              <a:t>▲
$8,460 MM</a:t>
            </a:fld>
            <a:endParaRPr lang="en-US" sz="900" b="0" i="0" u="none" strike="noStrike" kern="1200">
              <a:solidFill>
                <a:srgbClr val="646464"/>
              </a:solidFill>
              <a:latin typeface="Arial" panose="020B0604020202020204" pitchFamily="34" charset="0"/>
              <a:cs typeface="Arial" panose="020B0604020202020204" pitchFamily="34" charset="0"/>
            </a:endParaRPr>
          </a:p>
        </xdr:txBody>
      </xdr:sp>
      <xdr:sp macro="" textlink="">
        <xdr:nvSpPr>
          <xdr:cNvPr id="206" name="Star1">
            <a:extLst>
              <a:ext uri="{FF2B5EF4-FFF2-40B4-BE49-F238E27FC236}">
                <a16:creationId xmlns:a16="http://schemas.microsoft.com/office/drawing/2014/main" id="{00000000-0008-0000-0600-0000CE000000}"/>
              </a:ext>
            </a:extLst>
          </xdr:cNvPr>
          <xdr:cNvSpPr/>
        </xdr:nvSpPr>
        <xdr:spPr>
          <a:xfrm>
            <a:off x="3599929" y="261857"/>
            <a:ext cx="308685" cy="273403"/>
          </a:xfrm>
          <a:prstGeom prst="star5">
            <a:avLst/>
          </a:prstGeom>
          <a:solidFill>
            <a:srgbClr val="F9C20A"/>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1043056" rtl="0" eaLnBrk="1" latinLnBrk="0" hangingPunct="1">
              <a:defRPr sz="2100" kern="1200">
                <a:solidFill>
                  <a:schemeClr val="lt1"/>
                </a:solidFill>
                <a:latin typeface="+mn-lt"/>
                <a:ea typeface="+mn-ea"/>
                <a:cs typeface="+mn-cs"/>
              </a:defRPr>
            </a:lvl1pPr>
            <a:lvl2pPr marL="521528" algn="l" defTabSz="1043056" rtl="0" eaLnBrk="1" latinLnBrk="0" hangingPunct="1">
              <a:defRPr sz="2100" kern="1200">
                <a:solidFill>
                  <a:schemeClr val="lt1"/>
                </a:solidFill>
                <a:latin typeface="+mn-lt"/>
                <a:ea typeface="+mn-ea"/>
                <a:cs typeface="+mn-cs"/>
              </a:defRPr>
            </a:lvl2pPr>
            <a:lvl3pPr marL="1043056" algn="l" defTabSz="1043056" rtl="0" eaLnBrk="1" latinLnBrk="0" hangingPunct="1">
              <a:defRPr sz="2100" kern="1200">
                <a:solidFill>
                  <a:schemeClr val="lt1"/>
                </a:solidFill>
                <a:latin typeface="+mn-lt"/>
                <a:ea typeface="+mn-ea"/>
                <a:cs typeface="+mn-cs"/>
              </a:defRPr>
            </a:lvl3pPr>
            <a:lvl4pPr marL="1564584" algn="l" defTabSz="1043056" rtl="0" eaLnBrk="1" latinLnBrk="0" hangingPunct="1">
              <a:defRPr sz="2100" kern="1200">
                <a:solidFill>
                  <a:schemeClr val="lt1"/>
                </a:solidFill>
                <a:latin typeface="+mn-lt"/>
                <a:ea typeface="+mn-ea"/>
                <a:cs typeface="+mn-cs"/>
              </a:defRPr>
            </a:lvl4pPr>
            <a:lvl5pPr marL="2086112" algn="l" defTabSz="1043056" rtl="0" eaLnBrk="1" latinLnBrk="0" hangingPunct="1">
              <a:defRPr sz="2100" kern="1200">
                <a:solidFill>
                  <a:schemeClr val="lt1"/>
                </a:solidFill>
                <a:latin typeface="+mn-lt"/>
                <a:ea typeface="+mn-ea"/>
                <a:cs typeface="+mn-cs"/>
              </a:defRPr>
            </a:lvl5pPr>
            <a:lvl6pPr marL="2607640" algn="l" defTabSz="1043056" rtl="0" eaLnBrk="1" latinLnBrk="0" hangingPunct="1">
              <a:defRPr sz="2100" kern="1200">
                <a:solidFill>
                  <a:schemeClr val="lt1"/>
                </a:solidFill>
                <a:latin typeface="+mn-lt"/>
                <a:ea typeface="+mn-ea"/>
                <a:cs typeface="+mn-cs"/>
              </a:defRPr>
            </a:lvl6pPr>
            <a:lvl7pPr marL="3129168" algn="l" defTabSz="1043056" rtl="0" eaLnBrk="1" latinLnBrk="0" hangingPunct="1">
              <a:defRPr sz="2100" kern="1200">
                <a:solidFill>
                  <a:schemeClr val="lt1"/>
                </a:solidFill>
                <a:latin typeface="+mn-lt"/>
                <a:ea typeface="+mn-ea"/>
                <a:cs typeface="+mn-cs"/>
              </a:defRPr>
            </a:lvl7pPr>
            <a:lvl8pPr marL="3650696" algn="l" defTabSz="1043056" rtl="0" eaLnBrk="1" latinLnBrk="0" hangingPunct="1">
              <a:defRPr sz="2100" kern="1200">
                <a:solidFill>
                  <a:schemeClr val="lt1"/>
                </a:solidFill>
                <a:latin typeface="+mn-lt"/>
                <a:ea typeface="+mn-ea"/>
                <a:cs typeface="+mn-cs"/>
              </a:defRPr>
            </a:lvl8pPr>
            <a:lvl9pPr marL="4172224" algn="l" defTabSz="1043056" rtl="0" eaLnBrk="1" latinLnBrk="0" hangingPunct="1">
              <a:defRPr sz="2100" kern="1200">
                <a:solidFill>
                  <a:schemeClr val="lt1"/>
                </a:solidFill>
                <a:latin typeface="+mn-lt"/>
                <a:ea typeface="+mn-ea"/>
                <a:cs typeface="+mn-cs"/>
              </a:defRPr>
            </a:lvl9pPr>
          </a:lstStyle>
          <a:p>
            <a:pPr algn="ctr"/>
            <a:endParaRPr lang="en-US">
              <a:solidFill>
                <a:srgbClr val="FFFFFF"/>
              </a:solidFill>
              <a:latin typeface="Arial Nova Cond" panose="020B0506020202020204" pitchFamily="34" charset="0"/>
            </a:endParaRPr>
          </a:p>
        </xdr:txBody>
      </xdr:sp>
      <xdr:sp macro="" textlink="">
        <xdr:nvSpPr>
          <xdr:cNvPr id="207" name="RowLabel1">
            <a:extLst>
              <a:ext uri="{FF2B5EF4-FFF2-40B4-BE49-F238E27FC236}">
                <a16:creationId xmlns:a16="http://schemas.microsoft.com/office/drawing/2014/main" id="{00000000-0008-0000-0600-0000CF000000}"/>
              </a:ext>
            </a:extLst>
          </xdr:cNvPr>
          <xdr:cNvSpPr txBox="1"/>
        </xdr:nvSpPr>
        <xdr:spPr>
          <a:xfrm>
            <a:off x="-81865" y="251234"/>
            <a:ext cx="1695777" cy="317500"/>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r>
              <a:rPr lang="en-US" sz="1000" b="1" i="0" u="none" strike="noStrike" kern="1200">
                <a:solidFill>
                  <a:srgbClr val="646464"/>
                </a:solidFill>
                <a:latin typeface="Arial" panose="020B0604020202020204" pitchFamily="34" charset="0"/>
                <a:cs typeface="Arial" panose="020B0604020202020204" pitchFamily="34" charset="0"/>
              </a:rPr>
              <a:t>Net Revenue (in USD)</a:t>
            </a:r>
          </a:p>
        </xdr:txBody>
      </xdr:sp>
      <xdr:sp macro="" textlink="">
        <xdr:nvSpPr>
          <xdr:cNvPr id="208" name="UpperLabel5">
            <a:extLst>
              <a:ext uri="{FF2B5EF4-FFF2-40B4-BE49-F238E27FC236}">
                <a16:creationId xmlns:a16="http://schemas.microsoft.com/office/drawing/2014/main" id="{00000000-0008-0000-0600-0000D0000000}"/>
              </a:ext>
            </a:extLst>
          </xdr:cNvPr>
          <xdr:cNvSpPr txBox="1"/>
        </xdr:nvSpPr>
        <xdr:spPr>
          <a:xfrm>
            <a:off x="7820101" y="-77491"/>
            <a:ext cx="742797" cy="307774"/>
          </a:xfrm>
          <a:prstGeom prst="rect">
            <a:avLst/>
          </a:prstGeom>
          <a:solidFill>
            <a:srgbClr val="FFFFFF">
              <a:alpha val="0"/>
            </a:srgbClr>
          </a:solidFill>
        </xdr:spPr>
        <xdr:txBody>
          <a:bodyPr wrap="square" lIns="0" tIns="0" rIns="0" bIns="0" rtlCol="0" anchor="b">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algn="ctr" rtl="0" eaLnBrk="1" latinLnBrk="0" hangingPunct="1"/>
            <a:r>
              <a:rPr lang="en-US" sz="900" b="1" kern="1200">
                <a:solidFill>
                  <a:srgbClr val="646464"/>
                </a:solidFill>
                <a:latin typeface="Arial" panose="020B0604020202020204" pitchFamily="34" charset="0"/>
                <a:cs typeface="Arial" panose="020B0604020202020204" pitchFamily="34" charset="0"/>
              </a:rPr>
              <a:t>Max</a:t>
            </a:r>
            <a:endParaRPr lang="en-US" sz="900">
              <a:solidFill>
                <a:srgbClr val="646464"/>
              </a:solidFill>
              <a:effectLst/>
              <a:latin typeface="Arial" panose="020B0604020202020204" pitchFamily="34" charset="0"/>
              <a:cs typeface="Arial" panose="020B0604020202020204" pitchFamily="34" charset="0"/>
            </a:endParaRPr>
          </a:p>
          <a:p>
            <a:pPr algn="ctr"/>
            <a:r>
              <a:rPr lang="en-US" sz="900" kern="1200">
                <a:solidFill>
                  <a:srgbClr val="646464"/>
                </a:solidFill>
                <a:effectLst/>
                <a:latin typeface="Arial" panose="020B0604020202020204" pitchFamily="34" charset="0"/>
                <a:ea typeface="+mn-ea"/>
                <a:cs typeface="Arial" panose="020B0604020202020204" pitchFamily="34" charset="0"/>
              </a:rPr>
              <a:t>▼</a:t>
            </a:r>
            <a:endParaRPr lang="en-US" sz="900" b="1" kern="1200">
              <a:solidFill>
                <a:srgbClr val="646464"/>
              </a:solidFill>
              <a:latin typeface="Arial" panose="020B0604020202020204" pitchFamily="34" charset="0"/>
              <a:cs typeface="Arial" panose="020B0604020202020204" pitchFamily="34" charset="0"/>
            </a:endParaRPr>
          </a:p>
        </xdr:txBody>
      </xdr:sp>
      <xdr:sp macro="" textlink="">
        <xdr:nvSpPr>
          <xdr:cNvPr id="209" name="UpperLabel4">
            <a:extLst>
              <a:ext uri="{FF2B5EF4-FFF2-40B4-BE49-F238E27FC236}">
                <a16:creationId xmlns:a16="http://schemas.microsoft.com/office/drawing/2014/main" id="{00000000-0008-0000-0600-0000D1000000}"/>
              </a:ext>
            </a:extLst>
          </xdr:cNvPr>
          <xdr:cNvSpPr txBox="1"/>
        </xdr:nvSpPr>
        <xdr:spPr>
          <a:xfrm>
            <a:off x="5842884" y="-70922"/>
            <a:ext cx="1458733" cy="291681"/>
          </a:xfrm>
          <a:prstGeom prst="rect">
            <a:avLst/>
          </a:prstGeom>
          <a:solidFill>
            <a:srgbClr val="FFFFFF">
              <a:alpha val="0"/>
            </a:srgbClr>
          </a:solidFill>
        </xdr:spPr>
        <xdr:txBody>
          <a:bodyPr wrap="square" lIns="0" tIns="0" rIns="0" bIns="0" rtlCol="0" anchor="b">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algn="ctr" rtl="0" eaLnBrk="1" latinLnBrk="0" hangingPunct="1"/>
            <a:r>
              <a:rPr lang="en-US" sz="900" b="1" kern="1200">
                <a:solidFill>
                  <a:srgbClr val="646464"/>
                </a:solidFill>
                <a:latin typeface="Arial" panose="020B0604020202020204" pitchFamily="34" charset="0"/>
                <a:cs typeface="Arial" panose="020B0604020202020204" pitchFamily="34" charset="0"/>
              </a:rPr>
              <a:t>75th Percentile</a:t>
            </a:r>
            <a:endParaRPr lang="en-US" sz="900">
              <a:solidFill>
                <a:srgbClr val="646464"/>
              </a:solidFill>
              <a:effectLst/>
              <a:latin typeface="Arial" panose="020B0604020202020204" pitchFamily="34" charset="0"/>
              <a:cs typeface="Arial" panose="020B0604020202020204" pitchFamily="34" charset="0"/>
            </a:endParaRPr>
          </a:p>
          <a:p>
            <a:pPr algn="ctr"/>
            <a:r>
              <a:rPr lang="en-US" sz="900" kern="1200">
                <a:solidFill>
                  <a:srgbClr val="646464"/>
                </a:solidFill>
                <a:effectLst/>
                <a:latin typeface="Arial" panose="020B0604020202020204" pitchFamily="34" charset="0"/>
                <a:ea typeface="+mn-ea"/>
                <a:cs typeface="Arial" panose="020B0604020202020204" pitchFamily="34" charset="0"/>
              </a:rPr>
              <a:t>▼</a:t>
            </a:r>
            <a:endParaRPr lang="en-US" sz="900" b="1" kern="1200">
              <a:solidFill>
                <a:srgbClr val="646464"/>
              </a:solidFill>
              <a:latin typeface="Arial" panose="020B0604020202020204" pitchFamily="34" charset="0"/>
              <a:cs typeface="Arial" panose="020B0604020202020204" pitchFamily="34" charset="0"/>
            </a:endParaRPr>
          </a:p>
        </xdr:txBody>
      </xdr:sp>
      <xdr:sp macro="" textlink="">
        <xdr:nvSpPr>
          <xdr:cNvPr id="210" name="UpperLabel3">
            <a:extLst>
              <a:ext uri="{FF2B5EF4-FFF2-40B4-BE49-F238E27FC236}">
                <a16:creationId xmlns:a16="http://schemas.microsoft.com/office/drawing/2014/main" id="{00000000-0008-0000-0600-0000D2000000}"/>
              </a:ext>
            </a:extLst>
          </xdr:cNvPr>
          <xdr:cNvSpPr txBox="1"/>
        </xdr:nvSpPr>
        <xdr:spPr>
          <a:xfrm>
            <a:off x="4562551" y="-84060"/>
            <a:ext cx="742797" cy="314345"/>
          </a:xfrm>
          <a:prstGeom prst="rect">
            <a:avLst/>
          </a:prstGeom>
          <a:solidFill>
            <a:srgbClr val="FFFFFF">
              <a:alpha val="0"/>
            </a:srgbClr>
          </a:solidFill>
        </xdr:spPr>
        <xdr:txBody>
          <a:bodyPr wrap="square" lIns="0" tIns="0" rIns="0" bIns="0" rtlCol="0" anchor="b">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algn="ctr" rtl="0" eaLnBrk="1" latinLnBrk="0" hangingPunct="1"/>
            <a:r>
              <a:rPr lang="en-US" sz="900" b="1" kern="1200">
                <a:solidFill>
                  <a:srgbClr val="646464"/>
                </a:solidFill>
                <a:latin typeface="Arial" panose="020B0604020202020204" pitchFamily="34" charset="0"/>
                <a:cs typeface="Arial" panose="020B0604020202020204" pitchFamily="34" charset="0"/>
              </a:rPr>
              <a:t>Median</a:t>
            </a:r>
            <a:endParaRPr lang="en-US" sz="900">
              <a:solidFill>
                <a:srgbClr val="646464"/>
              </a:solidFill>
              <a:effectLst/>
              <a:latin typeface="Arial" panose="020B0604020202020204" pitchFamily="34" charset="0"/>
              <a:cs typeface="Arial" panose="020B0604020202020204" pitchFamily="34" charset="0"/>
            </a:endParaRPr>
          </a:p>
          <a:p>
            <a:pPr algn="ctr"/>
            <a:r>
              <a:rPr lang="en-US" sz="900" kern="1200">
                <a:solidFill>
                  <a:srgbClr val="646464"/>
                </a:solidFill>
                <a:effectLst/>
                <a:latin typeface="Arial" panose="020B0604020202020204" pitchFamily="34" charset="0"/>
                <a:ea typeface="+mn-ea"/>
                <a:cs typeface="Arial" panose="020B0604020202020204" pitchFamily="34" charset="0"/>
              </a:rPr>
              <a:t>▼</a:t>
            </a:r>
            <a:endParaRPr lang="en-US" sz="900" b="1" kern="1200">
              <a:solidFill>
                <a:srgbClr val="646464"/>
              </a:solidFill>
              <a:latin typeface="Arial" panose="020B0604020202020204" pitchFamily="34" charset="0"/>
              <a:cs typeface="Arial" panose="020B0604020202020204" pitchFamily="34" charset="0"/>
            </a:endParaRPr>
          </a:p>
        </xdr:txBody>
      </xdr:sp>
      <xdr:sp macro="" textlink="">
        <xdr:nvSpPr>
          <xdr:cNvPr id="211" name="UpperLabel2">
            <a:extLst>
              <a:ext uri="{FF2B5EF4-FFF2-40B4-BE49-F238E27FC236}">
                <a16:creationId xmlns:a16="http://schemas.microsoft.com/office/drawing/2014/main" id="{00000000-0008-0000-0600-0000D3000000}"/>
              </a:ext>
            </a:extLst>
          </xdr:cNvPr>
          <xdr:cNvSpPr txBox="1"/>
        </xdr:nvSpPr>
        <xdr:spPr>
          <a:xfrm>
            <a:off x="2566284" y="-51211"/>
            <a:ext cx="1458733" cy="271971"/>
          </a:xfrm>
          <a:prstGeom prst="rect">
            <a:avLst/>
          </a:prstGeom>
          <a:solidFill>
            <a:srgbClr val="FFFFFF">
              <a:alpha val="0"/>
            </a:srgbClr>
          </a:solidFill>
        </xdr:spPr>
        <xdr:txBody>
          <a:bodyPr wrap="square" lIns="0" tIns="0" rIns="0" bIns="0" rtlCol="0" anchor="b">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ctr" defTabSz="1043056" rtl="0" eaLnBrk="1" latinLnBrk="0" hangingPunct="1"/>
            <a:r>
              <a:rPr lang="en-US" sz="900" b="1" kern="1200">
                <a:solidFill>
                  <a:srgbClr val="646464"/>
                </a:solidFill>
                <a:latin typeface="Arial" panose="020B0604020202020204" pitchFamily="34" charset="0"/>
                <a:cs typeface="Arial" panose="020B0604020202020204" pitchFamily="34" charset="0"/>
              </a:rPr>
              <a:t>25th Percentile</a:t>
            </a:r>
            <a:endParaRPr lang="en-US" sz="900">
              <a:solidFill>
                <a:srgbClr val="646464"/>
              </a:solidFill>
              <a:effectLst/>
              <a:latin typeface="Arial" panose="020B0604020202020204" pitchFamily="34" charset="0"/>
              <a:cs typeface="Arial" panose="020B0604020202020204" pitchFamily="34" charset="0"/>
            </a:endParaRPr>
          </a:p>
          <a:p>
            <a:pPr algn="ctr"/>
            <a:r>
              <a:rPr lang="en-US" sz="900" kern="1200">
                <a:solidFill>
                  <a:srgbClr val="646464"/>
                </a:solidFill>
                <a:effectLst/>
                <a:latin typeface="Arial" panose="020B0604020202020204" pitchFamily="34" charset="0"/>
                <a:ea typeface="+mn-ea"/>
                <a:cs typeface="Arial" panose="020B0604020202020204" pitchFamily="34" charset="0"/>
              </a:rPr>
              <a:t>▼</a:t>
            </a:r>
            <a:endParaRPr lang="en-US" sz="900" b="1" kern="1200">
              <a:solidFill>
                <a:srgbClr val="646464"/>
              </a:solidFill>
              <a:latin typeface="Arial" panose="020B0604020202020204" pitchFamily="34" charset="0"/>
              <a:cs typeface="Arial" panose="020B0604020202020204" pitchFamily="34" charset="0"/>
            </a:endParaRPr>
          </a:p>
        </xdr:txBody>
      </xdr:sp>
      <xdr:sp macro="" textlink="">
        <xdr:nvSpPr>
          <xdr:cNvPr id="212" name="UpperLabel1">
            <a:extLst>
              <a:ext uri="{FF2B5EF4-FFF2-40B4-BE49-F238E27FC236}">
                <a16:creationId xmlns:a16="http://schemas.microsoft.com/office/drawing/2014/main" id="{00000000-0008-0000-0600-0000D4000000}"/>
              </a:ext>
            </a:extLst>
          </xdr:cNvPr>
          <xdr:cNvSpPr txBox="1"/>
        </xdr:nvSpPr>
        <xdr:spPr>
          <a:xfrm>
            <a:off x="1305002" y="-28575"/>
            <a:ext cx="742797" cy="239809"/>
          </a:xfrm>
          <a:prstGeom prst="rect">
            <a:avLst/>
          </a:prstGeom>
          <a:solidFill>
            <a:srgbClr val="FFFFFF">
              <a:alpha val="0"/>
            </a:srgbClr>
          </a:solidFill>
        </xdr:spPr>
        <xdr:txBody>
          <a:bodyPr wrap="square" lIns="0" tIns="0" rIns="0" bIns="0" rtlCol="0" anchor="b">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algn="ctr"/>
            <a:r>
              <a:rPr lang="en-US" sz="900" b="1">
                <a:solidFill>
                  <a:srgbClr val="646464"/>
                </a:solidFill>
                <a:latin typeface="Arial" panose="020B0604020202020204" pitchFamily="34" charset="0"/>
                <a:cs typeface="Arial" panose="020B0604020202020204" pitchFamily="34" charset="0"/>
              </a:rPr>
              <a:t>Min</a:t>
            </a:r>
          </a:p>
          <a:p>
            <a:pPr algn="ctr"/>
            <a:r>
              <a:rPr lang="en-US" sz="900">
                <a:solidFill>
                  <a:srgbClr val="646464"/>
                </a:solidFill>
                <a:latin typeface="Arial" panose="020B0604020202020204" pitchFamily="34" charset="0"/>
                <a:cs typeface="Arial" panose="020B0604020202020204" pitchFamily="34" charset="0"/>
              </a:rPr>
              <a:t>▼</a:t>
            </a:r>
            <a:endParaRPr lang="en-US" sz="900" b="1">
              <a:solidFill>
                <a:srgbClr val="646464"/>
              </a:solidFill>
              <a:latin typeface="Arial" panose="020B0604020202020204" pitchFamily="34" charset="0"/>
              <a:cs typeface="Arial" panose="020B0604020202020204" pitchFamily="34" charset="0"/>
            </a:endParaRPr>
          </a:p>
        </xdr:txBody>
      </xdr:sp>
      <xdr:sp macro="" textlink="$AA$3">
        <xdr:nvSpPr>
          <xdr:cNvPr id="213" name="StarLabel1">
            <a:extLst>
              <a:ext uri="{FF2B5EF4-FFF2-40B4-BE49-F238E27FC236}">
                <a16:creationId xmlns:a16="http://schemas.microsoft.com/office/drawing/2014/main" id="{00000000-0008-0000-0600-0000D5000000}"/>
              </a:ext>
            </a:extLst>
          </xdr:cNvPr>
          <xdr:cNvSpPr txBox="1"/>
        </xdr:nvSpPr>
        <xdr:spPr>
          <a:xfrm>
            <a:off x="3956239" y="282440"/>
            <a:ext cx="1240517" cy="232236"/>
          </a:xfrm>
          <a:prstGeom prst="rect">
            <a:avLst/>
          </a:prstGeom>
          <a:solidFill>
            <a:srgbClr val="FFFFFF">
              <a:alpha val="0"/>
            </a:srgbClr>
          </a:solidFill>
        </xdr:spPr>
        <xdr:txBody>
          <a:bodyPr wrap="square" rtlCol="0" anchor="ctr">
            <a:noAutofit/>
          </a:bodyPr>
          <a:lstStyle>
            <a:defPPr>
              <a:defRPr lang="en-US"/>
            </a:defPPr>
            <a:lvl1pPr marL="0" algn="l" defTabSz="1043056" rtl="0" eaLnBrk="1" latinLnBrk="0" hangingPunct="1">
              <a:defRPr sz="2100" kern="1200">
                <a:solidFill>
                  <a:schemeClr val="tx1"/>
                </a:solidFill>
                <a:latin typeface="+mn-lt"/>
                <a:ea typeface="+mn-ea"/>
                <a:cs typeface="+mn-cs"/>
              </a:defRPr>
            </a:lvl1pPr>
            <a:lvl2pPr marL="521528" algn="l" defTabSz="1043056" rtl="0" eaLnBrk="1" latinLnBrk="0" hangingPunct="1">
              <a:defRPr sz="2100" kern="1200">
                <a:solidFill>
                  <a:schemeClr val="tx1"/>
                </a:solidFill>
                <a:latin typeface="+mn-lt"/>
                <a:ea typeface="+mn-ea"/>
                <a:cs typeface="+mn-cs"/>
              </a:defRPr>
            </a:lvl2pPr>
            <a:lvl3pPr marL="1043056" algn="l" defTabSz="1043056" rtl="0" eaLnBrk="1" latinLnBrk="0" hangingPunct="1">
              <a:defRPr sz="2100" kern="1200">
                <a:solidFill>
                  <a:schemeClr val="tx1"/>
                </a:solidFill>
                <a:latin typeface="+mn-lt"/>
                <a:ea typeface="+mn-ea"/>
                <a:cs typeface="+mn-cs"/>
              </a:defRPr>
            </a:lvl3pPr>
            <a:lvl4pPr marL="1564584" algn="l" defTabSz="1043056" rtl="0" eaLnBrk="1" latinLnBrk="0" hangingPunct="1">
              <a:defRPr sz="2100" kern="1200">
                <a:solidFill>
                  <a:schemeClr val="tx1"/>
                </a:solidFill>
                <a:latin typeface="+mn-lt"/>
                <a:ea typeface="+mn-ea"/>
                <a:cs typeface="+mn-cs"/>
              </a:defRPr>
            </a:lvl4pPr>
            <a:lvl5pPr marL="2086112" algn="l" defTabSz="1043056" rtl="0" eaLnBrk="1" latinLnBrk="0" hangingPunct="1">
              <a:defRPr sz="2100" kern="1200">
                <a:solidFill>
                  <a:schemeClr val="tx1"/>
                </a:solidFill>
                <a:latin typeface="+mn-lt"/>
                <a:ea typeface="+mn-ea"/>
                <a:cs typeface="+mn-cs"/>
              </a:defRPr>
            </a:lvl5pPr>
            <a:lvl6pPr marL="2607640" algn="l" defTabSz="1043056" rtl="0" eaLnBrk="1" latinLnBrk="0" hangingPunct="1">
              <a:defRPr sz="2100" kern="1200">
                <a:solidFill>
                  <a:schemeClr val="tx1"/>
                </a:solidFill>
                <a:latin typeface="+mn-lt"/>
                <a:ea typeface="+mn-ea"/>
                <a:cs typeface="+mn-cs"/>
              </a:defRPr>
            </a:lvl6pPr>
            <a:lvl7pPr marL="3129168" algn="l" defTabSz="1043056" rtl="0" eaLnBrk="1" latinLnBrk="0" hangingPunct="1">
              <a:defRPr sz="2100" kern="1200">
                <a:solidFill>
                  <a:schemeClr val="tx1"/>
                </a:solidFill>
                <a:latin typeface="+mn-lt"/>
                <a:ea typeface="+mn-ea"/>
                <a:cs typeface="+mn-cs"/>
              </a:defRPr>
            </a:lvl7pPr>
            <a:lvl8pPr marL="3650696" algn="l" defTabSz="1043056" rtl="0" eaLnBrk="1" latinLnBrk="0" hangingPunct="1">
              <a:defRPr sz="2100" kern="1200">
                <a:solidFill>
                  <a:schemeClr val="tx1"/>
                </a:solidFill>
                <a:latin typeface="+mn-lt"/>
                <a:ea typeface="+mn-ea"/>
                <a:cs typeface="+mn-cs"/>
              </a:defRPr>
            </a:lvl8pPr>
            <a:lvl9pPr marL="4172224" algn="l" defTabSz="1043056" rtl="0" eaLnBrk="1" latinLnBrk="0" hangingPunct="1">
              <a:defRPr sz="2100" kern="1200">
                <a:solidFill>
                  <a:schemeClr val="tx1"/>
                </a:solidFill>
                <a:latin typeface="+mn-lt"/>
                <a:ea typeface="+mn-ea"/>
                <a:cs typeface="+mn-cs"/>
              </a:defRPr>
            </a:lvl9pPr>
          </a:lstStyle>
          <a:p>
            <a:pPr marL="0" indent="0" algn="l" defTabSz="914400" rtl="0" eaLnBrk="1" latinLnBrk="0" hangingPunct="1"/>
            <a:fld id="{6A513EB3-C3A8-489E-AA3E-93E08D9B112A}" type="TxLink">
              <a:rPr lang="en-US" sz="900" b="1" i="1" u="none" strike="noStrike" kern="1200">
                <a:solidFill>
                  <a:srgbClr val="F9C20A"/>
                </a:solidFill>
                <a:latin typeface="Arial"/>
                <a:cs typeface="Arial"/>
              </a:rPr>
              <a:pPr marL="0" indent="0" algn="l" defTabSz="914400" rtl="0" eaLnBrk="1" latinLnBrk="0" hangingPunct="1"/>
              <a:t>0.0837957</a:t>
            </a:fld>
            <a:endParaRPr lang="en-US" sz="1000" b="1" i="1" u="none" strike="noStrike" kern="1200">
              <a:solidFill>
                <a:srgbClr val="F9C20A"/>
              </a:solidFill>
              <a:latin typeface="Arial Nova Cond" panose="020B0506020202020204" pitchFamily="34" charset="0"/>
              <a:cs typeface="Arial"/>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282557</xdr:colOff>
      <xdr:row>89</xdr:row>
      <xdr:rowOff>123825</xdr:rowOff>
    </xdr:from>
    <xdr:to>
      <xdr:col>7</xdr:col>
      <xdr:colOff>200025</xdr:colOff>
      <xdr:row>125</xdr:row>
      <xdr:rowOff>0</xdr:rowOff>
    </xdr:to>
    <xdr:grpSp>
      <xdr:nvGrpSpPr>
        <xdr:cNvPr id="2" name="Group">
          <a:extLst>
            <a:ext uri="{FF2B5EF4-FFF2-40B4-BE49-F238E27FC236}">
              <a16:creationId xmlns:a16="http://schemas.microsoft.com/office/drawing/2014/main" id="{00000000-0008-0000-0700-000002000000}"/>
            </a:ext>
          </a:extLst>
        </xdr:cNvPr>
        <xdr:cNvGrpSpPr/>
      </xdr:nvGrpSpPr>
      <xdr:grpSpPr>
        <a:xfrm>
          <a:off x="282557" y="12887325"/>
          <a:ext cx="5737243" cy="5019675"/>
          <a:chOff x="10267951" y="-55949"/>
          <a:chExt cx="5594442" cy="4896827"/>
        </a:xfrm>
      </xdr:grpSpPr>
      <xdr:cxnSp macro="">
        <xdr:nvCxnSpPr>
          <xdr:cNvPr id="3" name="Divider">
            <a:extLst>
              <a:ext uri="{FF2B5EF4-FFF2-40B4-BE49-F238E27FC236}">
                <a16:creationId xmlns:a16="http://schemas.microsoft.com/office/drawing/2014/main" id="{00000000-0008-0000-0700-000003000000}"/>
              </a:ext>
            </a:extLst>
          </xdr:cNvPr>
          <xdr:cNvCxnSpPr/>
        </xdr:nvCxnSpPr>
        <xdr:spPr>
          <a:xfrm flipH="1" flipV="1">
            <a:off x="15853105" y="-55949"/>
            <a:ext cx="9288" cy="4896827"/>
          </a:xfrm>
          <a:prstGeom prst="line">
            <a:avLst/>
          </a:prstGeom>
          <a:ln>
            <a:solidFill>
              <a:schemeClr val="tx2"/>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4" name="Box_Target">
            <a:extLst>
              <a:ext uri="{FF2B5EF4-FFF2-40B4-BE49-F238E27FC236}">
                <a16:creationId xmlns:a16="http://schemas.microsoft.com/office/drawing/2014/main" id="{00000000-0008-0000-0700-000004000000}"/>
              </a:ext>
            </a:extLst>
          </xdr:cNvPr>
          <xdr:cNvSpPr txBox="1"/>
        </xdr:nvSpPr>
        <xdr:spPr>
          <a:xfrm>
            <a:off x="10323679" y="-6576"/>
            <a:ext cx="182880" cy="182880"/>
          </a:xfrm>
          <a:prstGeom prst="flowChartConnector">
            <a:avLst/>
          </a:prstGeom>
          <a:solidFill>
            <a:srgbClr val="5E8AB4"/>
          </a:solidFill>
          <a:ln w="9525" cmpd="sng">
            <a:solidFill>
              <a:srgbClr val="538AB4"/>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
        <xdr:nvSpPr>
          <xdr:cNvPr id="5" name="Box_Median">
            <a:extLst>
              <a:ext uri="{FF2B5EF4-FFF2-40B4-BE49-F238E27FC236}">
                <a16:creationId xmlns:a16="http://schemas.microsoft.com/office/drawing/2014/main" id="{00000000-0008-0000-0700-000005000000}"/>
              </a:ext>
            </a:extLst>
          </xdr:cNvPr>
          <xdr:cNvSpPr txBox="1"/>
        </xdr:nvSpPr>
        <xdr:spPr>
          <a:xfrm>
            <a:off x="12675101" y="-6578"/>
            <a:ext cx="182880" cy="182880"/>
          </a:xfrm>
          <a:prstGeom prst="flowChartConnector">
            <a:avLst/>
          </a:prstGeom>
          <a:solidFill>
            <a:srgbClr val="FFC000"/>
          </a:solidFill>
          <a:ln w="9525" cmpd="sng">
            <a:solidFill>
              <a:srgbClr val="FFC000"/>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Data!B25">
        <xdr:nvSpPr>
          <xdr:cNvPr id="6" name="BenchmarkLabel">
            <a:extLst>
              <a:ext uri="{FF2B5EF4-FFF2-40B4-BE49-F238E27FC236}">
                <a16:creationId xmlns:a16="http://schemas.microsoft.com/office/drawing/2014/main" id="{00000000-0008-0000-0700-000006000000}"/>
              </a:ext>
            </a:extLst>
          </xdr:cNvPr>
          <xdr:cNvSpPr txBox="1"/>
        </xdr:nvSpPr>
        <xdr:spPr>
          <a:xfrm>
            <a:off x="10543461" y="2907"/>
            <a:ext cx="2062243" cy="176494"/>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fld id="{3B949900-B49A-42CA-8426-911B03C41C8A}" type="TxLink">
              <a:rPr lang="en-US" sz="1000" b="0" i="0" u="none" strike="noStrike">
                <a:solidFill>
                  <a:srgbClr val="646464"/>
                </a:solidFill>
                <a:latin typeface="Arial" panose="020B0604020202020204" pitchFamily="34" charset="0"/>
                <a:cs typeface="Arial" panose="020B0604020202020204" pitchFamily="34" charset="0"/>
              </a:rPr>
              <a:pPr algn="l"/>
              <a:t>CAMPBELL SOUP CO</a:t>
            </a:fld>
            <a:endParaRPr lang="en-US" sz="1000" b="0">
              <a:solidFill>
                <a:srgbClr val="646464"/>
              </a:solidFill>
              <a:latin typeface="Arial" panose="020B0604020202020204" pitchFamily="34" charset="0"/>
              <a:cs typeface="Arial" panose="020B0604020202020204" pitchFamily="34" charset="0"/>
            </a:endParaRPr>
          </a:p>
        </xdr:txBody>
      </xdr:sp>
      <xdr:sp macro="" textlink="">
        <xdr:nvSpPr>
          <xdr:cNvPr id="7" name="MedianLabel">
            <a:extLst>
              <a:ext uri="{FF2B5EF4-FFF2-40B4-BE49-F238E27FC236}">
                <a16:creationId xmlns:a16="http://schemas.microsoft.com/office/drawing/2014/main" id="{00000000-0008-0000-0700-000007000000}"/>
              </a:ext>
            </a:extLst>
          </xdr:cNvPr>
          <xdr:cNvSpPr txBox="1"/>
        </xdr:nvSpPr>
        <xdr:spPr>
          <a:xfrm>
            <a:off x="12893867" y="2907"/>
            <a:ext cx="642715" cy="182880"/>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US" sz="1000" b="0">
                <a:solidFill>
                  <a:srgbClr val="646464"/>
                </a:solidFill>
                <a:latin typeface="Arial" panose="020B0604020202020204" pitchFamily="34" charset="0"/>
                <a:cs typeface="Arial" panose="020B0604020202020204" pitchFamily="34" charset="0"/>
              </a:rPr>
              <a:t> Median</a:t>
            </a:r>
          </a:p>
        </xdr:txBody>
      </xdr:sp>
      <xdr:graphicFrame macro="">
        <xdr:nvGraphicFramePr>
          <xdr:cNvPr id="8" name="Chart_C1">
            <a:extLst>
              <a:ext uri="{FF2B5EF4-FFF2-40B4-BE49-F238E27FC236}">
                <a16:creationId xmlns:a16="http://schemas.microsoft.com/office/drawing/2014/main" id="{00000000-0008-0000-0700-000008000000}"/>
              </a:ext>
            </a:extLst>
          </xdr:cNvPr>
          <xdr:cNvGraphicFramePr>
            <a:graphicFrameLocks/>
          </xdr:cNvGraphicFramePr>
        </xdr:nvGraphicFramePr>
        <xdr:xfrm>
          <a:off x="10267951" y="295275"/>
          <a:ext cx="5513885" cy="448056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mc:AlternateContent xmlns:mc="http://schemas.openxmlformats.org/markup-compatibility/2006">
    <mc:Choice xmlns:a14="http://schemas.microsoft.com/office/drawing/2010/main" Requires="a14">
      <xdr:twoCellAnchor>
        <xdr:from>
          <xdr:col>13</xdr:col>
          <xdr:colOff>523875</xdr:colOff>
          <xdr:row>3</xdr:row>
          <xdr:rowOff>76200</xdr:rowOff>
        </xdr:from>
        <xdr:to>
          <xdr:col>15</xdr:col>
          <xdr:colOff>600075</xdr:colOff>
          <xdr:row>5</xdr:row>
          <xdr:rowOff>47625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10</xdr:col>
      <xdr:colOff>206356</xdr:colOff>
      <xdr:row>25</xdr:row>
      <xdr:rowOff>38100</xdr:rowOff>
    </xdr:from>
    <xdr:to>
      <xdr:col>19</xdr:col>
      <xdr:colOff>400049</xdr:colOff>
      <xdr:row>58</xdr:row>
      <xdr:rowOff>0</xdr:rowOff>
    </xdr:to>
    <xdr:grpSp>
      <xdr:nvGrpSpPr>
        <xdr:cNvPr id="2" name="Group">
          <a:extLst>
            <a:ext uri="{FF2B5EF4-FFF2-40B4-BE49-F238E27FC236}">
              <a16:creationId xmlns:a16="http://schemas.microsoft.com/office/drawing/2014/main" id="{00000000-0008-0000-0800-000002000000}"/>
            </a:ext>
          </a:extLst>
        </xdr:cNvPr>
        <xdr:cNvGrpSpPr/>
      </xdr:nvGrpSpPr>
      <xdr:grpSpPr>
        <a:xfrm>
          <a:off x="7520195" y="3609975"/>
          <a:ext cx="5765818" cy="4676775"/>
          <a:chOff x="10267951" y="-120319"/>
          <a:chExt cx="5603730" cy="4936369"/>
        </a:xfrm>
      </xdr:grpSpPr>
      <xdr:cxnSp macro="">
        <xdr:nvCxnSpPr>
          <xdr:cNvPr id="3" name="Divider">
            <a:extLst>
              <a:ext uri="{FF2B5EF4-FFF2-40B4-BE49-F238E27FC236}">
                <a16:creationId xmlns:a16="http://schemas.microsoft.com/office/drawing/2014/main" id="{00000000-0008-0000-0800-000003000000}"/>
              </a:ext>
            </a:extLst>
          </xdr:cNvPr>
          <xdr:cNvCxnSpPr/>
        </xdr:nvCxnSpPr>
        <xdr:spPr>
          <a:xfrm flipV="1">
            <a:off x="15866392" y="-120319"/>
            <a:ext cx="5289" cy="4936369"/>
          </a:xfrm>
          <a:prstGeom prst="line">
            <a:avLst/>
          </a:prstGeom>
          <a:ln>
            <a:solidFill>
              <a:schemeClr val="tx2"/>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4" name="Box_Target">
            <a:extLst>
              <a:ext uri="{FF2B5EF4-FFF2-40B4-BE49-F238E27FC236}">
                <a16:creationId xmlns:a16="http://schemas.microsoft.com/office/drawing/2014/main" id="{00000000-0008-0000-0800-000004000000}"/>
              </a:ext>
            </a:extLst>
          </xdr:cNvPr>
          <xdr:cNvSpPr txBox="1"/>
        </xdr:nvSpPr>
        <xdr:spPr>
          <a:xfrm>
            <a:off x="10323679" y="-6576"/>
            <a:ext cx="182880" cy="182880"/>
          </a:xfrm>
          <a:prstGeom prst="flowChartConnector">
            <a:avLst/>
          </a:prstGeom>
          <a:solidFill>
            <a:srgbClr val="5E8AB4"/>
          </a:solidFill>
          <a:ln w="9525" cmpd="sng">
            <a:solidFill>
              <a:srgbClr val="538AB4"/>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
        <xdr:nvSpPr>
          <xdr:cNvPr id="5" name="Box_Median">
            <a:extLst>
              <a:ext uri="{FF2B5EF4-FFF2-40B4-BE49-F238E27FC236}">
                <a16:creationId xmlns:a16="http://schemas.microsoft.com/office/drawing/2014/main" id="{00000000-0008-0000-0800-000005000000}"/>
              </a:ext>
            </a:extLst>
          </xdr:cNvPr>
          <xdr:cNvSpPr txBox="1"/>
        </xdr:nvSpPr>
        <xdr:spPr>
          <a:xfrm>
            <a:off x="12675101" y="-6578"/>
            <a:ext cx="182880" cy="182880"/>
          </a:xfrm>
          <a:prstGeom prst="flowChartConnector">
            <a:avLst/>
          </a:prstGeom>
          <a:solidFill>
            <a:srgbClr val="FFC000"/>
          </a:solidFill>
          <a:ln w="9525" cmpd="sng">
            <a:solidFill>
              <a:srgbClr val="FFC000"/>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Data!B25">
        <xdr:nvSpPr>
          <xdr:cNvPr id="6" name="BenchmarkLabel">
            <a:extLst>
              <a:ext uri="{FF2B5EF4-FFF2-40B4-BE49-F238E27FC236}">
                <a16:creationId xmlns:a16="http://schemas.microsoft.com/office/drawing/2014/main" id="{00000000-0008-0000-0800-000006000000}"/>
              </a:ext>
            </a:extLst>
          </xdr:cNvPr>
          <xdr:cNvSpPr txBox="1"/>
        </xdr:nvSpPr>
        <xdr:spPr>
          <a:xfrm>
            <a:off x="10543461" y="2907"/>
            <a:ext cx="2062243" cy="176494"/>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fld id="{F8BD6767-8D79-4540-B91F-A932C612B904}" type="TxLink">
              <a:rPr lang="en-US" sz="1000" b="0" i="0" u="none" strike="noStrike">
                <a:solidFill>
                  <a:srgbClr val="646464"/>
                </a:solidFill>
                <a:latin typeface="Arial" panose="020B0604020202020204" pitchFamily="34" charset="0"/>
                <a:cs typeface="Arial" panose="020B0604020202020204" pitchFamily="34" charset="0"/>
              </a:rPr>
              <a:pPr algn="l"/>
              <a:t>CAMPBELL SOUP CO</a:t>
            </a:fld>
            <a:endParaRPr lang="en-US" sz="1000" b="0">
              <a:solidFill>
                <a:srgbClr val="646464"/>
              </a:solidFill>
              <a:latin typeface="Arial" panose="020B0604020202020204" pitchFamily="34" charset="0"/>
              <a:cs typeface="Arial" panose="020B0604020202020204" pitchFamily="34" charset="0"/>
            </a:endParaRPr>
          </a:p>
        </xdr:txBody>
      </xdr:sp>
      <xdr:sp macro="" textlink="">
        <xdr:nvSpPr>
          <xdr:cNvPr id="7" name="MedianLabel">
            <a:extLst>
              <a:ext uri="{FF2B5EF4-FFF2-40B4-BE49-F238E27FC236}">
                <a16:creationId xmlns:a16="http://schemas.microsoft.com/office/drawing/2014/main" id="{00000000-0008-0000-0800-000007000000}"/>
              </a:ext>
            </a:extLst>
          </xdr:cNvPr>
          <xdr:cNvSpPr txBox="1"/>
        </xdr:nvSpPr>
        <xdr:spPr>
          <a:xfrm>
            <a:off x="12893867" y="2907"/>
            <a:ext cx="642715" cy="182880"/>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US" sz="1000" b="0">
                <a:solidFill>
                  <a:srgbClr val="646464"/>
                </a:solidFill>
                <a:latin typeface="Arial" panose="020B0604020202020204" pitchFamily="34" charset="0"/>
                <a:cs typeface="Arial" panose="020B0604020202020204" pitchFamily="34" charset="0"/>
              </a:rPr>
              <a:t> Median</a:t>
            </a:r>
          </a:p>
        </xdr:txBody>
      </xdr:sp>
      <xdr:graphicFrame macro="">
        <xdr:nvGraphicFramePr>
          <xdr:cNvPr id="8" name="Chart_C1">
            <a:extLst>
              <a:ext uri="{FF2B5EF4-FFF2-40B4-BE49-F238E27FC236}">
                <a16:creationId xmlns:a16="http://schemas.microsoft.com/office/drawing/2014/main" id="{00000000-0008-0000-0800-000008000000}"/>
              </a:ext>
            </a:extLst>
          </xdr:cNvPr>
          <xdr:cNvGraphicFramePr>
            <a:graphicFrameLocks/>
          </xdr:cNvGraphicFramePr>
        </xdr:nvGraphicFramePr>
        <xdr:xfrm>
          <a:off x="10267951" y="295275"/>
          <a:ext cx="5513885" cy="448056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mc:AlternateContent xmlns:mc="http://schemas.openxmlformats.org/markup-compatibility/2006">
    <mc:Choice xmlns:a14="http://schemas.microsoft.com/office/drawing/2010/main" Requires="a14">
      <xdr:twoCellAnchor>
        <xdr:from>
          <xdr:col>13</xdr:col>
          <xdr:colOff>523875</xdr:colOff>
          <xdr:row>3</xdr:row>
          <xdr:rowOff>76200</xdr:rowOff>
        </xdr:from>
        <xdr:to>
          <xdr:col>15</xdr:col>
          <xdr:colOff>600075</xdr:colOff>
          <xdr:row>5</xdr:row>
          <xdr:rowOff>47625</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800-0000019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10</xdr:col>
      <xdr:colOff>206357</xdr:colOff>
      <xdr:row>25</xdr:row>
      <xdr:rowOff>76200</xdr:rowOff>
    </xdr:from>
    <xdr:to>
      <xdr:col>19</xdr:col>
      <xdr:colOff>361950</xdr:colOff>
      <xdr:row>58</xdr:row>
      <xdr:rowOff>0</xdr:rowOff>
    </xdr:to>
    <xdr:grpSp>
      <xdr:nvGrpSpPr>
        <xdr:cNvPr id="2" name="Group">
          <a:extLst>
            <a:ext uri="{FF2B5EF4-FFF2-40B4-BE49-F238E27FC236}">
              <a16:creationId xmlns:a16="http://schemas.microsoft.com/office/drawing/2014/main" id="{00000000-0008-0000-0900-000002000000}"/>
            </a:ext>
          </a:extLst>
        </xdr:cNvPr>
        <xdr:cNvGrpSpPr/>
      </xdr:nvGrpSpPr>
      <xdr:grpSpPr>
        <a:xfrm>
          <a:off x="7502507" y="3648075"/>
          <a:ext cx="5708668" cy="4610100"/>
          <a:chOff x="10267951" y="-80571"/>
          <a:chExt cx="5566578" cy="4896876"/>
        </a:xfrm>
      </xdr:grpSpPr>
      <xdr:cxnSp macro="">
        <xdr:nvCxnSpPr>
          <xdr:cNvPr id="3" name="Divider">
            <a:extLst>
              <a:ext uri="{FF2B5EF4-FFF2-40B4-BE49-F238E27FC236}">
                <a16:creationId xmlns:a16="http://schemas.microsoft.com/office/drawing/2014/main" id="{00000000-0008-0000-0900-000003000000}"/>
              </a:ext>
            </a:extLst>
          </xdr:cNvPr>
          <xdr:cNvCxnSpPr/>
        </xdr:nvCxnSpPr>
        <xdr:spPr>
          <a:xfrm flipV="1">
            <a:off x="15834529" y="-80571"/>
            <a:ext cx="0" cy="4896876"/>
          </a:xfrm>
          <a:prstGeom prst="line">
            <a:avLst/>
          </a:prstGeom>
          <a:ln>
            <a:solidFill>
              <a:schemeClr val="tx2"/>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4" name="Box_Target">
            <a:extLst>
              <a:ext uri="{FF2B5EF4-FFF2-40B4-BE49-F238E27FC236}">
                <a16:creationId xmlns:a16="http://schemas.microsoft.com/office/drawing/2014/main" id="{00000000-0008-0000-0900-000004000000}"/>
              </a:ext>
            </a:extLst>
          </xdr:cNvPr>
          <xdr:cNvSpPr txBox="1"/>
        </xdr:nvSpPr>
        <xdr:spPr>
          <a:xfrm>
            <a:off x="10323679" y="-6576"/>
            <a:ext cx="182880" cy="182880"/>
          </a:xfrm>
          <a:prstGeom prst="flowChartConnector">
            <a:avLst/>
          </a:prstGeom>
          <a:solidFill>
            <a:srgbClr val="5E8AB4"/>
          </a:solidFill>
          <a:ln w="9525" cmpd="sng">
            <a:solidFill>
              <a:srgbClr val="538AB4"/>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
        <xdr:nvSpPr>
          <xdr:cNvPr id="5" name="Box_Median">
            <a:extLst>
              <a:ext uri="{FF2B5EF4-FFF2-40B4-BE49-F238E27FC236}">
                <a16:creationId xmlns:a16="http://schemas.microsoft.com/office/drawing/2014/main" id="{00000000-0008-0000-0900-000005000000}"/>
              </a:ext>
            </a:extLst>
          </xdr:cNvPr>
          <xdr:cNvSpPr txBox="1"/>
        </xdr:nvSpPr>
        <xdr:spPr>
          <a:xfrm>
            <a:off x="12675101" y="-6578"/>
            <a:ext cx="182880" cy="182880"/>
          </a:xfrm>
          <a:prstGeom prst="flowChartConnector">
            <a:avLst/>
          </a:prstGeom>
          <a:solidFill>
            <a:srgbClr val="FFC000"/>
          </a:solidFill>
          <a:ln w="9525" cmpd="sng">
            <a:solidFill>
              <a:srgbClr val="FFC000"/>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Data!B25">
        <xdr:nvSpPr>
          <xdr:cNvPr id="6" name="BenchmarkLabel">
            <a:extLst>
              <a:ext uri="{FF2B5EF4-FFF2-40B4-BE49-F238E27FC236}">
                <a16:creationId xmlns:a16="http://schemas.microsoft.com/office/drawing/2014/main" id="{00000000-0008-0000-0900-000006000000}"/>
              </a:ext>
            </a:extLst>
          </xdr:cNvPr>
          <xdr:cNvSpPr txBox="1"/>
        </xdr:nvSpPr>
        <xdr:spPr>
          <a:xfrm>
            <a:off x="10543461" y="2907"/>
            <a:ext cx="2062243" cy="176494"/>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fld id="{126C8465-590C-4875-AA05-BECC98C8E246}" type="TxLink">
              <a:rPr lang="en-US" sz="1000" b="0" i="0" u="none" strike="noStrike">
                <a:solidFill>
                  <a:srgbClr val="646464"/>
                </a:solidFill>
                <a:latin typeface="Arial" panose="020B0604020202020204" pitchFamily="34" charset="0"/>
                <a:cs typeface="Arial" panose="020B0604020202020204" pitchFamily="34" charset="0"/>
              </a:rPr>
              <a:pPr algn="l"/>
              <a:t>CAMPBELL SOUP CO</a:t>
            </a:fld>
            <a:endParaRPr lang="en-US" sz="1000" b="0">
              <a:solidFill>
                <a:srgbClr val="646464"/>
              </a:solidFill>
              <a:latin typeface="Arial" panose="020B0604020202020204" pitchFamily="34" charset="0"/>
              <a:cs typeface="Arial" panose="020B0604020202020204" pitchFamily="34" charset="0"/>
            </a:endParaRPr>
          </a:p>
        </xdr:txBody>
      </xdr:sp>
      <xdr:sp macro="" textlink="">
        <xdr:nvSpPr>
          <xdr:cNvPr id="7" name="MedianLabel">
            <a:extLst>
              <a:ext uri="{FF2B5EF4-FFF2-40B4-BE49-F238E27FC236}">
                <a16:creationId xmlns:a16="http://schemas.microsoft.com/office/drawing/2014/main" id="{00000000-0008-0000-0900-000007000000}"/>
              </a:ext>
            </a:extLst>
          </xdr:cNvPr>
          <xdr:cNvSpPr txBox="1"/>
        </xdr:nvSpPr>
        <xdr:spPr>
          <a:xfrm>
            <a:off x="12893867" y="2907"/>
            <a:ext cx="642715" cy="182880"/>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US" sz="1000" b="0">
                <a:solidFill>
                  <a:srgbClr val="646464"/>
                </a:solidFill>
                <a:latin typeface="Arial" panose="020B0604020202020204" pitchFamily="34" charset="0"/>
                <a:cs typeface="Arial" panose="020B0604020202020204" pitchFamily="34" charset="0"/>
              </a:rPr>
              <a:t> Median</a:t>
            </a:r>
          </a:p>
        </xdr:txBody>
      </xdr:sp>
      <xdr:graphicFrame macro="">
        <xdr:nvGraphicFramePr>
          <xdr:cNvPr id="8" name="Chart_C1">
            <a:extLst>
              <a:ext uri="{FF2B5EF4-FFF2-40B4-BE49-F238E27FC236}">
                <a16:creationId xmlns:a16="http://schemas.microsoft.com/office/drawing/2014/main" id="{00000000-0008-0000-0900-000008000000}"/>
              </a:ext>
            </a:extLst>
          </xdr:cNvPr>
          <xdr:cNvGraphicFramePr>
            <a:graphicFrameLocks/>
          </xdr:cNvGraphicFramePr>
        </xdr:nvGraphicFramePr>
        <xdr:xfrm>
          <a:off x="10267951" y="295275"/>
          <a:ext cx="5513885" cy="448056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mc:AlternateContent xmlns:mc="http://schemas.openxmlformats.org/markup-compatibility/2006">
    <mc:Choice xmlns:a14="http://schemas.microsoft.com/office/drawing/2010/main" Requires="a14">
      <xdr:twoCellAnchor>
        <xdr:from>
          <xdr:col>13</xdr:col>
          <xdr:colOff>523875</xdr:colOff>
          <xdr:row>3</xdr:row>
          <xdr:rowOff>76200</xdr:rowOff>
        </xdr:from>
        <xdr:to>
          <xdr:col>15</xdr:col>
          <xdr:colOff>600075</xdr:colOff>
          <xdr:row>5</xdr:row>
          <xdr:rowOff>47625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900-000001B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10</xdr:col>
      <xdr:colOff>206357</xdr:colOff>
      <xdr:row>25</xdr:row>
      <xdr:rowOff>114300</xdr:rowOff>
    </xdr:from>
    <xdr:to>
      <xdr:col>19</xdr:col>
      <xdr:colOff>390525</xdr:colOff>
      <xdr:row>58</xdr:row>
      <xdr:rowOff>47625</xdr:rowOff>
    </xdr:to>
    <xdr:grpSp>
      <xdr:nvGrpSpPr>
        <xdr:cNvPr id="2" name="Group">
          <a:extLst>
            <a:ext uri="{FF2B5EF4-FFF2-40B4-BE49-F238E27FC236}">
              <a16:creationId xmlns:a16="http://schemas.microsoft.com/office/drawing/2014/main" id="{00000000-0008-0000-0A00-000002000000}"/>
            </a:ext>
          </a:extLst>
        </xdr:cNvPr>
        <xdr:cNvGrpSpPr/>
      </xdr:nvGrpSpPr>
      <xdr:grpSpPr>
        <a:xfrm>
          <a:off x="7502507" y="3686175"/>
          <a:ext cx="5737243" cy="4638675"/>
          <a:chOff x="10267951" y="-39960"/>
          <a:chExt cx="5594442" cy="4906469"/>
        </a:xfrm>
      </xdr:grpSpPr>
      <xdr:cxnSp macro="">
        <xdr:nvCxnSpPr>
          <xdr:cNvPr id="3" name="Divider">
            <a:extLst>
              <a:ext uri="{FF2B5EF4-FFF2-40B4-BE49-F238E27FC236}">
                <a16:creationId xmlns:a16="http://schemas.microsoft.com/office/drawing/2014/main" id="{00000000-0008-0000-0A00-000003000000}"/>
              </a:ext>
            </a:extLst>
          </xdr:cNvPr>
          <xdr:cNvCxnSpPr/>
        </xdr:nvCxnSpPr>
        <xdr:spPr>
          <a:xfrm flipH="1" flipV="1">
            <a:off x="15853105" y="-39960"/>
            <a:ext cx="9288" cy="4906469"/>
          </a:xfrm>
          <a:prstGeom prst="line">
            <a:avLst/>
          </a:prstGeom>
          <a:ln>
            <a:solidFill>
              <a:schemeClr val="tx2"/>
            </a:solidFill>
            <a:prstDash val="sysDash"/>
          </a:ln>
        </xdr:spPr>
        <xdr:style>
          <a:lnRef idx="1">
            <a:schemeClr val="accent1"/>
          </a:lnRef>
          <a:fillRef idx="0">
            <a:schemeClr val="accent1"/>
          </a:fillRef>
          <a:effectRef idx="0">
            <a:schemeClr val="accent1"/>
          </a:effectRef>
          <a:fontRef idx="minor">
            <a:schemeClr val="tx1"/>
          </a:fontRef>
        </xdr:style>
      </xdr:cxnSp>
      <xdr:sp macro="" textlink="">
        <xdr:nvSpPr>
          <xdr:cNvPr id="4" name="Box_Target">
            <a:extLst>
              <a:ext uri="{FF2B5EF4-FFF2-40B4-BE49-F238E27FC236}">
                <a16:creationId xmlns:a16="http://schemas.microsoft.com/office/drawing/2014/main" id="{00000000-0008-0000-0A00-000004000000}"/>
              </a:ext>
            </a:extLst>
          </xdr:cNvPr>
          <xdr:cNvSpPr txBox="1"/>
        </xdr:nvSpPr>
        <xdr:spPr>
          <a:xfrm>
            <a:off x="10323679" y="-6576"/>
            <a:ext cx="182880" cy="182880"/>
          </a:xfrm>
          <a:prstGeom prst="flowChartConnector">
            <a:avLst/>
          </a:prstGeom>
          <a:solidFill>
            <a:srgbClr val="5E8AB4"/>
          </a:solidFill>
          <a:ln w="9525" cmpd="sng">
            <a:solidFill>
              <a:srgbClr val="538AB4"/>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
        <xdr:nvSpPr>
          <xdr:cNvPr id="5" name="Box_Median">
            <a:extLst>
              <a:ext uri="{FF2B5EF4-FFF2-40B4-BE49-F238E27FC236}">
                <a16:creationId xmlns:a16="http://schemas.microsoft.com/office/drawing/2014/main" id="{00000000-0008-0000-0A00-000005000000}"/>
              </a:ext>
            </a:extLst>
          </xdr:cNvPr>
          <xdr:cNvSpPr txBox="1"/>
        </xdr:nvSpPr>
        <xdr:spPr>
          <a:xfrm>
            <a:off x="12675101" y="-6578"/>
            <a:ext cx="182880" cy="182880"/>
          </a:xfrm>
          <a:prstGeom prst="flowChartConnector">
            <a:avLst/>
          </a:prstGeom>
          <a:solidFill>
            <a:srgbClr val="FFC000"/>
          </a:solidFill>
          <a:ln w="9525" cmpd="sng">
            <a:solidFill>
              <a:srgbClr val="FFC000"/>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endParaRPr lang="en-US" sz="1100" b="1"/>
          </a:p>
        </xdr:txBody>
      </xdr:sp>
      <xdr:sp macro="" textlink="Data!B25">
        <xdr:nvSpPr>
          <xdr:cNvPr id="6" name="BenchmarkLabel">
            <a:extLst>
              <a:ext uri="{FF2B5EF4-FFF2-40B4-BE49-F238E27FC236}">
                <a16:creationId xmlns:a16="http://schemas.microsoft.com/office/drawing/2014/main" id="{00000000-0008-0000-0A00-000006000000}"/>
              </a:ext>
            </a:extLst>
          </xdr:cNvPr>
          <xdr:cNvSpPr txBox="1"/>
        </xdr:nvSpPr>
        <xdr:spPr>
          <a:xfrm>
            <a:off x="10543461" y="2907"/>
            <a:ext cx="2062243" cy="176494"/>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fld id="{7AD8B720-B2CF-4EB5-A8DD-1C317A4C359E}" type="TxLink">
              <a:rPr lang="en-US" sz="1000" b="0" i="0" u="none" strike="noStrike">
                <a:solidFill>
                  <a:srgbClr val="646464"/>
                </a:solidFill>
                <a:latin typeface="Arial" panose="020B0604020202020204" pitchFamily="34" charset="0"/>
                <a:cs typeface="Arial" panose="020B0604020202020204" pitchFamily="34" charset="0"/>
              </a:rPr>
              <a:pPr algn="l"/>
              <a:t>CAMPBELL SOUP CO</a:t>
            </a:fld>
            <a:endParaRPr lang="en-US" sz="1000" b="0">
              <a:solidFill>
                <a:srgbClr val="646464"/>
              </a:solidFill>
              <a:latin typeface="Arial" panose="020B0604020202020204" pitchFamily="34" charset="0"/>
              <a:cs typeface="Arial" panose="020B0604020202020204" pitchFamily="34" charset="0"/>
            </a:endParaRPr>
          </a:p>
        </xdr:txBody>
      </xdr:sp>
      <xdr:sp macro="" textlink="">
        <xdr:nvSpPr>
          <xdr:cNvPr id="7" name="MedianLabel">
            <a:extLst>
              <a:ext uri="{FF2B5EF4-FFF2-40B4-BE49-F238E27FC236}">
                <a16:creationId xmlns:a16="http://schemas.microsoft.com/office/drawing/2014/main" id="{00000000-0008-0000-0A00-000007000000}"/>
              </a:ext>
            </a:extLst>
          </xdr:cNvPr>
          <xdr:cNvSpPr txBox="1"/>
        </xdr:nvSpPr>
        <xdr:spPr>
          <a:xfrm>
            <a:off x="12893867" y="2907"/>
            <a:ext cx="642715" cy="182880"/>
          </a:xfrm>
          <a:prstGeom prst="rect">
            <a:avLst/>
          </a:prstGeom>
          <a:solidFill>
            <a:srgbClr val="FFFFFF">
              <a:alpha val="0"/>
            </a:srgb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r>
              <a:rPr lang="en-US" sz="1000" b="0">
                <a:solidFill>
                  <a:srgbClr val="646464"/>
                </a:solidFill>
                <a:latin typeface="Arial" panose="020B0604020202020204" pitchFamily="34" charset="0"/>
                <a:cs typeface="Arial" panose="020B0604020202020204" pitchFamily="34" charset="0"/>
              </a:rPr>
              <a:t> Median</a:t>
            </a:r>
          </a:p>
        </xdr:txBody>
      </xdr:sp>
      <xdr:graphicFrame macro="">
        <xdr:nvGraphicFramePr>
          <xdr:cNvPr id="8" name="Chart_C1">
            <a:extLst>
              <a:ext uri="{FF2B5EF4-FFF2-40B4-BE49-F238E27FC236}">
                <a16:creationId xmlns:a16="http://schemas.microsoft.com/office/drawing/2014/main" id="{00000000-0008-0000-0A00-000008000000}"/>
              </a:ext>
            </a:extLst>
          </xdr:cNvPr>
          <xdr:cNvGraphicFramePr>
            <a:graphicFrameLocks/>
          </xdr:cNvGraphicFramePr>
        </xdr:nvGraphicFramePr>
        <xdr:xfrm>
          <a:off x="10267951" y="295275"/>
          <a:ext cx="5513885" cy="4480560"/>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mc:AlternateContent xmlns:mc="http://schemas.openxmlformats.org/markup-compatibility/2006">
    <mc:Choice xmlns:a14="http://schemas.microsoft.com/office/drawing/2010/main" Requires="a14">
      <xdr:twoCellAnchor>
        <xdr:from>
          <xdr:col>13</xdr:col>
          <xdr:colOff>523875</xdr:colOff>
          <xdr:row>3</xdr:row>
          <xdr:rowOff>76200</xdr:rowOff>
        </xdr:from>
        <xdr:to>
          <xdr:col>15</xdr:col>
          <xdr:colOff>600075</xdr:colOff>
          <xdr:row>5</xdr:row>
          <xdr:rowOff>47625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11</xdr:col>
      <xdr:colOff>600075</xdr:colOff>
      <xdr:row>44</xdr:row>
      <xdr:rowOff>123825</xdr:rowOff>
    </xdr:from>
    <xdr:to>
      <xdr:col>21</xdr:col>
      <xdr:colOff>9524</xdr:colOff>
      <xdr:row>67</xdr:row>
      <xdr:rowOff>26050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12</xdr:col>
          <xdr:colOff>114300</xdr:colOff>
          <xdr:row>0</xdr:row>
          <xdr:rowOff>123825</xdr:rowOff>
        </xdr:from>
        <xdr:to>
          <xdr:col>13</xdr:col>
          <xdr:colOff>561975</xdr:colOff>
          <xdr:row>2</xdr:row>
          <xdr:rowOff>95250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B00-00000108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581026</xdr:colOff>
      <xdr:row>1</xdr:row>
      <xdr:rowOff>1</xdr:rowOff>
    </xdr:from>
    <xdr:to>
      <xdr:col>14</xdr:col>
      <xdr:colOff>447676</xdr:colOff>
      <xdr:row>32</xdr:row>
      <xdr:rowOff>28576</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485775</xdr:colOff>
          <xdr:row>7</xdr:row>
          <xdr:rowOff>123825</xdr:rowOff>
        </xdr:from>
        <xdr:to>
          <xdr:col>19</xdr:col>
          <xdr:colOff>323850</xdr:colOff>
          <xdr:row>9</xdr:row>
          <xdr:rowOff>95250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C00-0000010C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15</xdr:row>
          <xdr:rowOff>38100</xdr:rowOff>
        </xdr:from>
        <xdr:to>
          <xdr:col>10</xdr:col>
          <xdr:colOff>514350</xdr:colOff>
          <xdr:row>16</xdr:row>
          <xdr:rowOff>114300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twoCellAnchor>
    <xdr:from>
      <xdr:col>11</xdr:col>
      <xdr:colOff>381000</xdr:colOff>
      <xdr:row>2</xdr:row>
      <xdr:rowOff>133350</xdr:rowOff>
    </xdr:from>
    <xdr:to>
      <xdr:col>26</xdr:col>
      <xdr:colOff>127000</xdr:colOff>
      <xdr:row>20</xdr:row>
      <xdr:rowOff>78104</xdr:rowOff>
    </xdr:to>
    <xdr:grpSp>
      <xdr:nvGrpSpPr>
        <xdr:cNvPr id="15363" name="Group">
          <a:extLst>
            <a:ext uri="{FF2B5EF4-FFF2-40B4-BE49-F238E27FC236}">
              <a16:creationId xmlns:a16="http://schemas.microsoft.com/office/drawing/2014/main" id="{00000000-0008-0000-0D00-0000033C0000}"/>
            </a:ext>
          </a:extLst>
        </xdr:cNvPr>
        <xdr:cNvGrpSpPr/>
      </xdr:nvGrpSpPr>
      <xdr:grpSpPr>
        <a:xfrm>
          <a:off x="10715625" y="419100"/>
          <a:ext cx="8890000" cy="2516504"/>
          <a:chOff x="1209675" y="4772025"/>
          <a:chExt cx="8890000" cy="2516504"/>
        </a:xfrm>
      </xdr:grpSpPr>
      <xdr:sp macro="" textlink="$B$1">
        <xdr:nvSpPr>
          <xdr:cNvPr id="3" name="RectB1">
            <a:extLst>
              <a:ext uri="{FF2B5EF4-FFF2-40B4-BE49-F238E27FC236}">
                <a16:creationId xmlns:a16="http://schemas.microsoft.com/office/drawing/2014/main" id="{00000000-0008-0000-0D00-000003000000}"/>
              </a:ext>
            </a:extLst>
          </xdr:cNvPr>
          <xdr:cNvSpPr/>
        </xdr:nvSpPr>
        <xdr:spPr>
          <a:xfrm>
            <a:off x="1209675" y="4772025"/>
            <a:ext cx="2222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35CE51-937F-4E1D-AA56-194F765801BE}" type="TxLink">
              <a:rPr lang="en-US" sz="1000" b="1" i="0" u="none" strike="noStrike">
                <a:solidFill>
                  <a:schemeClr val="bg1"/>
                </a:solidFill>
                <a:latin typeface="Arial" panose="020B0604020202020204" pitchFamily="34" charset="0"/>
                <a:cs typeface="Arial" panose="020B0604020202020204" pitchFamily="34" charset="0"/>
              </a:rPr>
              <a:pPr algn="ctr"/>
              <a:t>Liquidity Indicators</a:t>
            </a:fld>
            <a:endParaRPr lang="en-US" sz="1000" b="1">
              <a:solidFill>
                <a:schemeClr val="bg1"/>
              </a:solidFill>
              <a:latin typeface="Arial" panose="020B0604020202020204" pitchFamily="34" charset="0"/>
              <a:cs typeface="Arial" panose="020B0604020202020204" pitchFamily="34" charset="0"/>
            </a:endParaRPr>
          </a:p>
        </xdr:txBody>
      </xdr:sp>
      <xdr:sp macro="" textlink="$C$1">
        <xdr:nvSpPr>
          <xdr:cNvPr id="5" name="RectC1">
            <a:extLst>
              <a:ext uri="{FF2B5EF4-FFF2-40B4-BE49-F238E27FC236}">
                <a16:creationId xmlns:a16="http://schemas.microsoft.com/office/drawing/2014/main" id="{00000000-0008-0000-0D00-000005000000}"/>
              </a:ext>
            </a:extLst>
          </xdr:cNvPr>
          <xdr:cNvSpPr/>
        </xdr:nvSpPr>
        <xdr:spPr>
          <a:xfrm>
            <a:off x="3432175" y="4772025"/>
            <a:ext cx="1587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0E02EC-EF96-42AA-80E3-AF1D2BDB0C73}" type="TxLink">
              <a:rPr lang="en-US" sz="1000" b="1" i="0" u="none" strike="noStrike">
                <a:solidFill>
                  <a:schemeClr val="bg1"/>
                </a:solidFill>
                <a:latin typeface="Arial" panose="020B0604020202020204" pitchFamily="34" charset="0"/>
                <a:cs typeface="Arial" panose="020B0604020202020204" pitchFamily="34" charset="0"/>
              </a:rPr>
              <a:pPr algn="ctr"/>
              <a:t>Metric Formula</a:t>
            </a:fld>
            <a:endParaRPr lang="en-US" sz="1000" b="1">
              <a:solidFill>
                <a:schemeClr val="bg1"/>
              </a:solidFill>
              <a:latin typeface="Arial" panose="020B0604020202020204" pitchFamily="34" charset="0"/>
              <a:cs typeface="Arial" panose="020B0604020202020204" pitchFamily="34" charset="0"/>
            </a:endParaRPr>
          </a:p>
        </xdr:txBody>
      </xdr:sp>
      <xdr:sp macro="" textlink="$D$1">
        <xdr:nvSpPr>
          <xdr:cNvPr id="6" name="RectD1">
            <a:extLst>
              <a:ext uri="{FF2B5EF4-FFF2-40B4-BE49-F238E27FC236}">
                <a16:creationId xmlns:a16="http://schemas.microsoft.com/office/drawing/2014/main" id="{00000000-0008-0000-0D00-000006000000}"/>
              </a:ext>
            </a:extLst>
          </xdr:cNvPr>
          <xdr:cNvSpPr/>
        </xdr:nvSpPr>
        <xdr:spPr>
          <a:xfrm>
            <a:off x="5019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E38089-32EE-450E-A3EA-F999A02EC0CC}" type="TxLink">
              <a:rPr lang="en-US" sz="1000" b="1" i="0" u="none" strike="noStrike">
                <a:solidFill>
                  <a:schemeClr val="bg1"/>
                </a:solidFill>
                <a:latin typeface="Arial" panose="020B0604020202020204" pitchFamily="34" charset="0"/>
                <a:cs typeface="Arial" panose="020B0604020202020204" pitchFamily="34" charset="0"/>
              </a:rPr>
              <a:pPr algn="ctr"/>
              <a:t>Health Indicator</a:t>
            </a:fld>
            <a:endParaRPr lang="en-US" sz="1000" b="1">
              <a:solidFill>
                <a:schemeClr val="bg1"/>
              </a:solidFill>
              <a:latin typeface="Arial" panose="020B0604020202020204" pitchFamily="34" charset="0"/>
              <a:cs typeface="Arial" panose="020B0604020202020204" pitchFamily="34" charset="0"/>
            </a:endParaRPr>
          </a:p>
        </xdr:txBody>
      </xdr:sp>
      <xdr:sp macro="" textlink="$E$1">
        <xdr:nvSpPr>
          <xdr:cNvPr id="7" name="RectE1">
            <a:extLst>
              <a:ext uri="{FF2B5EF4-FFF2-40B4-BE49-F238E27FC236}">
                <a16:creationId xmlns:a16="http://schemas.microsoft.com/office/drawing/2014/main" id="{00000000-0008-0000-0D00-000007000000}"/>
              </a:ext>
            </a:extLst>
          </xdr:cNvPr>
          <xdr:cNvSpPr/>
        </xdr:nvSpPr>
        <xdr:spPr>
          <a:xfrm>
            <a:off x="6035675" y="4772025"/>
            <a:ext cx="1016000" cy="514350"/>
          </a:xfrm>
          <a:prstGeom prst="rect">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A9B23E-67F1-4B05-9D74-0BFB7065E80C}" type="TxLink">
              <a:rPr lang="en-US" sz="1000" b="1" i="0" u="none" strike="noStrike">
                <a:solidFill>
                  <a:sysClr val="windowText" lastClr="000000"/>
                </a:solidFill>
                <a:latin typeface="Arial" panose="020B0604020202020204" pitchFamily="34" charset="0"/>
                <a:cs typeface="Arial" panose="020B0604020202020204" pitchFamily="34" charset="0"/>
              </a:rPr>
              <a:pPr algn="ctr"/>
              <a:t>CAMPBELL SOUP CO</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F$1">
        <xdr:nvSpPr>
          <xdr:cNvPr id="8" name="RectF1">
            <a:extLst>
              <a:ext uri="{FF2B5EF4-FFF2-40B4-BE49-F238E27FC236}">
                <a16:creationId xmlns:a16="http://schemas.microsoft.com/office/drawing/2014/main" id="{00000000-0008-0000-0D00-000008000000}"/>
              </a:ext>
            </a:extLst>
          </xdr:cNvPr>
          <xdr:cNvSpPr/>
        </xdr:nvSpPr>
        <xdr:spPr>
          <a:xfrm>
            <a:off x="7051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2B8644-17C3-47C1-A264-509039EE7B9E}" type="TxLink">
              <a:rPr lang="en-US" sz="1000" b="1" i="0" u="none" strike="noStrike">
                <a:solidFill>
                  <a:schemeClr val="bg1"/>
                </a:solidFill>
                <a:latin typeface="Arial" panose="020B0604020202020204" pitchFamily="34" charset="0"/>
                <a:cs typeface="Arial" panose="020B0604020202020204" pitchFamily="34" charset="0"/>
              </a:rPr>
              <a:pPr algn="ctr"/>
              <a:t>Bottom Q</a:t>
            </a:fld>
            <a:endParaRPr lang="en-US" sz="1000" b="1">
              <a:solidFill>
                <a:schemeClr val="bg1"/>
              </a:solidFill>
              <a:latin typeface="Arial" panose="020B0604020202020204" pitchFamily="34" charset="0"/>
              <a:cs typeface="Arial" panose="020B0604020202020204" pitchFamily="34" charset="0"/>
            </a:endParaRPr>
          </a:p>
        </xdr:txBody>
      </xdr:sp>
      <xdr:sp macro="" textlink="$G$1">
        <xdr:nvSpPr>
          <xdr:cNvPr id="9" name="RectG1">
            <a:extLst>
              <a:ext uri="{FF2B5EF4-FFF2-40B4-BE49-F238E27FC236}">
                <a16:creationId xmlns:a16="http://schemas.microsoft.com/office/drawing/2014/main" id="{00000000-0008-0000-0D00-000009000000}"/>
              </a:ext>
            </a:extLst>
          </xdr:cNvPr>
          <xdr:cNvSpPr/>
        </xdr:nvSpPr>
        <xdr:spPr>
          <a:xfrm>
            <a:off x="8067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87807FE-C68C-4AFC-A866-BC1144B20A57}" type="TxLink">
              <a:rPr lang="en-US" sz="1000" b="1" i="0" u="none" strike="noStrike">
                <a:solidFill>
                  <a:schemeClr val="bg1"/>
                </a:solidFill>
                <a:latin typeface="Arial" panose="020B0604020202020204" pitchFamily="34" charset="0"/>
                <a:cs typeface="Arial" panose="020B0604020202020204" pitchFamily="34" charset="0"/>
              </a:rPr>
              <a:pPr algn="ctr"/>
              <a:t>Industry Median</a:t>
            </a:fld>
            <a:endParaRPr lang="en-US" sz="1000" b="1">
              <a:solidFill>
                <a:schemeClr val="bg1"/>
              </a:solidFill>
              <a:latin typeface="Arial" panose="020B0604020202020204" pitchFamily="34" charset="0"/>
              <a:cs typeface="Arial" panose="020B0604020202020204" pitchFamily="34" charset="0"/>
            </a:endParaRPr>
          </a:p>
        </xdr:txBody>
      </xdr:sp>
      <xdr:sp macro="" textlink="$H$1">
        <xdr:nvSpPr>
          <xdr:cNvPr id="10" name="RectH1">
            <a:extLst>
              <a:ext uri="{FF2B5EF4-FFF2-40B4-BE49-F238E27FC236}">
                <a16:creationId xmlns:a16="http://schemas.microsoft.com/office/drawing/2014/main" id="{00000000-0008-0000-0D00-00000A000000}"/>
              </a:ext>
            </a:extLst>
          </xdr:cNvPr>
          <xdr:cNvSpPr/>
        </xdr:nvSpPr>
        <xdr:spPr>
          <a:xfrm>
            <a:off x="9083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79CB8C-0B2C-481F-BFA9-C8C0303DDBA7}" type="TxLink">
              <a:rPr lang="en-US" sz="1000" b="1" i="0" u="none" strike="noStrike">
                <a:solidFill>
                  <a:schemeClr val="bg1"/>
                </a:solidFill>
                <a:latin typeface="Arial" panose="020B0604020202020204" pitchFamily="34" charset="0"/>
                <a:cs typeface="Arial" panose="020B0604020202020204" pitchFamily="34" charset="0"/>
              </a:rPr>
              <a:pPr algn="ctr"/>
              <a:t>Top Q</a:t>
            </a:fld>
            <a:endParaRPr lang="en-US" sz="1000" b="1">
              <a:solidFill>
                <a:schemeClr val="bg1"/>
              </a:solidFill>
              <a:latin typeface="Arial" panose="020B0604020202020204" pitchFamily="34" charset="0"/>
              <a:cs typeface="Arial" panose="020B0604020202020204" pitchFamily="34" charset="0"/>
            </a:endParaRPr>
          </a:p>
        </xdr:txBody>
      </xdr:sp>
      <xdr:sp macro="" textlink="$B$3">
        <xdr:nvSpPr>
          <xdr:cNvPr id="11" name="RectB3">
            <a:extLst>
              <a:ext uri="{FF2B5EF4-FFF2-40B4-BE49-F238E27FC236}">
                <a16:creationId xmlns:a16="http://schemas.microsoft.com/office/drawing/2014/main" id="{00000000-0008-0000-0D00-00000B000000}"/>
              </a:ext>
            </a:extLst>
          </xdr:cNvPr>
          <xdr:cNvSpPr/>
        </xdr:nvSpPr>
        <xdr:spPr>
          <a:xfrm>
            <a:off x="1209675" y="52768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1D61669-C8F8-4C37-BA86-C8D5FB3DC157}" type="TxLink">
              <a:rPr lang="en-US" sz="1000" b="0" i="0" u="none" strike="noStrike">
                <a:solidFill>
                  <a:srgbClr val="000000"/>
                </a:solidFill>
                <a:latin typeface="Arial" panose="020B0604020202020204" pitchFamily="34" charset="0"/>
                <a:cs typeface="Arial" panose="020B0604020202020204" pitchFamily="34" charset="0"/>
              </a:rPr>
              <a:pPr algn="l"/>
              <a:t>Working Capital to Total Assets</a:t>
            </a:fld>
            <a:endParaRPr lang="en-US" sz="1000" b="1">
              <a:solidFill>
                <a:schemeClr val="bg1"/>
              </a:solidFill>
              <a:latin typeface="Arial" panose="020B0604020202020204" pitchFamily="34" charset="0"/>
              <a:cs typeface="Arial" panose="020B0604020202020204" pitchFamily="34" charset="0"/>
            </a:endParaRPr>
          </a:p>
        </xdr:txBody>
      </xdr:sp>
      <xdr:sp macro="" textlink="$C$3">
        <xdr:nvSpPr>
          <xdr:cNvPr id="12" name="RectC3">
            <a:extLst>
              <a:ext uri="{FF2B5EF4-FFF2-40B4-BE49-F238E27FC236}">
                <a16:creationId xmlns:a16="http://schemas.microsoft.com/office/drawing/2014/main" id="{00000000-0008-0000-0D00-00000C000000}"/>
              </a:ext>
            </a:extLst>
          </xdr:cNvPr>
          <xdr:cNvSpPr/>
        </xdr:nvSpPr>
        <xdr:spPr>
          <a:xfrm>
            <a:off x="3432175" y="52768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EC2761C8-00DF-43D7-BDC6-D6E9AD17E649}" type="TxLink">
              <a:rPr lang="en-US" sz="1000" b="0" i="0" u="none" strike="noStrike">
                <a:solidFill>
                  <a:srgbClr val="000000"/>
                </a:solidFill>
                <a:latin typeface="Arial" panose="020B0604020202020204" pitchFamily="34" charset="0"/>
                <a:cs typeface="Arial" panose="020B0604020202020204" pitchFamily="34" charset="0"/>
              </a:rPr>
              <a:pPr algn="l"/>
              <a:t>(CA-CL) / Total Assets</a:t>
            </a:fld>
            <a:endParaRPr lang="en-US" sz="1000" b="1">
              <a:solidFill>
                <a:schemeClr val="bg1"/>
              </a:solidFill>
              <a:latin typeface="Arial" panose="020B0604020202020204" pitchFamily="34" charset="0"/>
              <a:cs typeface="Arial" panose="020B0604020202020204" pitchFamily="34" charset="0"/>
            </a:endParaRPr>
          </a:p>
        </xdr:txBody>
      </xdr:sp>
      <xdr:sp macro="" textlink="">
        <xdr:nvSpPr>
          <xdr:cNvPr id="13" name="RectD3">
            <a:extLst>
              <a:ext uri="{FF2B5EF4-FFF2-40B4-BE49-F238E27FC236}">
                <a16:creationId xmlns:a16="http://schemas.microsoft.com/office/drawing/2014/main" id="{00000000-0008-0000-0D00-00000D000000}"/>
              </a:ext>
            </a:extLst>
          </xdr:cNvPr>
          <xdr:cNvSpPr/>
        </xdr:nvSpPr>
        <xdr:spPr>
          <a:xfrm>
            <a:off x="5019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3">
        <xdr:nvSpPr>
          <xdr:cNvPr id="14" name="RectE3">
            <a:extLst>
              <a:ext uri="{FF2B5EF4-FFF2-40B4-BE49-F238E27FC236}">
                <a16:creationId xmlns:a16="http://schemas.microsoft.com/office/drawing/2014/main" id="{00000000-0008-0000-0D00-00000E000000}"/>
              </a:ext>
            </a:extLst>
          </xdr:cNvPr>
          <xdr:cNvSpPr/>
        </xdr:nvSpPr>
        <xdr:spPr>
          <a:xfrm>
            <a:off x="6035675" y="52768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A7760B-910A-4328-9FE0-93D204E3E9C4}" type="TxLink">
              <a:rPr lang="en-US" sz="1000" b="0" i="0" u="none" strike="noStrike">
                <a:solidFill>
                  <a:srgbClr val="000000"/>
                </a:solidFill>
                <a:latin typeface="Arial" panose="020B0604020202020204" pitchFamily="34" charset="0"/>
                <a:cs typeface="Arial" panose="020B0604020202020204" pitchFamily="34" charset="0"/>
              </a:rPr>
              <a:pPr algn="ctr"/>
              <a:t>-5.6%</a:t>
            </a:fld>
            <a:endParaRPr lang="en-US" sz="1000" b="0" i="0" u="none" strike="noStrike">
              <a:solidFill>
                <a:srgbClr val="000000"/>
              </a:solidFill>
              <a:latin typeface="Arial" panose="020B0604020202020204" pitchFamily="34" charset="0"/>
              <a:cs typeface="Arial" panose="020B0604020202020204" pitchFamily="34" charset="0"/>
            </a:endParaRPr>
          </a:p>
        </xdr:txBody>
      </xdr:sp>
      <xdr:sp macro="" textlink="$F$3">
        <xdr:nvSpPr>
          <xdr:cNvPr id="15" name="RectF3">
            <a:extLst>
              <a:ext uri="{FF2B5EF4-FFF2-40B4-BE49-F238E27FC236}">
                <a16:creationId xmlns:a16="http://schemas.microsoft.com/office/drawing/2014/main" id="{00000000-0008-0000-0D00-00000F000000}"/>
              </a:ext>
            </a:extLst>
          </xdr:cNvPr>
          <xdr:cNvSpPr/>
        </xdr:nvSpPr>
        <xdr:spPr>
          <a:xfrm>
            <a:off x="7051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1F181D8-EBE2-407E-9899-59228E27FD3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-5.5%</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3">
        <xdr:nvSpPr>
          <xdr:cNvPr id="16" name="RectG3">
            <a:extLst>
              <a:ext uri="{FF2B5EF4-FFF2-40B4-BE49-F238E27FC236}">
                <a16:creationId xmlns:a16="http://schemas.microsoft.com/office/drawing/2014/main" id="{00000000-0008-0000-0D00-000010000000}"/>
              </a:ext>
            </a:extLst>
          </xdr:cNvPr>
          <xdr:cNvSpPr/>
        </xdr:nvSpPr>
        <xdr:spPr>
          <a:xfrm>
            <a:off x="8067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F32AE7B-E5E8-479A-AFB4-88EC1CCE61A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-0.1%</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H$3">
        <xdr:nvSpPr>
          <xdr:cNvPr id="17" name="RectH3">
            <a:extLst>
              <a:ext uri="{FF2B5EF4-FFF2-40B4-BE49-F238E27FC236}">
                <a16:creationId xmlns:a16="http://schemas.microsoft.com/office/drawing/2014/main" id="{00000000-0008-0000-0D00-000011000000}"/>
              </a:ext>
            </a:extLst>
          </xdr:cNvPr>
          <xdr:cNvSpPr/>
        </xdr:nvSpPr>
        <xdr:spPr>
          <a:xfrm>
            <a:off x="9083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65C84F3-BEF0-4483-9820-63AF39F335E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10.0%</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B$4">
        <xdr:nvSpPr>
          <xdr:cNvPr id="19" name="RectB4">
            <a:extLst>
              <a:ext uri="{FF2B5EF4-FFF2-40B4-BE49-F238E27FC236}">
                <a16:creationId xmlns:a16="http://schemas.microsoft.com/office/drawing/2014/main" id="{00000000-0008-0000-0D00-000013000000}"/>
              </a:ext>
            </a:extLst>
          </xdr:cNvPr>
          <xdr:cNvSpPr/>
        </xdr:nvSpPr>
        <xdr:spPr>
          <a:xfrm>
            <a:off x="1209675" y="54597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A6578A0-CE02-4568-BE26-0847A11A5B0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Ratio</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4">
        <xdr:nvSpPr>
          <xdr:cNvPr id="20" name="RectC4">
            <a:extLst>
              <a:ext uri="{FF2B5EF4-FFF2-40B4-BE49-F238E27FC236}">
                <a16:creationId xmlns:a16="http://schemas.microsoft.com/office/drawing/2014/main" id="{00000000-0008-0000-0D00-000014000000}"/>
              </a:ext>
            </a:extLst>
          </xdr:cNvPr>
          <xdr:cNvSpPr/>
        </xdr:nvSpPr>
        <xdr:spPr>
          <a:xfrm>
            <a:off x="3432175" y="54597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7248CF7-D8E0-4A2F-869A-E3CD2556E896}"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 CL</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1" name="RectD4">
            <a:extLst>
              <a:ext uri="{FF2B5EF4-FFF2-40B4-BE49-F238E27FC236}">
                <a16:creationId xmlns:a16="http://schemas.microsoft.com/office/drawing/2014/main" id="{00000000-0008-0000-0D00-000015000000}"/>
              </a:ext>
            </a:extLst>
          </xdr:cNvPr>
          <xdr:cNvSpPr/>
        </xdr:nvSpPr>
        <xdr:spPr>
          <a:xfrm>
            <a:off x="5019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a:solidFill>
                <a:schemeClr val="lt1"/>
              </a:solidFill>
              <a:effectLst/>
              <a:latin typeface="+mn-lt"/>
              <a:ea typeface="+mn-ea"/>
              <a:cs typeface="+mn-cs"/>
            </a:endParaRPr>
          </a:p>
          <a:p>
            <a:pPr algn="l"/>
            <a:endParaRPr lang="en-US" sz="1100" b="0" i="0" u="none" strike="noStrike">
              <a:solidFill>
                <a:srgbClr val="000000"/>
              </a:solidFill>
              <a:latin typeface="Calibri"/>
              <a:cs typeface="Calibri"/>
            </a:endParaRPr>
          </a:p>
        </xdr:txBody>
      </xdr:sp>
      <xdr:sp macro="" textlink="$E$4">
        <xdr:nvSpPr>
          <xdr:cNvPr id="22" name="RectE4">
            <a:extLst>
              <a:ext uri="{FF2B5EF4-FFF2-40B4-BE49-F238E27FC236}">
                <a16:creationId xmlns:a16="http://schemas.microsoft.com/office/drawing/2014/main" id="{00000000-0008-0000-0D00-000016000000}"/>
              </a:ext>
            </a:extLst>
          </xdr:cNvPr>
          <xdr:cNvSpPr/>
        </xdr:nvSpPr>
        <xdr:spPr>
          <a:xfrm>
            <a:off x="6035675" y="54597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745AB97-5BC0-41A8-B420-648E2EBAB4F4}"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27.93</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4">
        <xdr:nvSpPr>
          <xdr:cNvPr id="23" name="RectF4">
            <a:extLst>
              <a:ext uri="{FF2B5EF4-FFF2-40B4-BE49-F238E27FC236}">
                <a16:creationId xmlns:a16="http://schemas.microsoft.com/office/drawing/2014/main" id="{00000000-0008-0000-0D00-000017000000}"/>
              </a:ext>
            </a:extLst>
          </xdr:cNvPr>
          <xdr:cNvSpPr/>
        </xdr:nvSpPr>
        <xdr:spPr>
          <a:xfrm>
            <a:off x="7051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9F5ECE9-C6BC-47A3-BFC3-F7BBAC2E7C4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15.02</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4">
        <xdr:nvSpPr>
          <xdr:cNvPr id="24" name="RectG4">
            <a:extLst>
              <a:ext uri="{FF2B5EF4-FFF2-40B4-BE49-F238E27FC236}">
                <a16:creationId xmlns:a16="http://schemas.microsoft.com/office/drawing/2014/main" id="{00000000-0008-0000-0D00-000018000000}"/>
              </a:ext>
            </a:extLst>
          </xdr:cNvPr>
          <xdr:cNvSpPr/>
        </xdr:nvSpPr>
        <xdr:spPr>
          <a:xfrm>
            <a:off x="8067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2ED597-706D-4BA5-B74A-78A37382814B}" type="TxLink">
              <a:rPr lang="en-US" sz="1000" b="0" i="0" u="none" strike="noStrike">
                <a:solidFill>
                  <a:srgbClr val="000000"/>
                </a:solidFill>
                <a:latin typeface="Arial"/>
                <a:cs typeface="Arial"/>
              </a:rPr>
              <a:pPr algn="ctr"/>
              <a:t>24.64</a:t>
            </a:fld>
            <a:endParaRPr lang="en-US" sz="1100" b="0" i="0" u="none" strike="noStrike">
              <a:solidFill>
                <a:srgbClr val="000000"/>
              </a:solidFill>
              <a:latin typeface="Calibri"/>
              <a:cs typeface="Calibri"/>
            </a:endParaRPr>
          </a:p>
        </xdr:txBody>
      </xdr:sp>
      <xdr:sp macro="" textlink="$H$4">
        <xdr:nvSpPr>
          <xdr:cNvPr id="25" name="RectH4">
            <a:extLst>
              <a:ext uri="{FF2B5EF4-FFF2-40B4-BE49-F238E27FC236}">
                <a16:creationId xmlns:a16="http://schemas.microsoft.com/office/drawing/2014/main" id="{00000000-0008-0000-0D00-000019000000}"/>
              </a:ext>
            </a:extLst>
          </xdr:cNvPr>
          <xdr:cNvSpPr/>
        </xdr:nvSpPr>
        <xdr:spPr>
          <a:xfrm>
            <a:off x="9083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6F8FB5-29E4-442C-B898-9B159220A907}" type="TxLink">
              <a:rPr lang="en-US" sz="1000" b="0" i="0" u="none" strike="noStrike">
                <a:solidFill>
                  <a:srgbClr val="000000"/>
                </a:solidFill>
                <a:latin typeface="Arial"/>
                <a:cs typeface="Arial"/>
              </a:rPr>
              <a:pPr algn="ctr"/>
              <a:t>36.80</a:t>
            </a:fld>
            <a:endParaRPr lang="en-US" sz="1100" b="0" i="0" u="none" strike="noStrike">
              <a:solidFill>
                <a:srgbClr val="000000"/>
              </a:solidFill>
              <a:latin typeface="Calibri"/>
              <a:cs typeface="Calibri"/>
            </a:endParaRPr>
          </a:p>
        </xdr:txBody>
      </xdr:sp>
      <xdr:sp macro="" textlink="$B$5">
        <xdr:nvSpPr>
          <xdr:cNvPr id="26" name="RectB5">
            <a:extLst>
              <a:ext uri="{FF2B5EF4-FFF2-40B4-BE49-F238E27FC236}">
                <a16:creationId xmlns:a16="http://schemas.microsoft.com/office/drawing/2014/main" id="{00000000-0008-0000-0D00-00001A000000}"/>
              </a:ext>
            </a:extLst>
          </xdr:cNvPr>
          <xdr:cNvSpPr/>
        </xdr:nvSpPr>
        <xdr:spPr>
          <a:xfrm>
            <a:off x="1209675" y="564260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7F614F4-3FE2-4C12-B3A9-3906A4837E4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to Total Asssets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5">
        <xdr:nvSpPr>
          <xdr:cNvPr id="27" name="RectC5">
            <a:extLst>
              <a:ext uri="{FF2B5EF4-FFF2-40B4-BE49-F238E27FC236}">
                <a16:creationId xmlns:a16="http://schemas.microsoft.com/office/drawing/2014/main" id="{00000000-0008-0000-0D00-00001B000000}"/>
              </a:ext>
            </a:extLst>
          </xdr:cNvPr>
          <xdr:cNvSpPr/>
        </xdr:nvSpPr>
        <xdr:spPr>
          <a:xfrm>
            <a:off x="3432175" y="564260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7FA767-13B8-4E86-88AF-7E49D8AE861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8" name="RectD5">
            <a:extLst>
              <a:ext uri="{FF2B5EF4-FFF2-40B4-BE49-F238E27FC236}">
                <a16:creationId xmlns:a16="http://schemas.microsoft.com/office/drawing/2014/main" id="{00000000-0008-0000-0D00-00001C000000}"/>
              </a:ext>
            </a:extLst>
          </xdr:cNvPr>
          <xdr:cNvSpPr/>
        </xdr:nvSpPr>
        <xdr:spPr>
          <a:xfrm>
            <a:off x="5019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5">
        <xdr:nvSpPr>
          <xdr:cNvPr id="29" name="RectE5">
            <a:extLst>
              <a:ext uri="{FF2B5EF4-FFF2-40B4-BE49-F238E27FC236}">
                <a16:creationId xmlns:a16="http://schemas.microsoft.com/office/drawing/2014/main" id="{00000000-0008-0000-0D00-00001D000000}"/>
              </a:ext>
            </a:extLst>
          </xdr:cNvPr>
          <xdr:cNvSpPr/>
        </xdr:nvSpPr>
        <xdr:spPr>
          <a:xfrm>
            <a:off x="6035675" y="564260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E037E0-A5AF-4482-91A1-F1809DB81678}" type="TxLink">
              <a:rPr lang="en-US" sz="1000" b="0" i="0" u="none" strike="noStrike">
                <a:solidFill>
                  <a:srgbClr val="000000"/>
                </a:solidFill>
                <a:latin typeface="Arial"/>
                <a:cs typeface="Arial"/>
              </a:rPr>
              <a:pPr algn="ctr"/>
              <a:t>6.94</a:t>
            </a:fld>
            <a:endParaRPr lang="en-US" sz="1100" b="0" i="0" u="none" strike="noStrike">
              <a:solidFill>
                <a:srgbClr val="000000"/>
              </a:solidFill>
              <a:latin typeface="Calibri"/>
              <a:cs typeface="Calibri"/>
            </a:endParaRPr>
          </a:p>
        </xdr:txBody>
      </xdr:sp>
      <xdr:sp macro="" textlink="$F$5">
        <xdr:nvSpPr>
          <xdr:cNvPr id="30" name="RectF5">
            <a:extLst>
              <a:ext uri="{FF2B5EF4-FFF2-40B4-BE49-F238E27FC236}">
                <a16:creationId xmlns:a16="http://schemas.microsoft.com/office/drawing/2014/main" id="{00000000-0008-0000-0D00-00001E000000}"/>
              </a:ext>
            </a:extLst>
          </xdr:cNvPr>
          <xdr:cNvSpPr/>
        </xdr:nvSpPr>
        <xdr:spPr>
          <a:xfrm>
            <a:off x="7051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04FCA3E-0704-4FBA-8F72-23AE696A472D}" type="TxLink">
              <a:rPr lang="en-US" sz="1000" b="0" i="0" u="none" strike="noStrike">
                <a:solidFill>
                  <a:srgbClr val="000000"/>
                </a:solidFill>
                <a:latin typeface="Arial"/>
                <a:cs typeface="Arial"/>
              </a:rPr>
              <a:pPr algn="ctr"/>
              <a:t>2.60</a:t>
            </a:fld>
            <a:endParaRPr lang="en-US" sz="1100" b="0" i="0" u="none" strike="noStrike">
              <a:solidFill>
                <a:srgbClr val="000000"/>
              </a:solidFill>
              <a:latin typeface="Calibri"/>
              <a:cs typeface="Calibri"/>
            </a:endParaRPr>
          </a:p>
        </xdr:txBody>
      </xdr:sp>
      <xdr:sp macro="" textlink="$G$5">
        <xdr:nvSpPr>
          <xdr:cNvPr id="31" name="RectG5">
            <a:extLst>
              <a:ext uri="{FF2B5EF4-FFF2-40B4-BE49-F238E27FC236}">
                <a16:creationId xmlns:a16="http://schemas.microsoft.com/office/drawing/2014/main" id="{00000000-0008-0000-0D00-00001F000000}"/>
              </a:ext>
            </a:extLst>
          </xdr:cNvPr>
          <xdr:cNvSpPr/>
        </xdr:nvSpPr>
        <xdr:spPr>
          <a:xfrm>
            <a:off x="8067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134ED0-80AA-4629-98BE-541F28913FA2}" type="TxLink">
              <a:rPr lang="en-US" sz="1000" b="0" i="0" u="none" strike="noStrike">
                <a:solidFill>
                  <a:srgbClr val="000000"/>
                </a:solidFill>
                <a:latin typeface="Arial"/>
                <a:cs typeface="Arial"/>
              </a:rPr>
              <a:pPr algn="ctr"/>
              <a:t>4.83</a:t>
            </a:fld>
            <a:endParaRPr lang="en-US" sz="1100" b="0" i="0" u="none" strike="noStrike">
              <a:solidFill>
                <a:srgbClr val="000000"/>
              </a:solidFill>
              <a:latin typeface="Calibri"/>
              <a:cs typeface="Calibri"/>
            </a:endParaRPr>
          </a:p>
        </xdr:txBody>
      </xdr:sp>
      <xdr:sp macro="" textlink="$H$5">
        <xdr:nvSpPr>
          <xdr:cNvPr id="32" name="RectH5">
            <a:extLst>
              <a:ext uri="{FF2B5EF4-FFF2-40B4-BE49-F238E27FC236}">
                <a16:creationId xmlns:a16="http://schemas.microsoft.com/office/drawing/2014/main" id="{00000000-0008-0000-0D00-000020000000}"/>
              </a:ext>
            </a:extLst>
          </xdr:cNvPr>
          <xdr:cNvSpPr/>
        </xdr:nvSpPr>
        <xdr:spPr>
          <a:xfrm>
            <a:off x="9083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249527A-AB20-4A6C-9D73-0454BCC61A5F}" type="TxLink">
              <a:rPr lang="en-US" sz="1000" b="0" i="0" u="none" strike="noStrike">
                <a:solidFill>
                  <a:srgbClr val="000000"/>
                </a:solidFill>
                <a:latin typeface="Arial"/>
                <a:cs typeface="Arial"/>
              </a:rPr>
              <a:pPr algn="ctr"/>
              <a:t>6.18</a:t>
            </a:fld>
            <a:endParaRPr lang="en-US" sz="1100" b="0" i="0" u="none" strike="noStrike">
              <a:solidFill>
                <a:srgbClr val="000000"/>
              </a:solidFill>
              <a:latin typeface="Calibri"/>
              <a:cs typeface="Calibri"/>
            </a:endParaRPr>
          </a:p>
        </xdr:txBody>
      </xdr:sp>
      <xdr:sp macro="" textlink="$B$6">
        <xdr:nvSpPr>
          <xdr:cNvPr id="33" name="RectB6">
            <a:extLst>
              <a:ext uri="{FF2B5EF4-FFF2-40B4-BE49-F238E27FC236}">
                <a16:creationId xmlns:a16="http://schemas.microsoft.com/office/drawing/2014/main" id="{00000000-0008-0000-0D00-000021000000}"/>
              </a:ext>
            </a:extLst>
          </xdr:cNvPr>
          <xdr:cNvSpPr/>
        </xdr:nvSpPr>
        <xdr:spPr>
          <a:xfrm>
            <a:off x="1209675" y="582548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9FA8DE-F084-4CFB-ABEB-29B16AC01ED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To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6">
        <xdr:nvSpPr>
          <xdr:cNvPr id="34" name="RectC6">
            <a:extLst>
              <a:ext uri="{FF2B5EF4-FFF2-40B4-BE49-F238E27FC236}">
                <a16:creationId xmlns:a16="http://schemas.microsoft.com/office/drawing/2014/main" id="{00000000-0008-0000-0D00-000022000000}"/>
              </a:ext>
            </a:extLst>
          </xdr:cNvPr>
          <xdr:cNvSpPr/>
        </xdr:nvSpPr>
        <xdr:spPr>
          <a:xfrm>
            <a:off x="3432175" y="582548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FE066F7-890A-4289-87DE-BE14E36EFE8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35" name="RectD6">
            <a:extLst>
              <a:ext uri="{FF2B5EF4-FFF2-40B4-BE49-F238E27FC236}">
                <a16:creationId xmlns:a16="http://schemas.microsoft.com/office/drawing/2014/main" id="{00000000-0008-0000-0D00-000023000000}"/>
              </a:ext>
            </a:extLst>
          </xdr:cNvPr>
          <xdr:cNvSpPr/>
        </xdr:nvSpPr>
        <xdr:spPr>
          <a:xfrm>
            <a:off x="5019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6">
        <xdr:nvSpPr>
          <xdr:cNvPr id="36" name="RectE6">
            <a:extLst>
              <a:ext uri="{FF2B5EF4-FFF2-40B4-BE49-F238E27FC236}">
                <a16:creationId xmlns:a16="http://schemas.microsoft.com/office/drawing/2014/main" id="{00000000-0008-0000-0D00-000024000000}"/>
              </a:ext>
            </a:extLst>
          </xdr:cNvPr>
          <xdr:cNvSpPr/>
        </xdr:nvSpPr>
        <xdr:spPr>
          <a:xfrm>
            <a:off x="6035675" y="582548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13DD35B-953A-4B38-81E2-ED27F1446221}" type="TxLink">
              <a:rPr lang="en-US" sz="1000" b="0" i="0" u="none" strike="noStrike">
                <a:solidFill>
                  <a:srgbClr val="000000"/>
                </a:solidFill>
                <a:latin typeface="Arial"/>
                <a:cs typeface="Arial"/>
              </a:rPr>
              <a:pPr algn="ctr"/>
              <a:t>9.9%</a:t>
            </a:fld>
            <a:endParaRPr lang="en-US" sz="1100" b="0" i="0" u="none" strike="noStrike">
              <a:solidFill>
                <a:srgbClr val="000000"/>
              </a:solidFill>
              <a:latin typeface="Calibri"/>
              <a:cs typeface="Calibri"/>
            </a:endParaRPr>
          </a:p>
        </xdr:txBody>
      </xdr:sp>
      <xdr:sp macro="" textlink="$F$6">
        <xdr:nvSpPr>
          <xdr:cNvPr id="37" name="RectF6">
            <a:extLst>
              <a:ext uri="{FF2B5EF4-FFF2-40B4-BE49-F238E27FC236}">
                <a16:creationId xmlns:a16="http://schemas.microsoft.com/office/drawing/2014/main" id="{00000000-0008-0000-0D00-000025000000}"/>
              </a:ext>
            </a:extLst>
          </xdr:cNvPr>
          <xdr:cNvSpPr/>
        </xdr:nvSpPr>
        <xdr:spPr>
          <a:xfrm>
            <a:off x="7051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995F7D-4170-448E-B751-7DA0BFB2E96A}" type="TxLink">
              <a:rPr lang="en-US" sz="1000" b="0" i="0" u="none" strike="noStrike">
                <a:solidFill>
                  <a:srgbClr val="000000"/>
                </a:solidFill>
                <a:latin typeface="Arial"/>
                <a:cs typeface="Arial"/>
              </a:rPr>
              <a:pPr algn="ctr"/>
              <a:t>3.5%</a:t>
            </a:fld>
            <a:endParaRPr lang="en-US" sz="1100" b="0" i="0" u="none" strike="noStrike">
              <a:solidFill>
                <a:srgbClr val="000000"/>
              </a:solidFill>
              <a:latin typeface="Calibri"/>
              <a:cs typeface="Calibri"/>
            </a:endParaRPr>
          </a:p>
        </xdr:txBody>
      </xdr:sp>
      <xdr:sp macro="" textlink="$G$6">
        <xdr:nvSpPr>
          <xdr:cNvPr id="38" name="RectG6">
            <a:extLst>
              <a:ext uri="{FF2B5EF4-FFF2-40B4-BE49-F238E27FC236}">
                <a16:creationId xmlns:a16="http://schemas.microsoft.com/office/drawing/2014/main" id="{00000000-0008-0000-0D00-000026000000}"/>
              </a:ext>
            </a:extLst>
          </xdr:cNvPr>
          <xdr:cNvSpPr/>
        </xdr:nvSpPr>
        <xdr:spPr>
          <a:xfrm>
            <a:off x="8067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D89742-F69A-4306-811B-5EADB1A29F8E}" type="TxLink">
              <a:rPr lang="en-US" sz="1000" b="0" i="0" u="none" strike="noStrike">
                <a:solidFill>
                  <a:srgbClr val="000000"/>
                </a:solidFill>
                <a:latin typeface="Arial"/>
                <a:cs typeface="Arial"/>
              </a:rPr>
              <a:pPr algn="ctr"/>
              <a:t>5.4%</a:t>
            </a:fld>
            <a:endParaRPr lang="en-US" sz="1100" b="0" i="0" u="none" strike="noStrike">
              <a:solidFill>
                <a:srgbClr val="000000"/>
              </a:solidFill>
              <a:latin typeface="Calibri"/>
              <a:cs typeface="Calibri"/>
            </a:endParaRPr>
          </a:p>
        </xdr:txBody>
      </xdr:sp>
      <xdr:sp macro="" textlink="$H$6">
        <xdr:nvSpPr>
          <xdr:cNvPr id="39" name="RectH6">
            <a:extLst>
              <a:ext uri="{FF2B5EF4-FFF2-40B4-BE49-F238E27FC236}">
                <a16:creationId xmlns:a16="http://schemas.microsoft.com/office/drawing/2014/main" id="{00000000-0008-0000-0D00-000027000000}"/>
              </a:ext>
            </a:extLst>
          </xdr:cNvPr>
          <xdr:cNvSpPr/>
        </xdr:nvSpPr>
        <xdr:spPr>
          <a:xfrm>
            <a:off x="9083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E363C8-3C7F-462A-BD91-B5754682F22A}" type="TxLink">
              <a:rPr lang="en-US" sz="1000" b="0" i="0" u="none" strike="noStrike">
                <a:solidFill>
                  <a:srgbClr val="000000"/>
                </a:solidFill>
                <a:latin typeface="Arial"/>
                <a:cs typeface="Arial"/>
              </a:rPr>
              <a:pPr algn="ctr"/>
              <a:t>10.5%</a:t>
            </a:fld>
            <a:endParaRPr lang="en-US" sz="1100" b="0" i="0" u="none" strike="noStrike">
              <a:solidFill>
                <a:srgbClr val="000000"/>
              </a:solidFill>
              <a:latin typeface="Calibri"/>
              <a:cs typeface="Calibri"/>
            </a:endParaRPr>
          </a:p>
        </xdr:txBody>
      </xdr:sp>
      <xdr:sp macro="" textlink="$B$7">
        <xdr:nvSpPr>
          <xdr:cNvPr id="40" name="RectB7">
            <a:extLst>
              <a:ext uri="{FF2B5EF4-FFF2-40B4-BE49-F238E27FC236}">
                <a16:creationId xmlns:a16="http://schemas.microsoft.com/office/drawing/2014/main" id="{00000000-0008-0000-0D00-000028000000}"/>
              </a:ext>
            </a:extLst>
          </xdr:cNvPr>
          <xdr:cNvSpPr/>
        </xdr:nvSpPr>
        <xdr:spPr>
          <a:xfrm>
            <a:off x="1209675" y="600836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46CD5BC-3932-48C0-8FDF-4561EA8C58F6}"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Current Ratio</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7">
        <xdr:nvSpPr>
          <xdr:cNvPr id="41" name="RectC7">
            <a:extLst>
              <a:ext uri="{FF2B5EF4-FFF2-40B4-BE49-F238E27FC236}">
                <a16:creationId xmlns:a16="http://schemas.microsoft.com/office/drawing/2014/main" id="{00000000-0008-0000-0D00-000029000000}"/>
              </a:ext>
            </a:extLst>
          </xdr:cNvPr>
          <xdr:cNvSpPr/>
        </xdr:nvSpPr>
        <xdr:spPr>
          <a:xfrm>
            <a:off x="3432175" y="600836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7D33EC49-DE3C-4DF6-BF89-F01E6AAD3E6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 / CL</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2" name="RectD7">
            <a:extLst>
              <a:ext uri="{FF2B5EF4-FFF2-40B4-BE49-F238E27FC236}">
                <a16:creationId xmlns:a16="http://schemas.microsoft.com/office/drawing/2014/main" id="{00000000-0008-0000-0D00-00002A000000}"/>
              </a:ext>
            </a:extLst>
          </xdr:cNvPr>
          <xdr:cNvSpPr/>
        </xdr:nvSpPr>
        <xdr:spPr>
          <a:xfrm>
            <a:off x="5019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7">
        <xdr:nvSpPr>
          <xdr:cNvPr id="43" name="RectE7">
            <a:extLst>
              <a:ext uri="{FF2B5EF4-FFF2-40B4-BE49-F238E27FC236}">
                <a16:creationId xmlns:a16="http://schemas.microsoft.com/office/drawing/2014/main" id="{00000000-0008-0000-0D00-00002B000000}"/>
              </a:ext>
            </a:extLst>
          </xdr:cNvPr>
          <xdr:cNvSpPr/>
        </xdr:nvSpPr>
        <xdr:spPr>
          <a:xfrm>
            <a:off x="6035675" y="600836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C700496-BB86-4808-A5BF-D2FFFA98E794}" type="TxLink">
              <a:rPr lang="en-US" sz="1000" b="0" i="0" u="none" strike="noStrike">
                <a:solidFill>
                  <a:srgbClr val="000000"/>
                </a:solidFill>
                <a:latin typeface="Arial"/>
                <a:cs typeface="Arial"/>
              </a:rPr>
              <a:pPr algn="ctr"/>
              <a:t>0.78</a:t>
            </a:fld>
            <a:endParaRPr lang="en-US" sz="1100" b="0" i="0" u="none" strike="noStrike">
              <a:solidFill>
                <a:srgbClr val="000000"/>
              </a:solidFill>
              <a:latin typeface="Calibri"/>
              <a:cs typeface="Calibri"/>
            </a:endParaRPr>
          </a:p>
        </xdr:txBody>
      </xdr:sp>
      <xdr:sp macro="" textlink="$F$7">
        <xdr:nvSpPr>
          <xdr:cNvPr id="44" name="RectF7">
            <a:extLst>
              <a:ext uri="{FF2B5EF4-FFF2-40B4-BE49-F238E27FC236}">
                <a16:creationId xmlns:a16="http://schemas.microsoft.com/office/drawing/2014/main" id="{00000000-0008-0000-0D00-00002C000000}"/>
              </a:ext>
            </a:extLst>
          </xdr:cNvPr>
          <xdr:cNvSpPr/>
        </xdr:nvSpPr>
        <xdr:spPr>
          <a:xfrm>
            <a:off x="7051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D5DE84-EF27-4F9B-9895-3308A03BA04B}" type="TxLink">
              <a:rPr lang="en-US" sz="1000" b="0" i="0" u="none" strike="noStrike">
                <a:solidFill>
                  <a:srgbClr val="000000"/>
                </a:solidFill>
                <a:latin typeface="Arial"/>
                <a:cs typeface="Arial"/>
              </a:rPr>
              <a:pPr algn="ctr"/>
              <a:t>0.76</a:t>
            </a:fld>
            <a:endParaRPr lang="en-US" sz="1100" b="0" i="0" u="none" strike="noStrike">
              <a:solidFill>
                <a:srgbClr val="000000"/>
              </a:solidFill>
              <a:latin typeface="Calibri"/>
              <a:cs typeface="Calibri"/>
            </a:endParaRPr>
          </a:p>
        </xdr:txBody>
      </xdr:sp>
      <xdr:sp macro="" textlink="$G$7">
        <xdr:nvSpPr>
          <xdr:cNvPr id="45" name="RectG7">
            <a:extLst>
              <a:ext uri="{FF2B5EF4-FFF2-40B4-BE49-F238E27FC236}">
                <a16:creationId xmlns:a16="http://schemas.microsoft.com/office/drawing/2014/main" id="{00000000-0008-0000-0D00-00002D000000}"/>
              </a:ext>
            </a:extLst>
          </xdr:cNvPr>
          <xdr:cNvSpPr/>
        </xdr:nvSpPr>
        <xdr:spPr>
          <a:xfrm>
            <a:off x="8067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D852F40-8F52-4AB1-AEAF-5ECC65BB3B85}" type="TxLink">
              <a:rPr lang="en-US" sz="1000" b="0" i="0" u="none" strike="noStrike">
                <a:solidFill>
                  <a:srgbClr val="000000"/>
                </a:solidFill>
                <a:latin typeface="Arial"/>
                <a:cs typeface="Arial"/>
              </a:rPr>
              <a:pPr algn="ctr"/>
              <a:t>0.99</a:t>
            </a:fld>
            <a:endParaRPr lang="en-US" sz="1100" b="0" i="0" u="none" strike="noStrike">
              <a:solidFill>
                <a:srgbClr val="000000"/>
              </a:solidFill>
              <a:latin typeface="Calibri"/>
              <a:cs typeface="Calibri"/>
            </a:endParaRPr>
          </a:p>
        </xdr:txBody>
      </xdr:sp>
      <xdr:sp macro="" textlink="$H$7">
        <xdr:nvSpPr>
          <xdr:cNvPr id="46" name="RectH7">
            <a:extLst>
              <a:ext uri="{FF2B5EF4-FFF2-40B4-BE49-F238E27FC236}">
                <a16:creationId xmlns:a16="http://schemas.microsoft.com/office/drawing/2014/main" id="{00000000-0008-0000-0D00-00002E000000}"/>
              </a:ext>
            </a:extLst>
          </xdr:cNvPr>
          <xdr:cNvSpPr/>
        </xdr:nvSpPr>
        <xdr:spPr>
          <a:xfrm>
            <a:off x="9083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91BCBDF-7B75-4D7F-8446-68CD26D1BEFE}" type="TxLink">
              <a:rPr lang="en-US" sz="1000" b="0" i="0" u="none" strike="noStrike">
                <a:solidFill>
                  <a:srgbClr val="000000"/>
                </a:solidFill>
                <a:latin typeface="Arial"/>
                <a:cs typeface="Arial"/>
              </a:rPr>
              <a:pPr algn="ctr"/>
              <a:t>1.47</a:t>
            </a:fld>
            <a:endParaRPr lang="en-US" sz="1100" b="0" i="0" u="none" strike="noStrike">
              <a:solidFill>
                <a:srgbClr val="000000"/>
              </a:solidFill>
              <a:latin typeface="Calibri"/>
              <a:cs typeface="Calibri"/>
            </a:endParaRPr>
          </a:p>
        </xdr:txBody>
      </xdr:sp>
      <xdr:sp macro="" textlink="$B$8">
        <xdr:nvSpPr>
          <xdr:cNvPr id="47" name="RectB8">
            <a:extLst>
              <a:ext uri="{FF2B5EF4-FFF2-40B4-BE49-F238E27FC236}">
                <a16:creationId xmlns:a16="http://schemas.microsoft.com/office/drawing/2014/main" id="{00000000-0008-0000-0D00-00002F000000}"/>
              </a:ext>
            </a:extLst>
          </xdr:cNvPr>
          <xdr:cNvSpPr/>
        </xdr:nvSpPr>
        <xdr:spPr>
          <a:xfrm>
            <a:off x="1209675" y="61912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384E29F8-20CA-4EDE-8BB0-6CD0535CB96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Current Assets to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8">
        <xdr:nvSpPr>
          <xdr:cNvPr id="48" name="RectC8">
            <a:extLst>
              <a:ext uri="{FF2B5EF4-FFF2-40B4-BE49-F238E27FC236}">
                <a16:creationId xmlns:a16="http://schemas.microsoft.com/office/drawing/2014/main" id="{00000000-0008-0000-0D00-000030000000}"/>
              </a:ext>
            </a:extLst>
          </xdr:cNvPr>
          <xdr:cNvSpPr/>
        </xdr:nvSpPr>
        <xdr:spPr>
          <a:xfrm>
            <a:off x="3432175" y="61912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39DF262-CC77-4CF5-BD03-8D77806F3C9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9" name="RectD8">
            <a:extLst>
              <a:ext uri="{FF2B5EF4-FFF2-40B4-BE49-F238E27FC236}">
                <a16:creationId xmlns:a16="http://schemas.microsoft.com/office/drawing/2014/main" id="{00000000-0008-0000-0D00-000031000000}"/>
              </a:ext>
            </a:extLst>
          </xdr:cNvPr>
          <xdr:cNvSpPr/>
        </xdr:nvSpPr>
        <xdr:spPr>
          <a:xfrm>
            <a:off x="5019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8">
        <xdr:nvSpPr>
          <xdr:cNvPr id="50" name="RectE8">
            <a:extLst>
              <a:ext uri="{FF2B5EF4-FFF2-40B4-BE49-F238E27FC236}">
                <a16:creationId xmlns:a16="http://schemas.microsoft.com/office/drawing/2014/main" id="{00000000-0008-0000-0D00-000032000000}"/>
              </a:ext>
            </a:extLst>
          </xdr:cNvPr>
          <xdr:cNvSpPr/>
        </xdr:nvSpPr>
        <xdr:spPr>
          <a:xfrm>
            <a:off x="6035675" y="61912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EC06C0D-B20D-437E-BCBD-E028E245A378}" type="TxLink">
              <a:rPr lang="en-US" sz="1000" b="0" i="0" u="none" strike="noStrike">
                <a:solidFill>
                  <a:srgbClr val="000000"/>
                </a:solidFill>
                <a:latin typeface="Arial"/>
                <a:cs typeface="Arial"/>
              </a:rPr>
              <a:pPr algn="ctr"/>
              <a:t>19%</a:t>
            </a:fld>
            <a:endParaRPr lang="en-US" sz="1100" b="0" i="0" u="none" strike="noStrike">
              <a:solidFill>
                <a:srgbClr val="000000"/>
              </a:solidFill>
              <a:latin typeface="Calibri"/>
              <a:cs typeface="Calibri"/>
            </a:endParaRPr>
          </a:p>
        </xdr:txBody>
      </xdr:sp>
      <xdr:sp macro="" textlink="$F$8">
        <xdr:nvSpPr>
          <xdr:cNvPr id="51" name="RectF8">
            <a:extLst>
              <a:ext uri="{FF2B5EF4-FFF2-40B4-BE49-F238E27FC236}">
                <a16:creationId xmlns:a16="http://schemas.microsoft.com/office/drawing/2014/main" id="{00000000-0008-0000-0D00-000033000000}"/>
              </a:ext>
            </a:extLst>
          </xdr:cNvPr>
          <xdr:cNvSpPr/>
        </xdr:nvSpPr>
        <xdr:spPr>
          <a:xfrm>
            <a:off x="7051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BFB4711-84BC-4037-A788-3FA223ACC6DE}" type="TxLink">
              <a:rPr lang="en-US" sz="1000" b="0" i="0" u="none" strike="noStrike">
                <a:solidFill>
                  <a:srgbClr val="000000"/>
                </a:solidFill>
                <a:latin typeface="Arial"/>
                <a:cs typeface="Arial"/>
              </a:rPr>
              <a:pPr algn="ctr"/>
              <a:t>16%</a:t>
            </a:fld>
            <a:endParaRPr lang="en-US" sz="1100" b="0" i="0" u="none" strike="noStrike">
              <a:solidFill>
                <a:srgbClr val="000000"/>
              </a:solidFill>
              <a:latin typeface="Calibri"/>
              <a:cs typeface="Calibri"/>
            </a:endParaRPr>
          </a:p>
        </xdr:txBody>
      </xdr:sp>
      <xdr:sp macro="" textlink="$G$8">
        <xdr:nvSpPr>
          <xdr:cNvPr id="52" name="RectG8">
            <a:extLst>
              <a:ext uri="{FF2B5EF4-FFF2-40B4-BE49-F238E27FC236}">
                <a16:creationId xmlns:a16="http://schemas.microsoft.com/office/drawing/2014/main" id="{00000000-0008-0000-0D00-000034000000}"/>
              </a:ext>
            </a:extLst>
          </xdr:cNvPr>
          <xdr:cNvSpPr/>
        </xdr:nvSpPr>
        <xdr:spPr>
          <a:xfrm>
            <a:off x="8067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5A4568C-5CCA-489E-B64D-E7E71F3BB919}" type="TxLink">
              <a:rPr lang="en-US" sz="1000" b="0" i="0" u="none" strike="noStrike">
                <a:solidFill>
                  <a:srgbClr val="000000"/>
                </a:solidFill>
                <a:latin typeface="Arial"/>
                <a:cs typeface="Arial"/>
              </a:rPr>
              <a:pPr algn="ctr"/>
              <a:t>19%</a:t>
            </a:fld>
            <a:endParaRPr lang="en-US" sz="1100" b="0" i="0" u="none" strike="noStrike">
              <a:solidFill>
                <a:srgbClr val="000000"/>
              </a:solidFill>
              <a:latin typeface="Calibri"/>
              <a:cs typeface="Calibri"/>
            </a:endParaRPr>
          </a:p>
        </xdr:txBody>
      </xdr:sp>
      <xdr:sp macro="" textlink="$H$8">
        <xdr:nvSpPr>
          <xdr:cNvPr id="53" name="RectH8">
            <a:extLst>
              <a:ext uri="{FF2B5EF4-FFF2-40B4-BE49-F238E27FC236}">
                <a16:creationId xmlns:a16="http://schemas.microsoft.com/office/drawing/2014/main" id="{00000000-0008-0000-0D00-000035000000}"/>
              </a:ext>
            </a:extLst>
          </xdr:cNvPr>
          <xdr:cNvSpPr/>
        </xdr:nvSpPr>
        <xdr:spPr>
          <a:xfrm>
            <a:off x="9083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0890D12-1CA9-4BC0-9CE3-0E982FDD8ECF}" type="TxLink">
              <a:rPr lang="en-US" sz="1000" b="0" i="0" u="none" strike="noStrike">
                <a:solidFill>
                  <a:srgbClr val="000000"/>
                </a:solidFill>
                <a:latin typeface="Arial"/>
                <a:cs typeface="Arial"/>
              </a:rPr>
              <a:pPr algn="ctr"/>
              <a:t>26%</a:t>
            </a:fld>
            <a:endParaRPr lang="en-US" sz="1100" b="0" i="0" u="none" strike="noStrike">
              <a:solidFill>
                <a:srgbClr val="000000"/>
              </a:solidFill>
              <a:latin typeface="Calibri"/>
              <a:cs typeface="Calibri"/>
            </a:endParaRPr>
          </a:p>
        </xdr:txBody>
      </xdr:sp>
      <xdr:sp macro="" textlink="$B$9">
        <xdr:nvSpPr>
          <xdr:cNvPr id="54" name="RectB9">
            <a:extLst>
              <a:ext uri="{FF2B5EF4-FFF2-40B4-BE49-F238E27FC236}">
                <a16:creationId xmlns:a16="http://schemas.microsoft.com/office/drawing/2014/main" id="{00000000-0008-0000-0D00-000036000000}"/>
              </a:ext>
            </a:extLst>
          </xdr:cNvPr>
          <xdr:cNvSpPr/>
        </xdr:nvSpPr>
        <xdr:spPr>
          <a:xfrm>
            <a:off x="1209675" y="63741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06DC355-CBF4-4E99-9BCA-A87ED588029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Current Liability Ratio</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9">
        <xdr:nvSpPr>
          <xdr:cNvPr id="55" name="RectC9">
            <a:extLst>
              <a:ext uri="{FF2B5EF4-FFF2-40B4-BE49-F238E27FC236}">
                <a16:creationId xmlns:a16="http://schemas.microsoft.com/office/drawing/2014/main" id="{00000000-0008-0000-0D00-000037000000}"/>
              </a:ext>
            </a:extLst>
          </xdr:cNvPr>
          <xdr:cNvSpPr/>
        </xdr:nvSpPr>
        <xdr:spPr>
          <a:xfrm>
            <a:off x="3432175" y="63741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60522CC-8E28-467E-817D-F5C3892C3F0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CL / Equities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56" name="RectD9">
            <a:extLst>
              <a:ext uri="{FF2B5EF4-FFF2-40B4-BE49-F238E27FC236}">
                <a16:creationId xmlns:a16="http://schemas.microsoft.com/office/drawing/2014/main" id="{00000000-0008-0000-0D00-000038000000}"/>
              </a:ext>
            </a:extLst>
          </xdr:cNvPr>
          <xdr:cNvSpPr/>
        </xdr:nvSpPr>
        <xdr:spPr>
          <a:xfrm>
            <a:off x="5019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9">
        <xdr:nvSpPr>
          <xdr:cNvPr id="57" name="RectE9">
            <a:extLst>
              <a:ext uri="{FF2B5EF4-FFF2-40B4-BE49-F238E27FC236}">
                <a16:creationId xmlns:a16="http://schemas.microsoft.com/office/drawing/2014/main" id="{00000000-0008-0000-0D00-000039000000}"/>
              </a:ext>
            </a:extLst>
          </xdr:cNvPr>
          <xdr:cNvSpPr/>
        </xdr:nvSpPr>
        <xdr:spPr>
          <a:xfrm>
            <a:off x="6035675" y="63741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1FBA08A-885D-4835-83C4-56F56A27D03B}" type="TxLink">
              <a:rPr lang="en-US" sz="1000" b="0" i="0" u="none" strike="noStrike">
                <a:solidFill>
                  <a:srgbClr val="000000"/>
                </a:solidFill>
                <a:latin typeface="Arial"/>
                <a:cs typeface="Arial"/>
              </a:rPr>
              <a:pPr algn="ctr"/>
              <a:t>1.20</a:t>
            </a:fld>
            <a:endParaRPr lang="en-US" sz="1100" b="0" i="0" u="none" strike="noStrike">
              <a:solidFill>
                <a:srgbClr val="000000"/>
              </a:solidFill>
              <a:latin typeface="Calibri"/>
              <a:cs typeface="Calibri"/>
            </a:endParaRPr>
          </a:p>
        </xdr:txBody>
      </xdr:sp>
      <xdr:sp macro="" textlink="$F$9">
        <xdr:nvSpPr>
          <xdr:cNvPr id="58" name="RectF9">
            <a:extLst>
              <a:ext uri="{FF2B5EF4-FFF2-40B4-BE49-F238E27FC236}">
                <a16:creationId xmlns:a16="http://schemas.microsoft.com/office/drawing/2014/main" id="{00000000-0008-0000-0D00-00003A000000}"/>
              </a:ext>
            </a:extLst>
          </xdr:cNvPr>
          <xdr:cNvSpPr/>
        </xdr:nvSpPr>
        <xdr:spPr>
          <a:xfrm>
            <a:off x="7051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4387A1B-1258-4393-99C3-3C66B1E699FE}" type="TxLink">
              <a:rPr lang="en-US" sz="1000" b="0" i="0" u="none" strike="noStrike">
                <a:solidFill>
                  <a:srgbClr val="000000"/>
                </a:solidFill>
                <a:latin typeface="Arial"/>
                <a:cs typeface="Arial"/>
              </a:rPr>
              <a:pPr algn="ctr"/>
              <a:t>1.06</a:t>
            </a:fld>
            <a:endParaRPr lang="en-US" sz="1100" b="0" i="0" u="none" strike="noStrike">
              <a:solidFill>
                <a:srgbClr val="000000"/>
              </a:solidFill>
              <a:latin typeface="Calibri"/>
              <a:cs typeface="Calibri"/>
            </a:endParaRPr>
          </a:p>
        </xdr:txBody>
      </xdr:sp>
      <xdr:sp macro="" textlink="$G$9">
        <xdr:nvSpPr>
          <xdr:cNvPr id="59" name="RectG9">
            <a:extLst>
              <a:ext uri="{FF2B5EF4-FFF2-40B4-BE49-F238E27FC236}">
                <a16:creationId xmlns:a16="http://schemas.microsoft.com/office/drawing/2014/main" id="{00000000-0008-0000-0D00-00003B000000}"/>
              </a:ext>
            </a:extLst>
          </xdr:cNvPr>
          <xdr:cNvSpPr/>
        </xdr:nvSpPr>
        <xdr:spPr>
          <a:xfrm>
            <a:off x="8067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A0B07FB-3F39-431E-A206-536703F246A8}" type="TxLink">
              <a:rPr lang="en-US" sz="1000" b="0" i="0" u="none" strike="noStrike">
                <a:solidFill>
                  <a:srgbClr val="000000"/>
                </a:solidFill>
                <a:latin typeface="Arial"/>
                <a:cs typeface="Arial"/>
              </a:rPr>
              <a:pPr algn="ctr"/>
              <a:t>0.73</a:t>
            </a:fld>
            <a:endParaRPr lang="en-US" sz="1100" b="0" i="0" u="none" strike="noStrike">
              <a:solidFill>
                <a:srgbClr val="000000"/>
              </a:solidFill>
              <a:latin typeface="Calibri"/>
              <a:cs typeface="Calibri"/>
            </a:endParaRPr>
          </a:p>
        </xdr:txBody>
      </xdr:sp>
      <xdr:sp macro="" textlink="$H$9">
        <xdr:nvSpPr>
          <xdr:cNvPr id="60" name="RectH9">
            <a:extLst>
              <a:ext uri="{FF2B5EF4-FFF2-40B4-BE49-F238E27FC236}">
                <a16:creationId xmlns:a16="http://schemas.microsoft.com/office/drawing/2014/main" id="{00000000-0008-0000-0D00-00003C000000}"/>
              </a:ext>
            </a:extLst>
          </xdr:cNvPr>
          <xdr:cNvSpPr/>
        </xdr:nvSpPr>
        <xdr:spPr>
          <a:xfrm>
            <a:off x="9083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9E23A1-460F-49C9-85BB-5EB92678BC03}" type="TxLink">
              <a:rPr lang="en-US" sz="1000" b="0" i="0" u="none" strike="noStrike">
                <a:solidFill>
                  <a:srgbClr val="000000"/>
                </a:solidFill>
                <a:latin typeface="Arial"/>
                <a:cs typeface="Arial"/>
              </a:rPr>
              <a:pPr algn="ctr"/>
              <a:t>0.28</a:t>
            </a:fld>
            <a:endParaRPr lang="en-US" sz="1100" b="0" i="0" u="none" strike="noStrike">
              <a:solidFill>
                <a:srgbClr val="000000"/>
              </a:solidFill>
              <a:latin typeface="Calibri"/>
              <a:cs typeface="Calibri"/>
            </a:endParaRPr>
          </a:p>
        </xdr:txBody>
      </xdr:sp>
      <xdr:sp macro="" textlink="$B$10">
        <xdr:nvSpPr>
          <xdr:cNvPr id="64" name="RectB10">
            <a:extLst>
              <a:ext uri="{FF2B5EF4-FFF2-40B4-BE49-F238E27FC236}">
                <a16:creationId xmlns:a16="http://schemas.microsoft.com/office/drawing/2014/main" id="{00000000-0008-0000-0D00-000040000000}"/>
              </a:ext>
            </a:extLst>
          </xdr:cNvPr>
          <xdr:cNvSpPr/>
        </xdr:nvSpPr>
        <xdr:spPr>
          <a:xfrm>
            <a:off x="1209675" y="655700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F9778371-1BD2-481D-B1B3-9A1101696D4B}"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Quick Ratio</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10">
        <xdr:nvSpPr>
          <xdr:cNvPr id="65" name="RectC10">
            <a:extLst>
              <a:ext uri="{FF2B5EF4-FFF2-40B4-BE49-F238E27FC236}">
                <a16:creationId xmlns:a16="http://schemas.microsoft.com/office/drawing/2014/main" id="{00000000-0008-0000-0D00-000041000000}"/>
              </a:ext>
            </a:extLst>
          </xdr:cNvPr>
          <xdr:cNvSpPr/>
        </xdr:nvSpPr>
        <xdr:spPr>
          <a:xfrm>
            <a:off x="3432175" y="655700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805C983-23B6-42A6-A1FA-E724E8D94B0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 AR) / CL</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66" name="RectD10">
            <a:extLst>
              <a:ext uri="{FF2B5EF4-FFF2-40B4-BE49-F238E27FC236}">
                <a16:creationId xmlns:a16="http://schemas.microsoft.com/office/drawing/2014/main" id="{00000000-0008-0000-0D00-000042000000}"/>
              </a:ext>
            </a:extLst>
          </xdr:cNvPr>
          <xdr:cNvSpPr/>
        </xdr:nvSpPr>
        <xdr:spPr>
          <a:xfrm>
            <a:off x="5019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10">
        <xdr:nvSpPr>
          <xdr:cNvPr id="67" name="RectE10">
            <a:extLst>
              <a:ext uri="{FF2B5EF4-FFF2-40B4-BE49-F238E27FC236}">
                <a16:creationId xmlns:a16="http://schemas.microsoft.com/office/drawing/2014/main" id="{00000000-0008-0000-0D00-000043000000}"/>
              </a:ext>
            </a:extLst>
          </xdr:cNvPr>
          <xdr:cNvSpPr/>
        </xdr:nvSpPr>
        <xdr:spPr>
          <a:xfrm>
            <a:off x="6035675" y="655700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FF38A5F-9D34-42A0-B290-A35B1AA5E90F}" type="TxLink">
              <a:rPr lang="en-US" sz="1000" b="0" i="0" u="none" strike="noStrike">
                <a:solidFill>
                  <a:srgbClr val="000000"/>
                </a:solidFill>
                <a:latin typeface="Arial"/>
                <a:cs typeface="Arial"/>
              </a:rPr>
              <a:pPr algn="ctr"/>
              <a:t>0.49</a:t>
            </a:fld>
            <a:endParaRPr lang="en-US" sz="1100" b="0" i="0" u="none" strike="noStrike">
              <a:solidFill>
                <a:srgbClr val="000000"/>
              </a:solidFill>
              <a:latin typeface="Calibri"/>
              <a:cs typeface="Calibri"/>
            </a:endParaRPr>
          </a:p>
        </xdr:txBody>
      </xdr:sp>
      <xdr:sp macro="" textlink="$F$10">
        <xdr:nvSpPr>
          <xdr:cNvPr id="68" name="RectF10">
            <a:extLst>
              <a:ext uri="{FF2B5EF4-FFF2-40B4-BE49-F238E27FC236}">
                <a16:creationId xmlns:a16="http://schemas.microsoft.com/office/drawing/2014/main" id="{00000000-0008-0000-0D00-000044000000}"/>
              </a:ext>
            </a:extLst>
          </xdr:cNvPr>
          <xdr:cNvSpPr/>
        </xdr:nvSpPr>
        <xdr:spPr>
          <a:xfrm>
            <a:off x="7051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869FFA-BBEC-4B89-A408-6BB268AAFA19}" type="TxLink">
              <a:rPr lang="en-US" sz="1000" b="0" i="0" u="none" strike="noStrike">
                <a:solidFill>
                  <a:srgbClr val="000000"/>
                </a:solidFill>
                <a:latin typeface="Arial"/>
                <a:cs typeface="Arial"/>
              </a:rPr>
              <a:pPr algn="ctr"/>
              <a:t>0.49</a:t>
            </a:fld>
            <a:endParaRPr lang="en-US" sz="1100" b="0" i="0" u="none" strike="noStrike">
              <a:solidFill>
                <a:srgbClr val="000000"/>
              </a:solidFill>
              <a:latin typeface="Calibri"/>
              <a:cs typeface="Calibri"/>
            </a:endParaRPr>
          </a:p>
        </xdr:txBody>
      </xdr:sp>
      <xdr:sp macro="" textlink="$G$10">
        <xdr:nvSpPr>
          <xdr:cNvPr id="69" name="RectG10">
            <a:extLst>
              <a:ext uri="{FF2B5EF4-FFF2-40B4-BE49-F238E27FC236}">
                <a16:creationId xmlns:a16="http://schemas.microsoft.com/office/drawing/2014/main" id="{00000000-0008-0000-0D00-000045000000}"/>
              </a:ext>
            </a:extLst>
          </xdr:cNvPr>
          <xdr:cNvSpPr/>
        </xdr:nvSpPr>
        <xdr:spPr>
          <a:xfrm>
            <a:off x="8067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86A757-0225-478A-AF5E-AB8A644FC336}" type="TxLink">
              <a:rPr lang="en-US" sz="1000" b="0" i="0" u="none" strike="noStrike">
                <a:solidFill>
                  <a:srgbClr val="000000"/>
                </a:solidFill>
                <a:latin typeface="Arial"/>
                <a:cs typeface="Arial"/>
              </a:rPr>
              <a:pPr algn="ctr"/>
              <a:t>0.68</a:t>
            </a:fld>
            <a:endParaRPr lang="en-US" sz="1100" b="0" i="0" u="none" strike="noStrike">
              <a:solidFill>
                <a:srgbClr val="000000"/>
              </a:solidFill>
              <a:latin typeface="Calibri"/>
              <a:cs typeface="Calibri"/>
            </a:endParaRPr>
          </a:p>
        </xdr:txBody>
      </xdr:sp>
      <xdr:sp macro="" textlink="$H$10">
        <xdr:nvSpPr>
          <xdr:cNvPr id="70" name="RectH10">
            <a:extLst>
              <a:ext uri="{FF2B5EF4-FFF2-40B4-BE49-F238E27FC236}">
                <a16:creationId xmlns:a16="http://schemas.microsoft.com/office/drawing/2014/main" id="{00000000-0008-0000-0D00-000046000000}"/>
              </a:ext>
            </a:extLst>
          </xdr:cNvPr>
          <xdr:cNvSpPr/>
        </xdr:nvSpPr>
        <xdr:spPr>
          <a:xfrm>
            <a:off x="9083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77F8082-A3C6-4667-96DF-D9C70971C697}" type="TxLink">
              <a:rPr lang="en-US" sz="1000" b="0" i="0" u="none" strike="noStrike">
                <a:solidFill>
                  <a:srgbClr val="000000"/>
                </a:solidFill>
                <a:latin typeface="Arial"/>
                <a:cs typeface="Arial"/>
              </a:rPr>
              <a:pPr algn="ctr"/>
              <a:t>0.82</a:t>
            </a:fld>
            <a:endParaRPr lang="en-US" sz="1100" b="0" i="0" u="none" strike="noStrike">
              <a:solidFill>
                <a:srgbClr val="000000"/>
              </a:solidFill>
              <a:latin typeface="Calibri"/>
              <a:cs typeface="Calibri"/>
            </a:endParaRPr>
          </a:p>
        </xdr:txBody>
      </xdr:sp>
      <xdr:sp macro="" textlink="$B$11">
        <xdr:nvSpPr>
          <xdr:cNvPr id="71" name="RectB11">
            <a:extLst>
              <a:ext uri="{FF2B5EF4-FFF2-40B4-BE49-F238E27FC236}">
                <a16:creationId xmlns:a16="http://schemas.microsoft.com/office/drawing/2014/main" id="{00000000-0008-0000-0D00-000047000000}"/>
              </a:ext>
            </a:extLst>
          </xdr:cNvPr>
          <xdr:cNvSpPr/>
        </xdr:nvSpPr>
        <xdr:spPr>
          <a:xfrm>
            <a:off x="1209675" y="673988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CF6BBA2-33A2-451C-81CF-CC56AA1D672E}"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Quick Assets to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11">
        <xdr:nvSpPr>
          <xdr:cNvPr id="72" name="RectC11">
            <a:extLst>
              <a:ext uri="{FF2B5EF4-FFF2-40B4-BE49-F238E27FC236}">
                <a16:creationId xmlns:a16="http://schemas.microsoft.com/office/drawing/2014/main" id="{00000000-0008-0000-0D00-000048000000}"/>
              </a:ext>
            </a:extLst>
          </xdr:cNvPr>
          <xdr:cNvSpPr/>
        </xdr:nvSpPr>
        <xdr:spPr>
          <a:xfrm>
            <a:off x="3432175" y="673988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1797F72-C9E0-45B7-95BF-F69343CC078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(Cash + AR)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73" name="RectD11">
            <a:extLst>
              <a:ext uri="{FF2B5EF4-FFF2-40B4-BE49-F238E27FC236}">
                <a16:creationId xmlns:a16="http://schemas.microsoft.com/office/drawing/2014/main" id="{00000000-0008-0000-0D00-000049000000}"/>
              </a:ext>
            </a:extLst>
          </xdr:cNvPr>
          <xdr:cNvSpPr/>
        </xdr:nvSpPr>
        <xdr:spPr>
          <a:xfrm>
            <a:off x="5019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11">
        <xdr:nvSpPr>
          <xdr:cNvPr id="74" name="RectE11">
            <a:extLst>
              <a:ext uri="{FF2B5EF4-FFF2-40B4-BE49-F238E27FC236}">
                <a16:creationId xmlns:a16="http://schemas.microsoft.com/office/drawing/2014/main" id="{00000000-0008-0000-0D00-00004A000000}"/>
              </a:ext>
            </a:extLst>
          </xdr:cNvPr>
          <xdr:cNvSpPr/>
        </xdr:nvSpPr>
        <xdr:spPr>
          <a:xfrm>
            <a:off x="6035675" y="673988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87AB0F5-EEC2-4662-B64C-F45E6213BF4C}" type="TxLink">
              <a:rPr lang="en-US" sz="1000" b="0" i="0" u="none" strike="noStrike">
                <a:solidFill>
                  <a:srgbClr val="000000"/>
                </a:solidFill>
                <a:latin typeface="Arial"/>
                <a:cs typeface="Arial"/>
              </a:rPr>
              <a:pPr algn="ctr"/>
              <a:t>12%</a:t>
            </a:fld>
            <a:endParaRPr lang="en-US" sz="1100" b="0" i="0" u="none" strike="noStrike">
              <a:solidFill>
                <a:srgbClr val="000000"/>
              </a:solidFill>
              <a:latin typeface="Calibri"/>
              <a:cs typeface="Calibri"/>
            </a:endParaRPr>
          </a:p>
        </xdr:txBody>
      </xdr:sp>
      <xdr:sp macro="" textlink="$F$11">
        <xdr:nvSpPr>
          <xdr:cNvPr id="75" name="RectF11">
            <a:extLst>
              <a:ext uri="{FF2B5EF4-FFF2-40B4-BE49-F238E27FC236}">
                <a16:creationId xmlns:a16="http://schemas.microsoft.com/office/drawing/2014/main" id="{00000000-0008-0000-0D00-00004B000000}"/>
              </a:ext>
            </a:extLst>
          </xdr:cNvPr>
          <xdr:cNvSpPr/>
        </xdr:nvSpPr>
        <xdr:spPr>
          <a:xfrm>
            <a:off x="7051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83A2D9A-4DAF-43EC-A000-B89E2CC3A64D}" type="TxLink">
              <a:rPr lang="en-US" sz="1000" b="0" i="0" u="none" strike="noStrike">
                <a:solidFill>
                  <a:srgbClr val="000000"/>
                </a:solidFill>
                <a:latin typeface="Arial"/>
                <a:cs typeface="Arial"/>
              </a:rPr>
              <a:pPr algn="ctr"/>
              <a:t>9%</a:t>
            </a:fld>
            <a:endParaRPr lang="en-US" sz="1100" b="0" i="0" u="none" strike="noStrike">
              <a:solidFill>
                <a:srgbClr val="000000"/>
              </a:solidFill>
              <a:latin typeface="Calibri"/>
              <a:cs typeface="Calibri"/>
            </a:endParaRPr>
          </a:p>
        </xdr:txBody>
      </xdr:sp>
      <xdr:sp macro="" textlink="$G$11">
        <xdr:nvSpPr>
          <xdr:cNvPr id="76" name="RectG11">
            <a:extLst>
              <a:ext uri="{FF2B5EF4-FFF2-40B4-BE49-F238E27FC236}">
                <a16:creationId xmlns:a16="http://schemas.microsoft.com/office/drawing/2014/main" id="{00000000-0008-0000-0D00-00004C000000}"/>
              </a:ext>
            </a:extLst>
          </xdr:cNvPr>
          <xdr:cNvSpPr/>
        </xdr:nvSpPr>
        <xdr:spPr>
          <a:xfrm>
            <a:off x="8067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FF5FA1E-0F53-47D2-82C4-13AF31852A6A}" type="TxLink">
              <a:rPr lang="en-US" sz="1000" b="0" i="0" u="none" strike="noStrike">
                <a:solidFill>
                  <a:srgbClr val="000000"/>
                </a:solidFill>
                <a:latin typeface="Arial"/>
                <a:cs typeface="Arial"/>
              </a:rPr>
              <a:pPr algn="ctr"/>
              <a:t>12%</a:t>
            </a:fld>
            <a:endParaRPr lang="en-US" sz="1100" b="0" i="0" u="none" strike="noStrike">
              <a:solidFill>
                <a:srgbClr val="000000"/>
              </a:solidFill>
              <a:latin typeface="Calibri"/>
              <a:cs typeface="Calibri"/>
            </a:endParaRPr>
          </a:p>
        </xdr:txBody>
      </xdr:sp>
      <xdr:sp macro="" textlink="$H$11">
        <xdr:nvSpPr>
          <xdr:cNvPr id="77" name="RectH11">
            <a:extLst>
              <a:ext uri="{FF2B5EF4-FFF2-40B4-BE49-F238E27FC236}">
                <a16:creationId xmlns:a16="http://schemas.microsoft.com/office/drawing/2014/main" id="{00000000-0008-0000-0D00-00004D000000}"/>
              </a:ext>
            </a:extLst>
          </xdr:cNvPr>
          <xdr:cNvSpPr/>
        </xdr:nvSpPr>
        <xdr:spPr>
          <a:xfrm>
            <a:off x="9083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3E4069-A2A2-4D17-A22A-A0B9E97217DE}" type="TxLink">
              <a:rPr lang="en-US" sz="1000" b="0" i="0" u="none" strike="noStrike">
                <a:solidFill>
                  <a:srgbClr val="000000"/>
                </a:solidFill>
                <a:latin typeface="Arial"/>
                <a:cs typeface="Arial"/>
              </a:rPr>
              <a:pPr algn="ctr"/>
              <a:t>15%</a:t>
            </a:fld>
            <a:endParaRPr lang="en-US" sz="1100" b="0" i="0" u="none" strike="noStrike">
              <a:solidFill>
                <a:srgbClr val="000000"/>
              </a:solidFill>
              <a:latin typeface="Calibri"/>
              <a:cs typeface="Calibri"/>
            </a:endParaRPr>
          </a:p>
        </xdr:txBody>
      </xdr:sp>
      <xdr:sp macro="" textlink="$B$12">
        <xdr:nvSpPr>
          <xdr:cNvPr id="78" name="RectB12">
            <a:extLst>
              <a:ext uri="{FF2B5EF4-FFF2-40B4-BE49-F238E27FC236}">
                <a16:creationId xmlns:a16="http://schemas.microsoft.com/office/drawing/2014/main" id="{00000000-0008-0000-0D00-00004E000000}"/>
              </a:ext>
            </a:extLst>
          </xdr:cNvPr>
          <xdr:cNvSpPr/>
        </xdr:nvSpPr>
        <xdr:spPr>
          <a:xfrm>
            <a:off x="1209675" y="692276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B29533EA-51E0-4F24-96EC-1AC952AA10C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Inventory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12">
        <xdr:nvSpPr>
          <xdr:cNvPr id="79" name="RectC12">
            <a:extLst>
              <a:ext uri="{FF2B5EF4-FFF2-40B4-BE49-F238E27FC236}">
                <a16:creationId xmlns:a16="http://schemas.microsoft.com/office/drawing/2014/main" id="{00000000-0008-0000-0D00-00004F000000}"/>
              </a:ext>
            </a:extLst>
          </xdr:cNvPr>
          <xdr:cNvSpPr/>
        </xdr:nvSpPr>
        <xdr:spPr>
          <a:xfrm>
            <a:off x="3432175" y="692276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B2F145D-B10F-49A1-9DF6-D101D029EA4B}"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Inventory / CA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80" name="RectD12">
            <a:extLst>
              <a:ext uri="{FF2B5EF4-FFF2-40B4-BE49-F238E27FC236}">
                <a16:creationId xmlns:a16="http://schemas.microsoft.com/office/drawing/2014/main" id="{00000000-0008-0000-0D00-000050000000}"/>
              </a:ext>
            </a:extLst>
          </xdr:cNvPr>
          <xdr:cNvSpPr/>
        </xdr:nvSpPr>
        <xdr:spPr>
          <a:xfrm>
            <a:off x="5019675" y="69227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12">
        <xdr:nvSpPr>
          <xdr:cNvPr id="81" name="RectE12">
            <a:extLst>
              <a:ext uri="{FF2B5EF4-FFF2-40B4-BE49-F238E27FC236}">
                <a16:creationId xmlns:a16="http://schemas.microsoft.com/office/drawing/2014/main" id="{00000000-0008-0000-0D00-000051000000}"/>
              </a:ext>
            </a:extLst>
          </xdr:cNvPr>
          <xdr:cNvSpPr/>
        </xdr:nvSpPr>
        <xdr:spPr>
          <a:xfrm>
            <a:off x="6035675" y="692276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AA41C67-425F-47AC-B733-EA6545C938C6}" type="TxLink">
              <a:rPr lang="en-US" sz="1000" b="0" i="0" u="none" strike="noStrike">
                <a:solidFill>
                  <a:srgbClr val="000000"/>
                </a:solidFill>
                <a:latin typeface="Arial"/>
                <a:cs typeface="Arial"/>
              </a:rPr>
              <a:pPr algn="ctr"/>
              <a:t>37%</a:t>
            </a:fld>
            <a:endParaRPr lang="en-US" sz="1100" b="0" i="0" u="none" strike="noStrike">
              <a:solidFill>
                <a:srgbClr val="000000"/>
              </a:solidFill>
              <a:latin typeface="Calibri"/>
              <a:cs typeface="Calibri"/>
            </a:endParaRPr>
          </a:p>
        </xdr:txBody>
      </xdr:sp>
      <xdr:sp macro="" textlink="$F$12">
        <xdr:nvSpPr>
          <xdr:cNvPr id="82" name="RectF12">
            <a:extLst>
              <a:ext uri="{FF2B5EF4-FFF2-40B4-BE49-F238E27FC236}">
                <a16:creationId xmlns:a16="http://schemas.microsoft.com/office/drawing/2014/main" id="{00000000-0008-0000-0D00-000052000000}"/>
              </a:ext>
            </a:extLst>
          </xdr:cNvPr>
          <xdr:cNvSpPr/>
        </xdr:nvSpPr>
        <xdr:spPr>
          <a:xfrm>
            <a:off x="7051675" y="69227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309BCDF-C2A5-4E2C-B6C0-53E7471163FC}" type="TxLink">
              <a:rPr lang="en-US" sz="1000" b="0" i="0" u="none" strike="noStrike">
                <a:solidFill>
                  <a:srgbClr val="000000"/>
                </a:solidFill>
                <a:latin typeface="Arial"/>
                <a:cs typeface="Arial"/>
              </a:rPr>
              <a:pPr algn="ctr"/>
              <a:t>33%</a:t>
            </a:fld>
            <a:endParaRPr lang="en-US" sz="1100" b="0" i="0" u="none" strike="noStrike">
              <a:solidFill>
                <a:srgbClr val="000000"/>
              </a:solidFill>
              <a:latin typeface="Calibri"/>
              <a:cs typeface="Calibri"/>
            </a:endParaRPr>
          </a:p>
        </xdr:txBody>
      </xdr:sp>
      <xdr:sp macro="" textlink="$G$12">
        <xdr:nvSpPr>
          <xdr:cNvPr id="83" name="RectG12">
            <a:extLst>
              <a:ext uri="{FF2B5EF4-FFF2-40B4-BE49-F238E27FC236}">
                <a16:creationId xmlns:a16="http://schemas.microsoft.com/office/drawing/2014/main" id="{00000000-0008-0000-0D00-000053000000}"/>
              </a:ext>
            </a:extLst>
          </xdr:cNvPr>
          <xdr:cNvSpPr/>
        </xdr:nvSpPr>
        <xdr:spPr>
          <a:xfrm>
            <a:off x="8067675" y="69227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8CD88CC-01EF-45A2-A21F-F26997EDC973}" type="TxLink">
              <a:rPr lang="en-US" sz="1000" b="0" i="0" u="none" strike="noStrike">
                <a:solidFill>
                  <a:srgbClr val="000000"/>
                </a:solidFill>
                <a:latin typeface="Arial"/>
                <a:cs typeface="Arial"/>
              </a:rPr>
              <a:pPr algn="ctr"/>
              <a:t>44%</a:t>
            </a:fld>
            <a:endParaRPr lang="en-US" sz="1100" b="0" i="0" u="none" strike="noStrike">
              <a:solidFill>
                <a:srgbClr val="000000"/>
              </a:solidFill>
              <a:latin typeface="Calibri"/>
              <a:cs typeface="Calibri"/>
            </a:endParaRPr>
          </a:p>
        </xdr:txBody>
      </xdr:sp>
      <xdr:sp macro="" textlink="$B$13">
        <xdr:nvSpPr>
          <xdr:cNvPr id="84" name="RectB13">
            <a:extLst>
              <a:ext uri="{FF2B5EF4-FFF2-40B4-BE49-F238E27FC236}">
                <a16:creationId xmlns:a16="http://schemas.microsoft.com/office/drawing/2014/main" id="{00000000-0008-0000-0D00-000054000000}"/>
              </a:ext>
            </a:extLst>
          </xdr:cNvPr>
          <xdr:cNvSpPr/>
        </xdr:nvSpPr>
        <xdr:spPr>
          <a:xfrm>
            <a:off x="1209675" y="7105649"/>
            <a:ext cx="2222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4563BE75-4D78-4F45-8310-4D3B57419D61}"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l"/>
              <a:t>Liquidity Score</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C$13">
        <xdr:nvSpPr>
          <xdr:cNvPr id="85" name="RectC13">
            <a:extLst>
              <a:ext uri="{FF2B5EF4-FFF2-40B4-BE49-F238E27FC236}">
                <a16:creationId xmlns:a16="http://schemas.microsoft.com/office/drawing/2014/main" id="{00000000-0008-0000-0D00-000055000000}"/>
              </a:ext>
            </a:extLst>
          </xdr:cNvPr>
          <xdr:cNvSpPr/>
        </xdr:nvSpPr>
        <xdr:spPr>
          <a:xfrm>
            <a:off x="3432175" y="7105649"/>
            <a:ext cx="1587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AF8E92D-DB2E-4E22-99C1-587C8AE8E9A8}"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l"/>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86" name="RectD13">
            <a:extLst>
              <a:ext uri="{FF2B5EF4-FFF2-40B4-BE49-F238E27FC236}">
                <a16:creationId xmlns:a16="http://schemas.microsoft.com/office/drawing/2014/main" id="{00000000-0008-0000-0D00-000056000000}"/>
              </a:ext>
            </a:extLst>
          </xdr:cNvPr>
          <xdr:cNvSpPr/>
        </xdr:nvSpPr>
        <xdr:spPr>
          <a:xfrm>
            <a:off x="5019675" y="7105649"/>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E$13">
        <xdr:nvSpPr>
          <xdr:cNvPr id="87" name="RectE13">
            <a:extLst>
              <a:ext uri="{FF2B5EF4-FFF2-40B4-BE49-F238E27FC236}">
                <a16:creationId xmlns:a16="http://schemas.microsoft.com/office/drawing/2014/main" id="{00000000-0008-0000-0D00-000057000000}"/>
              </a:ext>
            </a:extLst>
          </xdr:cNvPr>
          <xdr:cNvSpPr/>
        </xdr:nvSpPr>
        <xdr:spPr>
          <a:xfrm>
            <a:off x="6035675" y="7105649"/>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8BBE017-3ABA-4831-A002-9D0A869FB8E7}"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56%</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F$13">
        <xdr:nvSpPr>
          <xdr:cNvPr id="88" name="RectF13">
            <a:extLst>
              <a:ext uri="{FF2B5EF4-FFF2-40B4-BE49-F238E27FC236}">
                <a16:creationId xmlns:a16="http://schemas.microsoft.com/office/drawing/2014/main" id="{00000000-0008-0000-0D00-000058000000}"/>
              </a:ext>
            </a:extLst>
          </xdr:cNvPr>
          <xdr:cNvSpPr/>
        </xdr:nvSpPr>
        <xdr:spPr>
          <a:xfrm>
            <a:off x="7051675" y="7105649"/>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6562BAF-11B4-42D6-A6A4-96A85C2642C3}"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39%</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G$13">
        <xdr:nvSpPr>
          <xdr:cNvPr id="89" name="RectG13">
            <a:extLst>
              <a:ext uri="{FF2B5EF4-FFF2-40B4-BE49-F238E27FC236}">
                <a16:creationId xmlns:a16="http://schemas.microsoft.com/office/drawing/2014/main" id="{00000000-0008-0000-0D00-000059000000}"/>
              </a:ext>
            </a:extLst>
          </xdr:cNvPr>
          <xdr:cNvSpPr/>
        </xdr:nvSpPr>
        <xdr:spPr>
          <a:xfrm>
            <a:off x="8067675" y="7105649"/>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32E6936-7CEE-4CDA-A155-C938187401F9}"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52%</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H$13">
        <xdr:nvSpPr>
          <xdr:cNvPr id="90" name="RectH13">
            <a:extLst>
              <a:ext uri="{FF2B5EF4-FFF2-40B4-BE49-F238E27FC236}">
                <a16:creationId xmlns:a16="http://schemas.microsoft.com/office/drawing/2014/main" id="{00000000-0008-0000-0D00-00005A000000}"/>
              </a:ext>
            </a:extLst>
          </xdr:cNvPr>
          <xdr:cNvSpPr/>
        </xdr:nvSpPr>
        <xdr:spPr>
          <a:xfrm>
            <a:off x="9083675" y="7105649"/>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F408780-86F2-4C21-9CB4-F837978CC6B3}"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60%</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H$12">
        <xdr:nvSpPr>
          <xdr:cNvPr id="91" name="RectH12">
            <a:extLst>
              <a:ext uri="{FF2B5EF4-FFF2-40B4-BE49-F238E27FC236}">
                <a16:creationId xmlns:a16="http://schemas.microsoft.com/office/drawing/2014/main" id="{00000000-0008-0000-0D00-00005B000000}"/>
              </a:ext>
            </a:extLst>
          </xdr:cNvPr>
          <xdr:cNvSpPr/>
        </xdr:nvSpPr>
        <xdr:spPr>
          <a:xfrm>
            <a:off x="9083675" y="69227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2AE3D1-8213-4700-8CDB-D70B4C757782}" type="TxLink">
              <a:rPr lang="en-US" sz="1000" b="0" i="0" u="none" strike="noStrike">
                <a:solidFill>
                  <a:srgbClr val="000000"/>
                </a:solidFill>
                <a:latin typeface="Arial"/>
                <a:cs typeface="Arial"/>
              </a:rPr>
              <a:pPr algn="ctr"/>
              <a:t>46%</a:t>
            </a:fld>
            <a:endParaRPr lang="en-US" sz="1100" b="0" i="0" u="none" strike="noStrike">
              <a:solidFill>
                <a:srgbClr val="000000"/>
              </a:solidFill>
              <a:latin typeface="Calibri"/>
              <a:cs typeface="Calibri"/>
            </a:endParaRPr>
          </a:p>
        </xdr:txBody>
      </xdr:sp>
      <xdr:sp macro="" textlink="">
        <xdr:nvSpPr>
          <xdr:cNvPr id="15360" name="CircleD3">
            <a:extLst>
              <a:ext uri="{FF2B5EF4-FFF2-40B4-BE49-F238E27FC236}">
                <a16:creationId xmlns:a16="http://schemas.microsoft.com/office/drawing/2014/main" id="{00000000-0008-0000-0D00-0000003C0000}"/>
              </a:ext>
            </a:extLst>
          </xdr:cNvPr>
          <xdr:cNvSpPr/>
        </xdr:nvSpPr>
        <xdr:spPr>
          <a:xfrm>
            <a:off x="5459095" y="5299709"/>
            <a:ext cx="137160" cy="137160"/>
          </a:xfrm>
          <a:prstGeom prst="ellipse">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9" name="CircleD4">
            <a:extLst>
              <a:ext uri="{FF2B5EF4-FFF2-40B4-BE49-F238E27FC236}">
                <a16:creationId xmlns:a16="http://schemas.microsoft.com/office/drawing/2014/main" id="{00000000-0008-0000-0D00-0000B3000000}"/>
              </a:ext>
            </a:extLst>
          </xdr:cNvPr>
          <xdr:cNvSpPr/>
        </xdr:nvSpPr>
        <xdr:spPr>
          <a:xfrm>
            <a:off x="5459095" y="548258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0" name="CircleD5">
            <a:extLst>
              <a:ext uri="{FF2B5EF4-FFF2-40B4-BE49-F238E27FC236}">
                <a16:creationId xmlns:a16="http://schemas.microsoft.com/office/drawing/2014/main" id="{00000000-0008-0000-0D00-0000B4000000}"/>
              </a:ext>
            </a:extLst>
          </xdr:cNvPr>
          <xdr:cNvSpPr/>
        </xdr:nvSpPr>
        <xdr:spPr>
          <a:xfrm>
            <a:off x="5459095" y="566546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1" name="CircleD6">
            <a:extLst>
              <a:ext uri="{FF2B5EF4-FFF2-40B4-BE49-F238E27FC236}">
                <a16:creationId xmlns:a16="http://schemas.microsoft.com/office/drawing/2014/main" id="{00000000-0008-0000-0D00-0000B5000000}"/>
              </a:ext>
            </a:extLst>
          </xdr:cNvPr>
          <xdr:cNvSpPr/>
        </xdr:nvSpPr>
        <xdr:spPr>
          <a:xfrm>
            <a:off x="5459095" y="584834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2" name="CircleD7">
            <a:extLst>
              <a:ext uri="{FF2B5EF4-FFF2-40B4-BE49-F238E27FC236}">
                <a16:creationId xmlns:a16="http://schemas.microsoft.com/office/drawing/2014/main" id="{00000000-0008-0000-0D00-0000B6000000}"/>
              </a:ext>
            </a:extLst>
          </xdr:cNvPr>
          <xdr:cNvSpPr/>
        </xdr:nvSpPr>
        <xdr:spPr>
          <a:xfrm>
            <a:off x="5459095" y="6031229"/>
            <a:ext cx="137160" cy="137160"/>
          </a:xfrm>
          <a:prstGeom prst="ellipse">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3" name="CircleD8">
            <a:extLst>
              <a:ext uri="{FF2B5EF4-FFF2-40B4-BE49-F238E27FC236}">
                <a16:creationId xmlns:a16="http://schemas.microsoft.com/office/drawing/2014/main" id="{00000000-0008-0000-0D00-0000B7000000}"/>
              </a:ext>
            </a:extLst>
          </xdr:cNvPr>
          <xdr:cNvSpPr/>
        </xdr:nvSpPr>
        <xdr:spPr>
          <a:xfrm>
            <a:off x="5459095" y="621410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4" name="CircleD9">
            <a:extLst>
              <a:ext uri="{FF2B5EF4-FFF2-40B4-BE49-F238E27FC236}">
                <a16:creationId xmlns:a16="http://schemas.microsoft.com/office/drawing/2014/main" id="{00000000-0008-0000-0D00-0000B8000000}"/>
              </a:ext>
            </a:extLst>
          </xdr:cNvPr>
          <xdr:cNvSpPr/>
        </xdr:nvSpPr>
        <xdr:spPr>
          <a:xfrm>
            <a:off x="5459095" y="6396989"/>
            <a:ext cx="137160" cy="137160"/>
          </a:xfrm>
          <a:prstGeom prst="ellipse">
            <a:avLst/>
          </a:prstGeom>
          <a:solidFill>
            <a:srgbClr val="FF0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5" name="CircleD10">
            <a:extLst>
              <a:ext uri="{FF2B5EF4-FFF2-40B4-BE49-F238E27FC236}">
                <a16:creationId xmlns:a16="http://schemas.microsoft.com/office/drawing/2014/main" id="{00000000-0008-0000-0D00-0000B9000000}"/>
              </a:ext>
            </a:extLst>
          </xdr:cNvPr>
          <xdr:cNvSpPr/>
        </xdr:nvSpPr>
        <xdr:spPr>
          <a:xfrm>
            <a:off x="5459095" y="6579869"/>
            <a:ext cx="137160" cy="137160"/>
          </a:xfrm>
          <a:prstGeom prst="ellipse">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6" name="CircleD11">
            <a:extLst>
              <a:ext uri="{FF2B5EF4-FFF2-40B4-BE49-F238E27FC236}">
                <a16:creationId xmlns:a16="http://schemas.microsoft.com/office/drawing/2014/main" id="{00000000-0008-0000-0D00-0000BA000000}"/>
              </a:ext>
            </a:extLst>
          </xdr:cNvPr>
          <xdr:cNvSpPr/>
        </xdr:nvSpPr>
        <xdr:spPr>
          <a:xfrm>
            <a:off x="5459095" y="676274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7" name="CircleD12">
            <a:extLst>
              <a:ext uri="{FF2B5EF4-FFF2-40B4-BE49-F238E27FC236}">
                <a16:creationId xmlns:a16="http://schemas.microsoft.com/office/drawing/2014/main" id="{00000000-0008-0000-0D00-0000BB000000}"/>
              </a:ext>
            </a:extLst>
          </xdr:cNvPr>
          <xdr:cNvSpPr/>
        </xdr:nvSpPr>
        <xdr:spPr>
          <a:xfrm>
            <a:off x="5459095" y="694562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CircleD13">
            <a:extLst>
              <a:ext uri="{FF2B5EF4-FFF2-40B4-BE49-F238E27FC236}">
                <a16:creationId xmlns:a16="http://schemas.microsoft.com/office/drawing/2014/main" id="{00000000-0008-0000-0D00-0000BC000000}"/>
              </a:ext>
            </a:extLst>
          </xdr:cNvPr>
          <xdr:cNvSpPr/>
        </xdr:nvSpPr>
        <xdr:spPr>
          <a:xfrm>
            <a:off x="5459095" y="712850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1</xdr:colOff>
      <xdr:row>0</xdr:row>
      <xdr:rowOff>133351</xdr:rowOff>
    </xdr:from>
    <xdr:to>
      <xdr:col>14</xdr:col>
      <xdr:colOff>476251</xdr:colOff>
      <xdr:row>32</xdr:row>
      <xdr:rowOff>19051</xdr:rowOff>
    </xdr:to>
    <xdr:graphicFrame macro="">
      <xdr:nvGraphicFramePr>
        <xdr:cNvPr id="2" name="Chart 10">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485775</xdr:colOff>
          <xdr:row>7</xdr:row>
          <xdr:rowOff>123825</xdr:rowOff>
        </xdr:from>
        <xdr:to>
          <xdr:col>19</xdr:col>
          <xdr:colOff>323850</xdr:colOff>
          <xdr:row>9</xdr:row>
          <xdr:rowOff>95250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E00-00000140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14</xdr:row>
          <xdr:rowOff>38100</xdr:rowOff>
        </xdr:from>
        <xdr:to>
          <xdr:col>10</xdr:col>
          <xdr:colOff>514350</xdr:colOff>
          <xdr:row>15</xdr:row>
          <xdr:rowOff>114300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F00-000001D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twoCellAnchor>
    <xdr:from>
      <xdr:col>11</xdr:col>
      <xdr:colOff>381000</xdr:colOff>
      <xdr:row>29</xdr:row>
      <xdr:rowOff>47625</xdr:rowOff>
    </xdr:from>
    <xdr:to>
      <xdr:col>26</xdr:col>
      <xdr:colOff>127000</xdr:colOff>
      <xdr:row>43</xdr:row>
      <xdr:rowOff>17144</xdr:rowOff>
    </xdr:to>
    <xdr:grpSp>
      <xdr:nvGrpSpPr>
        <xdr:cNvPr id="3" name="Group">
          <a:extLst>
            <a:ext uri="{FF2B5EF4-FFF2-40B4-BE49-F238E27FC236}">
              <a16:creationId xmlns:a16="http://schemas.microsoft.com/office/drawing/2014/main" id="{00000000-0008-0000-0F00-000003000000}"/>
            </a:ext>
          </a:extLst>
        </xdr:cNvPr>
        <xdr:cNvGrpSpPr/>
      </xdr:nvGrpSpPr>
      <xdr:grpSpPr>
        <a:xfrm>
          <a:off x="10782300" y="4191000"/>
          <a:ext cx="8890000" cy="1969769"/>
          <a:chOff x="1209675" y="4772025"/>
          <a:chExt cx="8890000" cy="1969769"/>
        </a:xfrm>
      </xdr:grpSpPr>
      <xdr:sp macro="" textlink="$B$1">
        <xdr:nvSpPr>
          <xdr:cNvPr id="4" name="RectB1">
            <a:extLst>
              <a:ext uri="{FF2B5EF4-FFF2-40B4-BE49-F238E27FC236}">
                <a16:creationId xmlns:a16="http://schemas.microsoft.com/office/drawing/2014/main" id="{00000000-0008-0000-0F00-000004000000}"/>
              </a:ext>
            </a:extLst>
          </xdr:cNvPr>
          <xdr:cNvSpPr/>
        </xdr:nvSpPr>
        <xdr:spPr>
          <a:xfrm>
            <a:off x="1209675" y="4772025"/>
            <a:ext cx="2222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35CE51-937F-4E1D-AA56-194F765801BE}" type="TxLink">
              <a:rPr lang="en-US" sz="1000" b="1" i="0" u="none" strike="noStrike">
                <a:solidFill>
                  <a:schemeClr val="bg1"/>
                </a:solidFill>
                <a:latin typeface="Arial" panose="020B0604020202020204" pitchFamily="34" charset="0"/>
                <a:cs typeface="Arial" panose="020B0604020202020204" pitchFamily="34" charset="0"/>
              </a:rPr>
              <a:pPr algn="ctr"/>
              <a:t>Profitability Indicators</a:t>
            </a:fld>
            <a:endParaRPr lang="en-US" sz="1000" b="1">
              <a:solidFill>
                <a:schemeClr val="bg1"/>
              </a:solidFill>
              <a:latin typeface="Arial" panose="020B0604020202020204" pitchFamily="34" charset="0"/>
              <a:cs typeface="Arial" panose="020B0604020202020204" pitchFamily="34" charset="0"/>
            </a:endParaRPr>
          </a:p>
        </xdr:txBody>
      </xdr:sp>
      <xdr:sp macro="" textlink="$C$1">
        <xdr:nvSpPr>
          <xdr:cNvPr id="5" name="RectC1">
            <a:extLst>
              <a:ext uri="{FF2B5EF4-FFF2-40B4-BE49-F238E27FC236}">
                <a16:creationId xmlns:a16="http://schemas.microsoft.com/office/drawing/2014/main" id="{00000000-0008-0000-0F00-000005000000}"/>
              </a:ext>
            </a:extLst>
          </xdr:cNvPr>
          <xdr:cNvSpPr/>
        </xdr:nvSpPr>
        <xdr:spPr>
          <a:xfrm>
            <a:off x="3432175" y="4772025"/>
            <a:ext cx="1587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0E02EC-EF96-42AA-80E3-AF1D2BDB0C73}" type="TxLink">
              <a:rPr lang="en-US" sz="1000" b="1" i="0" u="none" strike="noStrike">
                <a:solidFill>
                  <a:schemeClr val="bg1"/>
                </a:solidFill>
                <a:latin typeface="Arial" panose="020B0604020202020204" pitchFamily="34" charset="0"/>
                <a:cs typeface="Arial" panose="020B0604020202020204" pitchFamily="34" charset="0"/>
              </a:rPr>
              <a:pPr algn="ctr"/>
              <a:t>Metric Formula</a:t>
            </a:fld>
            <a:endParaRPr lang="en-US" sz="1000" b="1">
              <a:solidFill>
                <a:schemeClr val="bg1"/>
              </a:solidFill>
              <a:latin typeface="Arial" panose="020B0604020202020204" pitchFamily="34" charset="0"/>
              <a:cs typeface="Arial" panose="020B0604020202020204" pitchFamily="34" charset="0"/>
            </a:endParaRPr>
          </a:p>
        </xdr:txBody>
      </xdr:sp>
      <xdr:sp macro="" textlink="$D$1">
        <xdr:nvSpPr>
          <xdr:cNvPr id="6" name="RectD1">
            <a:extLst>
              <a:ext uri="{FF2B5EF4-FFF2-40B4-BE49-F238E27FC236}">
                <a16:creationId xmlns:a16="http://schemas.microsoft.com/office/drawing/2014/main" id="{00000000-0008-0000-0F00-000006000000}"/>
              </a:ext>
            </a:extLst>
          </xdr:cNvPr>
          <xdr:cNvSpPr/>
        </xdr:nvSpPr>
        <xdr:spPr>
          <a:xfrm>
            <a:off x="5019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E38089-32EE-450E-A3EA-F999A02EC0CC}" type="TxLink">
              <a:rPr lang="en-US" sz="1000" b="1" i="0" u="none" strike="noStrike">
                <a:solidFill>
                  <a:schemeClr val="bg1"/>
                </a:solidFill>
                <a:latin typeface="Arial" panose="020B0604020202020204" pitchFamily="34" charset="0"/>
                <a:cs typeface="Arial" panose="020B0604020202020204" pitchFamily="34" charset="0"/>
              </a:rPr>
              <a:pPr algn="ctr"/>
              <a:t>Health Indicator</a:t>
            </a:fld>
            <a:endParaRPr lang="en-US" sz="1000" b="1">
              <a:solidFill>
                <a:schemeClr val="bg1"/>
              </a:solidFill>
              <a:latin typeface="Arial" panose="020B0604020202020204" pitchFamily="34" charset="0"/>
              <a:cs typeface="Arial" panose="020B0604020202020204" pitchFamily="34" charset="0"/>
            </a:endParaRPr>
          </a:p>
        </xdr:txBody>
      </xdr:sp>
      <xdr:sp macro="" textlink="$E$1">
        <xdr:nvSpPr>
          <xdr:cNvPr id="7" name="RectE1">
            <a:extLst>
              <a:ext uri="{FF2B5EF4-FFF2-40B4-BE49-F238E27FC236}">
                <a16:creationId xmlns:a16="http://schemas.microsoft.com/office/drawing/2014/main" id="{00000000-0008-0000-0F00-000007000000}"/>
              </a:ext>
            </a:extLst>
          </xdr:cNvPr>
          <xdr:cNvSpPr/>
        </xdr:nvSpPr>
        <xdr:spPr>
          <a:xfrm>
            <a:off x="6035675" y="4772025"/>
            <a:ext cx="1016000" cy="514350"/>
          </a:xfrm>
          <a:prstGeom prst="rect">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A9B23E-67F1-4B05-9D74-0BFB7065E80C}" type="TxLink">
              <a:rPr lang="en-US" sz="1000" b="1" i="0" u="none" strike="noStrike">
                <a:solidFill>
                  <a:sysClr val="windowText" lastClr="000000"/>
                </a:solidFill>
                <a:latin typeface="Arial" panose="020B0604020202020204" pitchFamily="34" charset="0"/>
                <a:cs typeface="Arial" panose="020B0604020202020204" pitchFamily="34" charset="0"/>
              </a:rPr>
              <a:pPr algn="ctr"/>
              <a:t>CAMPBELL SOUP CO</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F$1">
        <xdr:nvSpPr>
          <xdr:cNvPr id="8" name="RectF1">
            <a:extLst>
              <a:ext uri="{FF2B5EF4-FFF2-40B4-BE49-F238E27FC236}">
                <a16:creationId xmlns:a16="http://schemas.microsoft.com/office/drawing/2014/main" id="{00000000-0008-0000-0F00-000008000000}"/>
              </a:ext>
            </a:extLst>
          </xdr:cNvPr>
          <xdr:cNvSpPr/>
        </xdr:nvSpPr>
        <xdr:spPr>
          <a:xfrm>
            <a:off x="7051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2B8644-17C3-47C1-A264-509039EE7B9E}" type="TxLink">
              <a:rPr lang="en-US" sz="1000" b="1" i="0" u="none" strike="noStrike">
                <a:solidFill>
                  <a:schemeClr val="bg1"/>
                </a:solidFill>
                <a:latin typeface="Arial" panose="020B0604020202020204" pitchFamily="34" charset="0"/>
                <a:cs typeface="Arial" panose="020B0604020202020204" pitchFamily="34" charset="0"/>
              </a:rPr>
              <a:pPr algn="ctr"/>
              <a:t>Bottom Q</a:t>
            </a:fld>
            <a:endParaRPr lang="en-US" sz="1000" b="1">
              <a:solidFill>
                <a:schemeClr val="bg1"/>
              </a:solidFill>
              <a:latin typeface="Arial" panose="020B0604020202020204" pitchFamily="34" charset="0"/>
              <a:cs typeface="Arial" panose="020B0604020202020204" pitchFamily="34" charset="0"/>
            </a:endParaRPr>
          </a:p>
        </xdr:txBody>
      </xdr:sp>
      <xdr:sp macro="" textlink="$G$1">
        <xdr:nvSpPr>
          <xdr:cNvPr id="9" name="RectG1">
            <a:extLst>
              <a:ext uri="{FF2B5EF4-FFF2-40B4-BE49-F238E27FC236}">
                <a16:creationId xmlns:a16="http://schemas.microsoft.com/office/drawing/2014/main" id="{00000000-0008-0000-0F00-000009000000}"/>
              </a:ext>
            </a:extLst>
          </xdr:cNvPr>
          <xdr:cNvSpPr/>
        </xdr:nvSpPr>
        <xdr:spPr>
          <a:xfrm>
            <a:off x="8067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87807FE-C68C-4AFC-A866-BC1144B20A57}" type="TxLink">
              <a:rPr lang="en-US" sz="1000" b="1" i="0" u="none" strike="noStrike">
                <a:solidFill>
                  <a:schemeClr val="bg1"/>
                </a:solidFill>
                <a:latin typeface="Arial" panose="020B0604020202020204" pitchFamily="34" charset="0"/>
                <a:cs typeface="Arial" panose="020B0604020202020204" pitchFamily="34" charset="0"/>
              </a:rPr>
              <a:pPr algn="ctr"/>
              <a:t>Industry Median</a:t>
            </a:fld>
            <a:endParaRPr lang="en-US" sz="1000" b="1">
              <a:solidFill>
                <a:schemeClr val="bg1"/>
              </a:solidFill>
              <a:latin typeface="Arial" panose="020B0604020202020204" pitchFamily="34" charset="0"/>
              <a:cs typeface="Arial" panose="020B0604020202020204" pitchFamily="34" charset="0"/>
            </a:endParaRPr>
          </a:p>
        </xdr:txBody>
      </xdr:sp>
      <xdr:sp macro="" textlink="$H$1">
        <xdr:nvSpPr>
          <xdr:cNvPr id="10" name="RectH1">
            <a:extLst>
              <a:ext uri="{FF2B5EF4-FFF2-40B4-BE49-F238E27FC236}">
                <a16:creationId xmlns:a16="http://schemas.microsoft.com/office/drawing/2014/main" id="{00000000-0008-0000-0F00-00000A000000}"/>
              </a:ext>
            </a:extLst>
          </xdr:cNvPr>
          <xdr:cNvSpPr/>
        </xdr:nvSpPr>
        <xdr:spPr>
          <a:xfrm>
            <a:off x="9083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79CB8C-0B2C-481F-BFA9-C8C0303DDBA7}" type="TxLink">
              <a:rPr lang="en-US" sz="1000" b="1" i="0" u="none" strike="noStrike">
                <a:solidFill>
                  <a:schemeClr val="bg1"/>
                </a:solidFill>
                <a:latin typeface="Arial" panose="020B0604020202020204" pitchFamily="34" charset="0"/>
                <a:cs typeface="Arial" panose="020B0604020202020204" pitchFamily="34" charset="0"/>
              </a:rPr>
              <a:pPr algn="ctr"/>
              <a:t>Top Q</a:t>
            </a:fld>
            <a:endParaRPr lang="en-US" sz="1000" b="1">
              <a:solidFill>
                <a:schemeClr val="bg1"/>
              </a:solidFill>
              <a:latin typeface="Arial" panose="020B0604020202020204" pitchFamily="34" charset="0"/>
              <a:cs typeface="Arial" panose="020B0604020202020204" pitchFamily="34" charset="0"/>
            </a:endParaRPr>
          </a:p>
        </xdr:txBody>
      </xdr:sp>
      <xdr:sp macro="" textlink="$B$3">
        <xdr:nvSpPr>
          <xdr:cNvPr id="11" name="RectB3">
            <a:extLst>
              <a:ext uri="{FF2B5EF4-FFF2-40B4-BE49-F238E27FC236}">
                <a16:creationId xmlns:a16="http://schemas.microsoft.com/office/drawing/2014/main" id="{00000000-0008-0000-0F00-00000B000000}"/>
              </a:ext>
            </a:extLst>
          </xdr:cNvPr>
          <xdr:cNvSpPr/>
        </xdr:nvSpPr>
        <xdr:spPr>
          <a:xfrm>
            <a:off x="1209675" y="52768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0F1BEC98-A403-494A-96BA-87C8B9ACF853}"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Return on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3">
        <xdr:nvSpPr>
          <xdr:cNvPr id="12" name="RectC3">
            <a:extLst>
              <a:ext uri="{FF2B5EF4-FFF2-40B4-BE49-F238E27FC236}">
                <a16:creationId xmlns:a16="http://schemas.microsoft.com/office/drawing/2014/main" id="{00000000-0008-0000-0F00-00000C000000}"/>
              </a:ext>
            </a:extLst>
          </xdr:cNvPr>
          <xdr:cNvSpPr/>
        </xdr:nvSpPr>
        <xdr:spPr>
          <a:xfrm>
            <a:off x="3432175" y="52768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B87BDE28-8D33-4574-95D5-CE5193A8C9A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Net Income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13" name="RectD3">
            <a:extLst>
              <a:ext uri="{FF2B5EF4-FFF2-40B4-BE49-F238E27FC236}">
                <a16:creationId xmlns:a16="http://schemas.microsoft.com/office/drawing/2014/main" id="{00000000-0008-0000-0F00-00000D000000}"/>
              </a:ext>
            </a:extLst>
          </xdr:cNvPr>
          <xdr:cNvSpPr/>
        </xdr:nvSpPr>
        <xdr:spPr>
          <a:xfrm>
            <a:off x="5019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3">
        <xdr:nvSpPr>
          <xdr:cNvPr id="14" name="RectE3">
            <a:extLst>
              <a:ext uri="{FF2B5EF4-FFF2-40B4-BE49-F238E27FC236}">
                <a16:creationId xmlns:a16="http://schemas.microsoft.com/office/drawing/2014/main" id="{00000000-0008-0000-0F00-00000E000000}"/>
              </a:ext>
            </a:extLst>
          </xdr:cNvPr>
          <xdr:cNvSpPr/>
        </xdr:nvSpPr>
        <xdr:spPr>
          <a:xfrm>
            <a:off x="6035675" y="52768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CF95EE9-20D8-41A6-A277-A4AAAD90250F}" type="TxLink">
              <a:rPr lang="en-US" sz="1000" b="0" i="0" u="none" strike="noStrike">
                <a:solidFill>
                  <a:srgbClr val="000000"/>
                </a:solidFill>
                <a:latin typeface="Arial" panose="020B0604020202020204" pitchFamily="34" charset="0"/>
                <a:cs typeface="Arial" panose="020B0604020202020204" pitchFamily="34" charset="0"/>
              </a:rPr>
              <a:pPr algn="ctr"/>
              <a:t>13%</a:t>
            </a:fld>
            <a:endParaRPr lang="en-US" sz="1000" b="0" i="0" u="none" strike="noStrike">
              <a:solidFill>
                <a:srgbClr val="000000"/>
              </a:solidFill>
              <a:latin typeface="Arial" panose="020B0604020202020204" pitchFamily="34" charset="0"/>
              <a:cs typeface="Arial" panose="020B0604020202020204" pitchFamily="34" charset="0"/>
            </a:endParaRPr>
          </a:p>
        </xdr:txBody>
      </xdr:sp>
      <xdr:sp macro="" textlink="$F$3">
        <xdr:nvSpPr>
          <xdr:cNvPr id="15" name="RectF3">
            <a:extLst>
              <a:ext uri="{FF2B5EF4-FFF2-40B4-BE49-F238E27FC236}">
                <a16:creationId xmlns:a16="http://schemas.microsoft.com/office/drawing/2014/main" id="{00000000-0008-0000-0F00-00000F000000}"/>
              </a:ext>
            </a:extLst>
          </xdr:cNvPr>
          <xdr:cNvSpPr/>
        </xdr:nvSpPr>
        <xdr:spPr>
          <a:xfrm>
            <a:off x="7051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1F181D8-EBE2-407E-9899-59228E27FD3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5%</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3">
        <xdr:nvSpPr>
          <xdr:cNvPr id="16" name="RectG3">
            <a:extLst>
              <a:ext uri="{FF2B5EF4-FFF2-40B4-BE49-F238E27FC236}">
                <a16:creationId xmlns:a16="http://schemas.microsoft.com/office/drawing/2014/main" id="{00000000-0008-0000-0F00-000010000000}"/>
              </a:ext>
            </a:extLst>
          </xdr:cNvPr>
          <xdr:cNvSpPr/>
        </xdr:nvSpPr>
        <xdr:spPr>
          <a:xfrm>
            <a:off x="8067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F32AE7B-E5E8-479A-AFB4-88EC1CCE61A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6%</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H$3">
        <xdr:nvSpPr>
          <xdr:cNvPr id="17" name="RectH3">
            <a:extLst>
              <a:ext uri="{FF2B5EF4-FFF2-40B4-BE49-F238E27FC236}">
                <a16:creationId xmlns:a16="http://schemas.microsoft.com/office/drawing/2014/main" id="{00000000-0008-0000-0F00-000011000000}"/>
              </a:ext>
            </a:extLst>
          </xdr:cNvPr>
          <xdr:cNvSpPr/>
        </xdr:nvSpPr>
        <xdr:spPr>
          <a:xfrm>
            <a:off x="9083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65C84F3-BEF0-4483-9820-63AF39F335E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8%</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B$4">
        <xdr:nvSpPr>
          <xdr:cNvPr id="18" name="RectB4">
            <a:extLst>
              <a:ext uri="{FF2B5EF4-FFF2-40B4-BE49-F238E27FC236}">
                <a16:creationId xmlns:a16="http://schemas.microsoft.com/office/drawing/2014/main" id="{00000000-0008-0000-0F00-000012000000}"/>
              </a:ext>
            </a:extLst>
          </xdr:cNvPr>
          <xdr:cNvSpPr/>
        </xdr:nvSpPr>
        <xdr:spPr>
          <a:xfrm>
            <a:off x="1209675" y="54597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F0510820-FA0E-4236-8AFD-42AE075EAA17}"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Return on Equity</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4">
        <xdr:nvSpPr>
          <xdr:cNvPr id="19" name="RectC4">
            <a:extLst>
              <a:ext uri="{FF2B5EF4-FFF2-40B4-BE49-F238E27FC236}">
                <a16:creationId xmlns:a16="http://schemas.microsoft.com/office/drawing/2014/main" id="{00000000-0008-0000-0F00-000013000000}"/>
              </a:ext>
            </a:extLst>
          </xdr:cNvPr>
          <xdr:cNvSpPr/>
        </xdr:nvSpPr>
        <xdr:spPr>
          <a:xfrm>
            <a:off x="3432175" y="54597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07FEC39-F7A3-4071-B2CA-CD3E667379A1}"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Net Income / Equity</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0" name="RectD4">
            <a:extLst>
              <a:ext uri="{FF2B5EF4-FFF2-40B4-BE49-F238E27FC236}">
                <a16:creationId xmlns:a16="http://schemas.microsoft.com/office/drawing/2014/main" id="{00000000-0008-0000-0F00-000014000000}"/>
              </a:ext>
            </a:extLst>
          </xdr:cNvPr>
          <xdr:cNvSpPr/>
        </xdr:nvSpPr>
        <xdr:spPr>
          <a:xfrm>
            <a:off x="5019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a:solidFill>
                <a:schemeClr val="lt1"/>
              </a:solidFill>
              <a:effectLst/>
              <a:latin typeface="+mn-lt"/>
              <a:ea typeface="+mn-ea"/>
              <a:cs typeface="+mn-cs"/>
            </a:endParaRPr>
          </a:p>
          <a:p>
            <a:pPr algn="l"/>
            <a:endParaRPr lang="en-US" sz="1100" b="0" i="0" u="none" strike="noStrike">
              <a:solidFill>
                <a:srgbClr val="000000"/>
              </a:solidFill>
              <a:latin typeface="Calibri"/>
              <a:cs typeface="Calibri"/>
            </a:endParaRPr>
          </a:p>
        </xdr:txBody>
      </xdr:sp>
      <xdr:sp macro="" textlink="$E$4">
        <xdr:nvSpPr>
          <xdr:cNvPr id="21" name="RectE4">
            <a:extLst>
              <a:ext uri="{FF2B5EF4-FFF2-40B4-BE49-F238E27FC236}">
                <a16:creationId xmlns:a16="http://schemas.microsoft.com/office/drawing/2014/main" id="{00000000-0008-0000-0F00-000015000000}"/>
              </a:ext>
            </a:extLst>
          </xdr:cNvPr>
          <xdr:cNvSpPr/>
        </xdr:nvSpPr>
        <xdr:spPr>
          <a:xfrm>
            <a:off x="6035675" y="54597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7F6ED73-F6A1-4681-850D-3FEFA71D0C8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64%</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4">
        <xdr:nvSpPr>
          <xdr:cNvPr id="22" name="RectF4">
            <a:extLst>
              <a:ext uri="{FF2B5EF4-FFF2-40B4-BE49-F238E27FC236}">
                <a16:creationId xmlns:a16="http://schemas.microsoft.com/office/drawing/2014/main" id="{00000000-0008-0000-0F00-000016000000}"/>
              </a:ext>
            </a:extLst>
          </xdr:cNvPr>
          <xdr:cNvSpPr/>
        </xdr:nvSpPr>
        <xdr:spPr>
          <a:xfrm>
            <a:off x="7051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9F5ECE9-C6BC-47A3-BFC3-F7BBAC2E7C4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11%</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4">
        <xdr:nvSpPr>
          <xdr:cNvPr id="23" name="RectG4">
            <a:extLst>
              <a:ext uri="{FF2B5EF4-FFF2-40B4-BE49-F238E27FC236}">
                <a16:creationId xmlns:a16="http://schemas.microsoft.com/office/drawing/2014/main" id="{00000000-0008-0000-0F00-000017000000}"/>
              </a:ext>
            </a:extLst>
          </xdr:cNvPr>
          <xdr:cNvSpPr/>
        </xdr:nvSpPr>
        <xdr:spPr>
          <a:xfrm>
            <a:off x="8067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2ED597-706D-4BA5-B74A-78A37382814B}" type="TxLink">
              <a:rPr lang="en-US" sz="1000" b="0" i="0" u="none" strike="noStrike">
                <a:solidFill>
                  <a:srgbClr val="000000"/>
                </a:solidFill>
                <a:latin typeface="Arial"/>
                <a:cs typeface="Arial"/>
              </a:rPr>
              <a:pPr algn="ctr"/>
              <a:t>15%</a:t>
            </a:fld>
            <a:endParaRPr lang="en-US" sz="1100" b="0" i="0" u="none" strike="noStrike">
              <a:solidFill>
                <a:srgbClr val="000000"/>
              </a:solidFill>
              <a:latin typeface="Calibri"/>
              <a:cs typeface="Calibri"/>
            </a:endParaRPr>
          </a:p>
        </xdr:txBody>
      </xdr:sp>
      <xdr:sp macro="" textlink="$H$4">
        <xdr:nvSpPr>
          <xdr:cNvPr id="24" name="RectH4">
            <a:extLst>
              <a:ext uri="{FF2B5EF4-FFF2-40B4-BE49-F238E27FC236}">
                <a16:creationId xmlns:a16="http://schemas.microsoft.com/office/drawing/2014/main" id="{00000000-0008-0000-0F00-000018000000}"/>
              </a:ext>
            </a:extLst>
          </xdr:cNvPr>
          <xdr:cNvSpPr/>
        </xdr:nvSpPr>
        <xdr:spPr>
          <a:xfrm>
            <a:off x="9083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6F8FB5-29E4-442C-B898-9B159220A907}" type="TxLink">
              <a:rPr lang="en-US" sz="1000" b="0" i="0" u="none" strike="noStrike">
                <a:solidFill>
                  <a:srgbClr val="000000"/>
                </a:solidFill>
                <a:latin typeface="Arial"/>
                <a:cs typeface="Arial"/>
              </a:rPr>
              <a:pPr algn="ctr"/>
              <a:t>34%</a:t>
            </a:fld>
            <a:endParaRPr lang="en-US" sz="1100" b="0" i="0" u="none" strike="noStrike">
              <a:solidFill>
                <a:srgbClr val="000000"/>
              </a:solidFill>
              <a:latin typeface="Calibri"/>
              <a:cs typeface="Calibri"/>
            </a:endParaRPr>
          </a:p>
        </xdr:txBody>
      </xdr:sp>
      <xdr:sp macro="" textlink="$B$5">
        <xdr:nvSpPr>
          <xdr:cNvPr id="25" name="RectB5">
            <a:extLst>
              <a:ext uri="{FF2B5EF4-FFF2-40B4-BE49-F238E27FC236}">
                <a16:creationId xmlns:a16="http://schemas.microsoft.com/office/drawing/2014/main" id="{00000000-0008-0000-0F00-000019000000}"/>
              </a:ext>
            </a:extLst>
          </xdr:cNvPr>
          <xdr:cNvSpPr/>
        </xdr:nvSpPr>
        <xdr:spPr>
          <a:xfrm>
            <a:off x="1209675" y="564260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687C877-A7C7-4C6A-BDA4-172DA9AE8013}"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Gross Profit Margin %</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5">
        <xdr:nvSpPr>
          <xdr:cNvPr id="26" name="RectC5">
            <a:extLst>
              <a:ext uri="{FF2B5EF4-FFF2-40B4-BE49-F238E27FC236}">
                <a16:creationId xmlns:a16="http://schemas.microsoft.com/office/drawing/2014/main" id="{00000000-0008-0000-0F00-00001A000000}"/>
              </a:ext>
            </a:extLst>
          </xdr:cNvPr>
          <xdr:cNvSpPr/>
        </xdr:nvSpPr>
        <xdr:spPr>
          <a:xfrm>
            <a:off x="3432175" y="564260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F8A4520-3D0A-47D1-BD7A-0AD23225B0A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(Sales - COGS) /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7" name="RectD5">
            <a:extLst>
              <a:ext uri="{FF2B5EF4-FFF2-40B4-BE49-F238E27FC236}">
                <a16:creationId xmlns:a16="http://schemas.microsoft.com/office/drawing/2014/main" id="{00000000-0008-0000-0F00-00001B000000}"/>
              </a:ext>
            </a:extLst>
          </xdr:cNvPr>
          <xdr:cNvSpPr/>
        </xdr:nvSpPr>
        <xdr:spPr>
          <a:xfrm>
            <a:off x="5019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5">
        <xdr:nvSpPr>
          <xdr:cNvPr id="28" name="RectE5">
            <a:extLst>
              <a:ext uri="{FF2B5EF4-FFF2-40B4-BE49-F238E27FC236}">
                <a16:creationId xmlns:a16="http://schemas.microsoft.com/office/drawing/2014/main" id="{00000000-0008-0000-0F00-00001C000000}"/>
              </a:ext>
            </a:extLst>
          </xdr:cNvPr>
          <xdr:cNvSpPr/>
        </xdr:nvSpPr>
        <xdr:spPr>
          <a:xfrm>
            <a:off x="6035675" y="564260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9C01188-FA6A-406D-8117-E20B0F250CE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35%</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5">
        <xdr:nvSpPr>
          <xdr:cNvPr id="29" name="RectF5">
            <a:extLst>
              <a:ext uri="{FF2B5EF4-FFF2-40B4-BE49-F238E27FC236}">
                <a16:creationId xmlns:a16="http://schemas.microsoft.com/office/drawing/2014/main" id="{00000000-0008-0000-0F00-00001D000000}"/>
              </a:ext>
            </a:extLst>
          </xdr:cNvPr>
          <xdr:cNvSpPr/>
        </xdr:nvSpPr>
        <xdr:spPr>
          <a:xfrm>
            <a:off x="7051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04FCA3E-0704-4FBA-8F72-23AE696A472D}" type="TxLink">
              <a:rPr lang="en-US" sz="1000" b="0" i="0" u="none" strike="noStrike">
                <a:solidFill>
                  <a:srgbClr val="000000"/>
                </a:solidFill>
                <a:latin typeface="Arial"/>
                <a:cs typeface="Arial"/>
              </a:rPr>
              <a:pPr algn="ctr"/>
              <a:t>22%</a:t>
            </a:fld>
            <a:endParaRPr lang="en-US" sz="1100" b="0" i="0" u="none" strike="noStrike">
              <a:solidFill>
                <a:srgbClr val="000000"/>
              </a:solidFill>
              <a:latin typeface="Calibri"/>
              <a:cs typeface="Calibri"/>
            </a:endParaRPr>
          </a:p>
        </xdr:txBody>
      </xdr:sp>
      <xdr:sp macro="" textlink="$G$5">
        <xdr:nvSpPr>
          <xdr:cNvPr id="30" name="RectG5">
            <a:extLst>
              <a:ext uri="{FF2B5EF4-FFF2-40B4-BE49-F238E27FC236}">
                <a16:creationId xmlns:a16="http://schemas.microsoft.com/office/drawing/2014/main" id="{00000000-0008-0000-0F00-00001E000000}"/>
              </a:ext>
            </a:extLst>
          </xdr:cNvPr>
          <xdr:cNvSpPr/>
        </xdr:nvSpPr>
        <xdr:spPr>
          <a:xfrm>
            <a:off x="8067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134ED0-80AA-4629-98BE-541F28913FA2}" type="TxLink">
              <a:rPr lang="en-US" sz="1000" b="0" i="0" u="none" strike="noStrike">
                <a:solidFill>
                  <a:srgbClr val="000000"/>
                </a:solidFill>
                <a:latin typeface="Arial"/>
                <a:cs typeface="Arial"/>
              </a:rPr>
              <a:pPr algn="ctr"/>
              <a:t>33%</a:t>
            </a:fld>
            <a:endParaRPr lang="en-US" sz="1100" b="0" i="0" u="none" strike="noStrike">
              <a:solidFill>
                <a:srgbClr val="000000"/>
              </a:solidFill>
              <a:latin typeface="Calibri"/>
              <a:cs typeface="Calibri"/>
            </a:endParaRPr>
          </a:p>
        </xdr:txBody>
      </xdr:sp>
      <xdr:sp macro="" textlink="$H$5">
        <xdr:nvSpPr>
          <xdr:cNvPr id="31" name="RectH5">
            <a:extLst>
              <a:ext uri="{FF2B5EF4-FFF2-40B4-BE49-F238E27FC236}">
                <a16:creationId xmlns:a16="http://schemas.microsoft.com/office/drawing/2014/main" id="{00000000-0008-0000-0F00-00001F000000}"/>
              </a:ext>
            </a:extLst>
          </xdr:cNvPr>
          <xdr:cNvSpPr/>
        </xdr:nvSpPr>
        <xdr:spPr>
          <a:xfrm>
            <a:off x="9083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249527A-AB20-4A6C-9D73-0454BCC61A5F}" type="TxLink">
              <a:rPr lang="en-US" sz="1000" b="0" i="0" u="none" strike="noStrike">
                <a:solidFill>
                  <a:srgbClr val="000000"/>
                </a:solidFill>
                <a:latin typeface="Arial"/>
                <a:cs typeface="Arial"/>
              </a:rPr>
              <a:pPr algn="ctr"/>
              <a:t>39%</a:t>
            </a:fld>
            <a:endParaRPr lang="en-US" sz="1100" b="0" i="0" u="none" strike="noStrike">
              <a:solidFill>
                <a:srgbClr val="000000"/>
              </a:solidFill>
              <a:latin typeface="Calibri"/>
              <a:cs typeface="Calibri"/>
            </a:endParaRPr>
          </a:p>
        </xdr:txBody>
      </xdr:sp>
      <xdr:sp macro="" textlink="$B$6">
        <xdr:nvSpPr>
          <xdr:cNvPr id="32" name="RectB6">
            <a:extLst>
              <a:ext uri="{FF2B5EF4-FFF2-40B4-BE49-F238E27FC236}">
                <a16:creationId xmlns:a16="http://schemas.microsoft.com/office/drawing/2014/main" id="{00000000-0008-0000-0F00-000020000000}"/>
              </a:ext>
            </a:extLst>
          </xdr:cNvPr>
          <xdr:cNvSpPr/>
        </xdr:nvSpPr>
        <xdr:spPr>
          <a:xfrm>
            <a:off x="1209675" y="582548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F293A913-AE95-4175-912A-C5D023BCCEB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Net Profit Margin</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6">
        <xdr:nvSpPr>
          <xdr:cNvPr id="33" name="RectC6">
            <a:extLst>
              <a:ext uri="{FF2B5EF4-FFF2-40B4-BE49-F238E27FC236}">
                <a16:creationId xmlns:a16="http://schemas.microsoft.com/office/drawing/2014/main" id="{00000000-0008-0000-0F00-000021000000}"/>
              </a:ext>
            </a:extLst>
          </xdr:cNvPr>
          <xdr:cNvSpPr/>
        </xdr:nvSpPr>
        <xdr:spPr>
          <a:xfrm>
            <a:off x="3432175" y="582548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EE70E220-59F6-4AAF-BD27-CA58105110A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Net Income /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34" name="RectD6">
            <a:extLst>
              <a:ext uri="{FF2B5EF4-FFF2-40B4-BE49-F238E27FC236}">
                <a16:creationId xmlns:a16="http://schemas.microsoft.com/office/drawing/2014/main" id="{00000000-0008-0000-0F00-000022000000}"/>
              </a:ext>
            </a:extLst>
          </xdr:cNvPr>
          <xdr:cNvSpPr/>
        </xdr:nvSpPr>
        <xdr:spPr>
          <a:xfrm>
            <a:off x="5019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6">
        <xdr:nvSpPr>
          <xdr:cNvPr id="35" name="RectE6">
            <a:extLst>
              <a:ext uri="{FF2B5EF4-FFF2-40B4-BE49-F238E27FC236}">
                <a16:creationId xmlns:a16="http://schemas.microsoft.com/office/drawing/2014/main" id="{00000000-0008-0000-0F00-000023000000}"/>
              </a:ext>
            </a:extLst>
          </xdr:cNvPr>
          <xdr:cNvSpPr/>
        </xdr:nvSpPr>
        <xdr:spPr>
          <a:xfrm>
            <a:off x="6035675" y="582548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0D0AEB0-1D6C-4D85-9A4E-AA39FDAAA877}"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19%</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6">
        <xdr:nvSpPr>
          <xdr:cNvPr id="36" name="RectF6">
            <a:extLst>
              <a:ext uri="{FF2B5EF4-FFF2-40B4-BE49-F238E27FC236}">
                <a16:creationId xmlns:a16="http://schemas.microsoft.com/office/drawing/2014/main" id="{00000000-0008-0000-0F00-000024000000}"/>
              </a:ext>
            </a:extLst>
          </xdr:cNvPr>
          <xdr:cNvSpPr/>
        </xdr:nvSpPr>
        <xdr:spPr>
          <a:xfrm>
            <a:off x="7051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995F7D-4170-448E-B751-7DA0BFB2E96A}" type="TxLink">
              <a:rPr lang="en-US" sz="1000" b="0" i="0" u="none" strike="noStrike">
                <a:solidFill>
                  <a:srgbClr val="000000"/>
                </a:solidFill>
                <a:latin typeface="Arial"/>
                <a:cs typeface="Arial"/>
              </a:rPr>
              <a:pPr algn="ctr"/>
              <a:t>6%</a:t>
            </a:fld>
            <a:endParaRPr lang="en-US" sz="1100" b="0" i="0" u="none" strike="noStrike">
              <a:solidFill>
                <a:srgbClr val="000000"/>
              </a:solidFill>
              <a:latin typeface="Calibri"/>
              <a:cs typeface="Calibri"/>
            </a:endParaRPr>
          </a:p>
        </xdr:txBody>
      </xdr:sp>
      <xdr:sp macro="" textlink="$G$6">
        <xdr:nvSpPr>
          <xdr:cNvPr id="37" name="RectG6">
            <a:extLst>
              <a:ext uri="{FF2B5EF4-FFF2-40B4-BE49-F238E27FC236}">
                <a16:creationId xmlns:a16="http://schemas.microsoft.com/office/drawing/2014/main" id="{00000000-0008-0000-0F00-000025000000}"/>
              </a:ext>
            </a:extLst>
          </xdr:cNvPr>
          <xdr:cNvSpPr/>
        </xdr:nvSpPr>
        <xdr:spPr>
          <a:xfrm>
            <a:off x="8067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D89742-F69A-4306-811B-5EADB1A29F8E}" type="TxLink">
              <a:rPr lang="en-US" sz="1000" b="0" i="0" u="none" strike="noStrike">
                <a:solidFill>
                  <a:srgbClr val="000000"/>
                </a:solidFill>
                <a:latin typeface="Arial"/>
                <a:cs typeface="Arial"/>
              </a:rPr>
              <a:pPr algn="ctr"/>
              <a:t>9%</a:t>
            </a:fld>
            <a:endParaRPr lang="en-US" sz="1100" b="0" i="0" u="none" strike="noStrike">
              <a:solidFill>
                <a:srgbClr val="000000"/>
              </a:solidFill>
              <a:latin typeface="Calibri"/>
              <a:cs typeface="Calibri"/>
            </a:endParaRPr>
          </a:p>
        </xdr:txBody>
      </xdr:sp>
      <xdr:sp macro="" textlink="$H$6">
        <xdr:nvSpPr>
          <xdr:cNvPr id="38" name="RectH6">
            <a:extLst>
              <a:ext uri="{FF2B5EF4-FFF2-40B4-BE49-F238E27FC236}">
                <a16:creationId xmlns:a16="http://schemas.microsoft.com/office/drawing/2014/main" id="{00000000-0008-0000-0F00-000026000000}"/>
              </a:ext>
            </a:extLst>
          </xdr:cNvPr>
          <xdr:cNvSpPr/>
        </xdr:nvSpPr>
        <xdr:spPr>
          <a:xfrm>
            <a:off x="9083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E363C8-3C7F-462A-BD91-B5754682F22A}" type="TxLink">
              <a:rPr lang="en-US" sz="1000" b="0" i="0" u="none" strike="noStrike">
                <a:solidFill>
                  <a:srgbClr val="000000"/>
                </a:solidFill>
                <a:latin typeface="Arial"/>
                <a:cs typeface="Arial"/>
              </a:rPr>
              <a:pPr algn="ctr"/>
              <a:t>12%</a:t>
            </a:fld>
            <a:endParaRPr lang="en-US" sz="1100" b="0" i="0" u="none" strike="noStrike">
              <a:solidFill>
                <a:srgbClr val="000000"/>
              </a:solidFill>
              <a:latin typeface="Calibri"/>
              <a:cs typeface="Calibri"/>
            </a:endParaRPr>
          </a:p>
        </xdr:txBody>
      </xdr:sp>
      <xdr:sp macro="" textlink="$B$7">
        <xdr:nvSpPr>
          <xdr:cNvPr id="39" name="RectB7">
            <a:extLst>
              <a:ext uri="{FF2B5EF4-FFF2-40B4-BE49-F238E27FC236}">
                <a16:creationId xmlns:a16="http://schemas.microsoft.com/office/drawing/2014/main" id="{00000000-0008-0000-0F00-000027000000}"/>
              </a:ext>
            </a:extLst>
          </xdr:cNvPr>
          <xdr:cNvSpPr/>
        </xdr:nvSpPr>
        <xdr:spPr>
          <a:xfrm>
            <a:off x="1209675" y="600836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402C558E-4F56-4B96-954E-7956506E555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Operating Profit Margin</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7">
        <xdr:nvSpPr>
          <xdr:cNvPr id="40" name="RectC7">
            <a:extLst>
              <a:ext uri="{FF2B5EF4-FFF2-40B4-BE49-F238E27FC236}">
                <a16:creationId xmlns:a16="http://schemas.microsoft.com/office/drawing/2014/main" id="{00000000-0008-0000-0F00-000028000000}"/>
              </a:ext>
            </a:extLst>
          </xdr:cNvPr>
          <xdr:cNvSpPr/>
        </xdr:nvSpPr>
        <xdr:spPr>
          <a:xfrm>
            <a:off x="3432175" y="600836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4AFA18F-D547-403C-8F5F-725CAB49D55E}"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EBIT /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1" name="RectD7">
            <a:extLst>
              <a:ext uri="{FF2B5EF4-FFF2-40B4-BE49-F238E27FC236}">
                <a16:creationId xmlns:a16="http://schemas.microsoft.com/office/drawing/2014/main" id="{00000000-0008-0000-0F00-000029000000}"/>
              </a:ext>
            </a:extLst>
          </xdr:cNvPr>
          <xdr:cNvSpPr/>
        </xdr:nvSpPr>
        <xdr:spPr>
          <a:xfrm>
            <a:off x="5019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7">
        <xdr:nvSpPr>
          <xdr:cNvPr id="42" name="RectE7">
            <a:extLst>
              <a:ext uri="{FF2B5EF4-FFF2-40B4-BE49-F238E27FC236}">
                <a16:creationId xmlns:a16="http://schemas.microsoft.com/office/drawing/2014/main" id="{00000000-0008-0000-0F00-00002A000000}"/>
              </a:ext>
            </a:extLst>
          </xdr:cNvPr>
          <xdr:cNvSpPr/>
        </xdr:nvSpPr>
        <xdr:spPr>
          <a:xfrm>
            <a:off x="6035675" y="600836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CDB977E-FF40-405D-8828-05C1886468D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25%</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7">
        <xdr:nvSpPr>
          <xdr:cNvPr id="43" name="RectF7">
            <a:extLst>
              <a:ext uri="{FF2B5EF4-FFF2-40B4-BE49-F238E27FC236}">
                <a16:creationId xmlns:a16="http://schemas.microsoft.com/office/drawing/2014/main" id="{00000000-0008-0000-0F00-00002B000000}"/>
              </a:ext>
            </a:extLst>
          </xdr:cNvPr>
          <xdr:cNvSpPr/>
        </xdr:nvSpPr>
        <xdr:spPr>
          <a:xfrm>
            <a:off x="7051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D5DE84-EF27-4F9B-9895-3308A03BA04B}" type="TxLink">
              <a:rPr lang="en-US" sz="1000" b="0" i="0" u="none" strike="noStrike">
                <a:solidFill>
                  <a:srgbClr val="000000"/>
                </a:solidFill>
                <a:latin typeface="Arial"/>
                <a:cs typeface="Arial"/>
              </a:rPr>
              <a:pPr algn="ctr"/>
              <a:t>10%</a:t>
            </a:fld>
            <a:endParaRPr lang="en-US" sz="1100" b="0" i="0" u="none" strike="noStrike">
              <a:solidFill>
                <a:srgbClr val="000000"/>
              </a:solidFill>
              <a:latin typeface="Calibri"/>
              <a:cs typeface="Calibri"/>
            </a:endParaRPr>
          </a:p>
        </xdr:txBody>
      </xdr:sp>
      <xdr:sp macro="" textlink="$G$7">
        <xdr:nvSpPr>
          <xdr:cNvPr id="44" name="RectG7">
            <a:extLst>
              <a:ext uri="{FF2B5EF4-FFF2-40B4-BE49-F238E27FC236}">
                <a16:creationId xmlns:a16="http://schemas.microsoft.com/office/drawing/2014/main" id="{00000000-0008-0000-0F00-00002C000000}"/>
              </a:ext>
            </a:extLst>
          </xdr:cNvPr>
          <xdr:cNvSpPr/>
        </xdr:nvSpPr>
        <xdr:spPr>
          <a:xfrm>
            <a:off x="8067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D852F40-8F52-4AB1-AEAF-5ECC65BB3B85}" type="TxLink">
              <a:rPr lang="en-US" sz="1000" b="0" i="0" u="none" strike="noStrike">
                <a:solidFill>
                  <a:srgbClr val="000000"/>
                </a:solidFill>
                <a:latin typeface="Arial"/>
                <a:cs typeface="Arial"/>
              </a:rPr>
              <a:pPr algn="ctr"/>
              <a:t>15%</a:t>
            </a:fld>
            <a:endParaRPr lang="en-US" sz="1100" b="0" i="0" u="none" strike="noStrike">
              <a:solidFill>
                <a:srgbClr val="000000"/>
              </a:solidFill>
              <a:latin typeface="Calibri"/>
              <a:cs typeface="Calibri"/>
            </a:endParaRPr>
          </a:p>
        </xdr:txBody>
      </xdr:sp>
      <xdr:sp macro="" textlink="$H$7">
        <xdr:nvSpPr>
          <xdr:cNvPr id="45" name="RectH7">
            <a:extLst>
              <a:ext uri="{FF2B5EF4-FFF2-40B4-BE49-F238E27FC236}">
                <a16:creationId xmlns:a16="http://schemas.microsoft.com/office/drawing/2014/main" id="{00000000-0008-0000-0F00-00002D000000}"/>
              </a:ext>
            </a:extLst>
          </xdr:cNvPr>
          <xdr:cNvSpPr/>
        </xdr:nvSpPr>
        <xdr:spPr>
          <a:xfrm>
            <a:off x="9083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91BCBDF-7B75-4D7F-8446-68CD26D1BEFE}" type="TxLink">
              <a:rPr lang="en-US" sz="1000" b="0" i="0" u="none" strike="noStrike">
                <a:solidFill>
                  <a:srgbClr val="000000"/>
                </a:solidFill>
                <a:latin typeface="Arial"/>
                <a:cs typeface="Arial"/>
              </a:rPr>
              <a:pPr algn="ctr"/>
              <a:t>16%</a:t>
            </a:fld>
            <a:endParaRPr lang="en-US" sz="1100" b="0" i="0" u="none" strike="noStrike">
              <a:solidFill>
                <a:srgbClr val="000000"/>
              </a:solidFill>
              <a:latin typeface="Calibri"/>
              <a:cs typeface="Calibri"/>
            </a:endParaRPr>
          </a:p>
        </xdr:txBody>
      </xdr:sp>
      <xdr:sp macro="" textlink="$B$8">
        <xdr:nvSpPr>
          <xdr:cNvPr id="46" name="RectB8">
            <a:extLst>
              <a:ext uri="{FF2B5EF4-FFF2-40B4-BE49-F238E27FC236}">
                <a16:creationId xmlns:a16="http://schemas.microsoft.com/office/drawing/2014/main" id="{00000000-0008-0000-0F00-00002E000000}"/>
              </a:ext>
            </a:extLst>
          </xdr:cNvPr>
          <xdr:cNvSpPr/>
        </xdr:nvSpPr>
        <xdr:spPr>
          <a:xfrm>
            <a:off x="1209675" y="61912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2CF6F28-A086-49B8-9A5A-C6D170F5FBA4}"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EBIT to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8">
        <xdr:nvSpPr>
          <xdr:cNvPr id="47" name="RectC8">
            <a:extLst>
              <a:ext uri="{FF2B5EF4-FFF2-40B4-BE49-F238E27FC236}">
                <a16:creationId xmlns:a16="http://schemas.microsoft.com/office/drawing/2014/main" id="{00000000-0008-0000-0F00-00002F000000}"/>
              </a:ext>
            </a:extLst>
          </xdr:cNvPr>
          <xdr:cNvSpPr/>
        </xdr:nvSpPr>
        <xdr:spPr>
          <a:xfrm>
            <a:off x="3432175" y="61912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6CC8D77-8432-4517-B05A-F56A85CEC4CB}"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EBIT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8" name="RectD8">
            <a:extLst>
              <a:ext uri="{FF2B5EF4-FFF2-40B4-BE49-F238E27FC236}">
                <a16:creationId xmlns:a16="http://schemas.microsoft.com/office/drawing/2014/main" id="{00000000-0008-0000-0F00-000030000000}"/>
              </a:ext>
            </a:extLst>
          </xdr:cNvPr>
          <xdr:cNvSpPr/>
        </xdr:nvSpPr>
        <xdr:spPr>
          <a:xfrm>
            <a:off x="5019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8">
        <xdr:nvSpPr>
          <xdr:cNvPr id="49" name="RectE8">
            <a:extLst>
              <a:ext uri="{FF2B5EF4-FFF2-40B4-BE49-F238E27FC236}">
                <a16:creationId xmlns:a16="http://schemas.microsoft.com/office/drawing/2014/main" id="{00000000-0008-0000-0F00-000031000000}"/>
              </a:ext>
            </a:extLst>
          </xdr:cNvPr>
          <xdr:cNvSpPr/>
        </xdr:nvSpPr>
        <xdr:spPr>
          <a:xfrm>
            <a:off x="6035675" y="61912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3540EA0-E002-4B0E-BCD5-13199D247B07}"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17.4%</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8">
        <xdr:nvSpPr>
          <xdr:cNvPr id="50" name="RectF8">
            <a:extLst>
              <a:ext uri="{FF2B5EF4-FFF2-40B4-BE49-F238E27FC236}">
                <a16:creationId xmlns:a16="http://schemas.microsoft.com/office/drawing/2014/main" id="{00000000-0008-0000-0F00-000032000000}"/>
              </a:ext>
            </a:extLst>
          </xdr:cNvPr>
          <xdr:cNvSpPr/>
        </xdr:nvSpPr>
        <xdr:spPr>
          <a:xfrm>
            <a:off x="7051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BFB4711-84BC-4037-A788-3FA223ACC6DE}" type="TxLink">
              <a:rPr lang="en-US" sz="1000" b="0" i="0" u="none" strike="noStrike">
                <a:solidFill>
                  <a:srgbClr val="000000"/>
                </a:solidFill>
                <a:latin typeface="Arial"/>
                <a:cs typeface="Arial"/>
              </a:rPr>
              <a:pPr algn="ctr"/>
              <a:t>7.0%</a:t>
            </a:fld>
            <a:endParaRPr lang="en-US" sz="1100" b="0" i="0" u="none" strike="noStrike">
              <a:solidFill>
                <a:srgbClr val="000000"/>
              </a:solidFill>
              <a:latin typeface="Calibri"/>
              <a:cs typeface="Calibri"/>
            </a:endParaRPr>
          </a:p>
        </xdr:txBody>
      </xdr:sp>
      <xdr:sp macro="" textlink="$G$8">
        <xdr:nvSpPr>
          <xdr:cNvPr id="51" name="RectG8">
            <a:extLst>
              <a:ext uri="{FF2B5EF4-FFF2-40B4-BE49-F238E27FC236}">
                <a16:creationId xmlns:a16="http://schemas.microsoft.com/office/drawing/2014/main" id="{00000000-0008-0000-0F00-000033000000}"/>
              </a:ext>
            </a:extLst>
          </xdr:cNvPr>
          <xdr:cNvSpPr/>
        </xdr:nvSpPr>
        <xdr:spPr>
          <a:xfrm>
            <a:off x="8067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5A4568C-5CCA-489E-B64D-E7E71F3BB919}" type="TxLink">
              <a:rPr lang="en-US" sz="1000" b="0" i="0" u="none" strike="noStrike">
                <a:solidFill>
                  <a:srgbClr val="000000"/>
                </a:solidFill>
                <a:latin typeface="Arial"/>
                <a:cs typeface="Arial"/>
              </a:rPr>
              <a:pPr algn="ctr"/>
              <a:t>8.4%</a:t>
            </a:fld>
            <a:endParaRPr lang="en-US" sz="1100" b="0" i="0" u="none" strike="noStrike">
              <a:solidFill>
                <a:srgbClr val="000000"/>
              </a:solidFill>
              <a:latin typeface="Calibri"/>
              <a:cs typeface="Calibri"/>
            </a:endParaRPr>
          </a:p>
        </xdr:txBody>
      </xdr:sp>
      <xdr:sp macro="" textlink="$H$8">
        <xdr:nvSpPr>
          <xdr:cNvPr id="52" name="RectH8">
            <a:extLst>
              <a:ext uri="{FF2B5EF4-FFF2-40B4-BE49-F238E27FC236}">
                <a16:creationId xmlns:a16="http://schemas.microsoft.com/office/drawing/2014/main" id="{00000000-0008-0000-0F00-000034000000}"/>
              </a:ext>
            </a:extLst>
          </xdr:cNvPr>
          <xdr:cNvSpPr/>
        </xdr:nvSpPr>
        <xdr:spPr>
          <a:xfrm>
            <a:off x="9083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0890D12-1CA9-4BC0-9CE3-0E982FDD8ECF}" type="TxLink">
              <a:rPr lang="en-US" sz="1000" b="0" i="0" u="none" strike="noStrike">
                <a:solidFill>
                  <a:srgbClr val="000000"/>
                </a:solidFill>
                <a:latin typeface="Arial"/>
                <a:cs typeface="Arial"/>
              </a:rPr>
              <a:pPr algn="ctr"/>
              <a:t>11.4%</a:t>
            </a:fld>
            <a:endParaRPr lang="en-US" sz="1100" b="0" i="0" u="none" strike="noStrike">
              <a:solidFill>
                <a:srgbClr val="000000"/>
              </a:solidFill>
              <a:latin typeface="Calibri"/>
              <a:cs typeface="Calibri"/>
            </a:endParaRPr>
          </a:p>
        </xdr:txBody>
      </xdr:sp>
      <xdr:sp macro="" textlink="$B$9">
        <xdr:nvSpPr>
          <xdr:cNvPr id="53" name="RectB9">
            <a:extLst>
              <a:ext uri="{FF2B5EF4-FFF2-40B4-BE49-F238E27FC236}">
                <a16:creationId xmlns:a16="http://schemas.microsoft.com/office/drawing/2014/main" id="{00000000-0008-0000-0F00-000035000000}"/>
              </a:ext>
            </a:extLst>
          </xdr:cNvPr>
          <xdr:cNvSpPr/>
        </xdr:nvSpPr>
        <xdr:spPr>
          <a:xfrm>
            <a:off x="1209675" y="63741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FD0EA7D-1D25-453F-A53D-AE934D0C4CEB}"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SG&amp;A Margin</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B$9">
        <xdr:nvSpPr>
          <xdr:cNvPr id="54" name="RectC9">
            <a:extLst>
              <a:ext uri="{FF2B5EF4-FFF2-40B4-BE49-F238E27FC236}">
                <a16:creationId xmlns:a16="http://schemas.microsoft.com/office/drawing/2014/main" id="{00000000-0008-0000-0F00-000036000000}"/>
              </a:ext>
            </a:extLst>
          </xdr:cNvPr>
          <xdr:cNvSpPr/>
        </xdr:nvSpPr>
        <xdr:spPr>
          <a:xfrm>
            <a:off x="3432175" y="63741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EE13922-CA26-4597-B34E-46DED7F7D9B1}"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SG&amp;A Margin</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55" name="RectD9">
            <a:extLst>
              <a:ext uri="{FF2B5EF4-FFF2-40B4-BE49-F238E27FC236}">
                <a16:creationId xmlns:a16="http://schemas.microsoft.com/office/drawing/2014/main" id="{00000000-0008-0000-0F00-000037000000}"/>
              </a:ext>
            </a:extLst>
          </xdr:cNvPr>
          <xdr:cNvSpPr/>
        </xdr:nvSpPr>
        <xdr:spPr>
          <a:xfrm>
            <a:off x="5019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9">
        <xdr:nvSpPr>
          <xdr:cNvPr id="56" name="RectE9">
            <a:extLst>
              <a:ext uri="{FF2B5EF4-FFF2-40B4-BE49-F238E27FC236}">
                <a16:creationId xmlns:a16="http://schemas.microsoft.com/office/drawing/2014/main" id="{00000000-0008-0000-0F00-000038000000}"/>
              </a:ext>
            </a:extLst>
          </xdr:cNvPr>
          <xdr:cNvSpPr/>
        </xdr:nvSpPr>
        <xdr:spPr>
          <a:xfrm>
            <a:off x="6035675" y="63741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BE0E250-B55D-4ADF-A170-B2ADC482CAA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18%</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9">
        <xdr:nvSpPr>
          <xdr:cNvPr id="57" name="RectF9">
            <a:extLst>
              <a:ext uri="{FF2B5EF4-FFF2-40B4-BE49-F238E27FC236}">
                <a16:creationId xmlns:a16="http://schemas.microsoft.com/office/drawing/2014/main" id="{00000000-0008-0000-0F00-000039000000}"/>
              </a:ext>
            </a:extLst>
          </xdr:cNvPr>
          <xdr:cNvSpPr/>
        </xdr:nvSpPr>
        <xdr:spPr>
          <a:xfrm>
            <a:off x="7051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51A065-BD2C-43B2-AB8D-AF83E34C1171}"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13%</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9">
        <xdr:nvSpPr>
          <xdr:cNvPr id="58" name="RectG9">
            <a:extLst>
              <a:ext uri="{FF2B5EF4-FFF2-40B4-BE49-F238E27FC236}">
                <a16:creationId xmlns:a16="http://schemas.microsoft.com/office/drawing/2014/main" id="{00000000-0008-0000-0F00-00003A000000}"/>
              </a:ext>
            </a:extLst>
          </xdr:cNvPr>
          <xdr:cNvSpPr/>
        </xdr:nvSpPr>
        <xdr:spPr>
          <a:xfrm>
            <a:off x="8067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1E47261-21FB-4CDF-964D-FA4DEBC2DC42}" type="TxLink">
              <a:rPr lang="en-US" sz="1000" b="0" i="0" u="none" strike="noStrike">
                <a:solidFill>
                  <a:srgbClr val="000000"/>
                </a:solidFill>
                <a:latin typeface="Arial"/>
                <a:ea typeface="+mn-ea"/>
                <a:cs typeface="Arial"/>
              </a:rPr>
              <a:pPr marL="0" indent="0" algn="ctr"/>
              <a:t>18%</a:t>
            </a:fld>
            <a:endParaRPr lang="en-US" sz="1000" b="0" i="0" u="none" strike="noStrike">
              <a:solidFill>
                <a:srgbClr val="000000"/>
              </a:solidFill>
              <a:latin typeface="Arial"/>
              <a:ea typeface="+mn-ea"/>
              <a:cs typeface="Arial"/>
            </a:endParaRPr>
          </a:p>
        </xdr:txBody>
      </xdr:sp>
      <xdr:sp macro="" textlink="$H$9">
        <xdr:nvSpPr>
          <xdr:cNvPr id="59" name="RectH9">
            <a:extLst>
              <a:ext uri="{FF2B5EF4-FFF2-40B4-BE49-F238E27FC236}">
                <a16:creationId xmlns:a16="http://schemas.microsoft.com/office/drawing/2014/main" id="{00000000-0008-0000-0F00-00003B000000}"/>
              </a:ext>
            </a:extLst>
          </xdr:cNvPr>
          <xdr:cNvSpPr/>
        </xdr:nvSpPr>
        <xdr:spPr>
          <a:xfrm>
            <a:off x="9083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4A04338-E72B-4483-9B55-6628C4F96824}" type="TxLink">
              <a:rPr lang="en-US" sz="1000" b="0" i="0" u="none" strike="noStrike">
                <a:solidFill>
                  <a:srgbClr val="000000"/>
                </a:solidFill>
                <a:latin typeface="Arial"/>
                <a:ea typeface="+mn-ea"/>
                <a:cs typeface="Arial"/>
              </a:rPr>
              <a:pPr marL="0" indent="0" algn="ctr"/>
              <a:t>20%</a:t>
            </a:fld>
            <a:endParaRPr lang="en-US" sz="1000" b="0" i="0" u="none" strike="noStrike">
              <a:solidFill>
                <a:srgbClr val="000000"/>
              </a:solidFill>
              <a:latin typeface="Arial"/>
              <a:ea typeface="+mn-ea"/>
              <a:cs typeface="Arial"/>
            </a:endParaRPr>
          </a:p>
        </xdr:txBody>
      </xdr:sp>
      <xdr:sp macro="" textlink="$B$10">
        <xdr:nvSpPr>
          <xdr:cNvPr id="67" name="RectB11">
            <a:extLst>
              <a:ext uri="{FF2B5EF4-FFF2-40B4-BE49-F238E27FC236}">
                <a16:creationId xmlns:a16="http://schemas.microsoft.com/office/drawing/2014/main" id="{00000000-0008-0000-0F00-000043000000}"/>
              </a:ext>
            </a:extLst>
          </xdr:cNvPr>
          <xdr:cNvSpPr/>
        </xdr:nvSpPr>
        <xdr:spPr>
          <a:xfrm>
            <a:off x="1209675" y="6558914"/>
            <a:ext cx="2222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E025A69-542F-442A-85FB-0BD1A05606B1}"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l"/>
              <a:t>Profitability Score</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C$10">
        <xdr:nvSpPr>
          <xdr:cNvPr id="68" name="RectC11">
            <a:extLst>
              <a:ext uri="{FF2B5EF4-FFF2-40B4-BE49-F238E27FC236}">
                <a16:creationId xmlns:a16="http://schemas.microsoft.com/office/drawing/2014/main" id="{00000000-0008-0000-0F00-000044000000}"/>
              </a:ext>
            </a:extLst>
          </xdr:cNvPr>
          <xdr:cNvSpPr/>
        </xdr:nvSpPr>
        <xdr:spPr>
          <a:xfrm>
            <a:off x="3432175" y="6558914"/>
            <a:ext cx="1587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28A6728-E81A-4EBF-BF4B-68437AC032C1}"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69" name="RectD11">
            <a:extLst>
              <a:ext uri="{FF2B5EF4-FFF2-40B4-BE49-F238E27FC236}">
                <a16:creationId xmlns:a16="http://schemas.microsoft.com/office/drawing/2014/main" id="{00000000-0008-0000-0F00-000045000000}"/>
              </a:ext>
            </a:extLst>
          </xdr:cNvPr>
          <xdr:cNvSpPr/>
        </xdr:nvSpPr>
        <xdr:spPr>
          <a:xfrm>
            <a:off x="5019675" y="655891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E$10">
        <xdr:nvSpPr>
          <xdr:cNvPr id="70" name="RectE11">
            <a:extLst>
              <a:ext uri="{FF2B5EF4-FFF2-40B4-BE49-F238E27FC236}">
                <a16:creationId xmlns:a16="http://schemas.microsoft.com/office/drawing/2014/main" id="{00000000-0008-0000-0F00-000046000000}"/>
              </a:ext>
            </a:extLst>
          </xdr:cNvPr>
          <xdr:cNvSpPr/>
        </xdr:nvSpPr>
        <xdr:spPr>
          <a:xfrm>
            <a:off x="6035675" y="655891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92F50B-6F7F-41B7-A006-A27762C485E3}"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21%</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F$10">
        <xdr:nvSpPr>
          <xdr:cNvPr id="71" name="RectF11">
            <a:extLst>
              <a:ext uri="{FF2B5EF4-FFF2-40B4-BE49-F238E27FC236}">
                <a16:creationId xmlns:a16="http://schemas.microsoft.com/office/drawing/2014/main" id="{00000000-0008-0000-0F00-000047000000}"/>
              </a:ext>
            </a:extLst>
          </xdr:cNvPr>
          <xdr:cNvSpPr/>
        </xdr:nvSpPr>
        <xdr:spPr>
          <a:xfrm>
            <a:off x="7051675" y="655891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83A2D9A-4DAF-43EC-A000-B89E2CC3A64D}"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40%</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G$10">
        <xdr:nvSpPr>
          <xdr:cNvPr id="72" name="RectG11">
            <a:extLst>
              <a:ext uri="{FF2B5EF4-FFF2-40B4-BE49-F238E27FC236}">
                <a16:creationId xmlns:a16="http://schemas.microsoft.com/office/drawing/2014/main" id="{00000000-0008-0000-0F00-000048000000}"/>
              </a:ext>
            </a:extLst>
          </xdr:cNvPr>
          <xdr:cNvSpPr/>
        </xdr:nvSpPr>
        <xdr:spPr>
          <a:xfrm>
            <a:off x="8067675" y="655891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FF5FA1E-0F53-47D2-82C4-13AF31852A6A}"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55%</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H$10">
        <xdr:nvSpPr>
          <xdr:cNvPr id="73" name="RectH11">
            <a:extLst>
              <a:ext uri="{FF2B5EF4-FFF2-40B4-BE49-F238E27FC236}">
                <a16:creationId xmlns:a16="http://schemas.microsoft.com/office/drawing/2014/main" id="{00000000-0008-0000-0F00-000049000000}"/>
              </a:ext>
            </a:extLst>
          </xdr:cNvPr>
          <xdr:cNvSpPr/>
        </xdr:nvSpPr>
        <xdr:spPr>
          <a:xfrm>
            <a:off x="9083675" y="655891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B3E4069-A2A2-4D17-A22A-A0B9E97217DE}"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74%</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88" name="CircleD3">
            <a:extLst>
              <a:ext uri="{FF2B5EF4-FFF2-40B4-BE49-F238E27FC236}">
                <a16:creationId xmlns:a16="http://schemas.microsoft.com/office/drawing/2014/main" id="{00000000-0008-0000-0F00-000058000000}"/>
              </a:ext>
            </a:extLst>
          </xdr:cNvPr>
          <xdr:cNvSpPr/>
        </xdr:nvSpPr>
        <xdr:spPr>
          <a:xfrm>
            <a:off x="5459095" y="529970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CircleD4">
            <a:extLst>
              <a:ext uri="{FF2B5EF4-FFF2-40B4-BE49-F238E27FC236}">
                <a16:creationId xmlns:a16="http://schemas.microsoft.com/office/drawing/2014/main" id="{00000000-0008-0000-0F00-000059000000}"/>
              </a:ext>
            </a:extLst>
          </xdr:cNvPr>
          <xdr:cNvSpPr/>
        </xdr:nvSpPr>
        <xdr:spPr>
          <a:xfrm>
            <a:off x="5459095" y="548258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CircleD5">
            <a:extLst>
              <a:ext uri="{FF2B5EF4-FFF2-40B4-BE49-F238E27FC236}">
                <a16:creationId xmlns:a16="http://schemas.microsoft.com/office/drawing/2014/main" id="{00000000-0008-0000-0F00-00005A000000}"/>
              </a:ext>
            </a:extLst>
          </xdr:cNvPr>
          <xdr:cNvSpPr/>
        </xdr:nvSpPr>
        <xdr:spPr>
          <a:xfrm>
            <a:off x="5459095" y="566546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CircleD6">
            <a:extLst>
              <a:ext uri="{FF2B5EF4-FFF2-40B4-BE49-F238E27FC236}">
                <a16:creationId xmlns:a16="http://schemas.microsoft.com/office/drawing/2014/main" id="{00000000-0008-0000-0F00-00005B000000}"/>
              </a:ext>
            </a:extLst>
          </xdr:cNvPr>
          <xdr:cNvSpPr/>
        </xdr:nvSpPr>
        <xdr:spPr>
          <a:xfrm>
            <a:off x="5459095" y="584834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CircleD7">
            <a:extLst>
              <a:ext uri="{FF2B5EF4-FFF2-40B4-BE49-F238E27FC236}">
                <a16:creationId xmlns:a16="http://schemas.microsoft.com/office/drawing/2014/main" id="{00000000-0008-0000-0F00-00005C000000}"/>
              </a:ext>
            </a:extLst>
          </xdr:cNvPr>
          <xdr:cNvSpPr/>
        </xdr:nvSpPr>
        <xdr:spPr>
          <a:xfrm>
            <a:off x="5459095" y="603122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CircleD8">
            <a:extLst>
              <a:ext uri="{FF2B5EF4-FFF2-40B4-BE49-F238E27FC236}">
                <a16:creationId xmlns:a16="http://schemas.microsoft.com/office/drawing/2014/main" id="{00000000-0008-0000-0F00-00005D000000}"/>
              </a:ext>
            </a:extLst>
          </xdr:cNvPr>
          <xdr:cNvSpPr/>
        </xdr:nvSpPr>
        <xdr:spPr>
          <a:xfrm>
            <a:off x="5459095" y="621410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CircleD9">
            <a:extLst>
              <a:ext uri="{FF2B5EF4-FFF2-40B4-BE49-F238E27FC236}">
                <a16:creationId xmlns:a16="http://schemas.microsoft.com/office/drawing/2014/main" id="{00000000-0008-0000-0F00-00005E000000}"/>
              </a:ext>
            </a:extLst>
          </xdr:cNvPr>
          <xdr:cNvSpPr/>
        </xdr:nvSpPr>
        <xdr:spPr>
          <a:xfrm>
            <a:off x="5459095" y="639698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CircleD11">
            <a:extLst>
              <a:ext uri="{FF2B5EF4-FFF2-40B4-BE49-F238E27FC236}">
                <a16:creationId xmlns:a16="http://schemas.microsoft.com/office/drawing/2014/main" id="{00000000-0008-0000-0F00-000060000000}"/>
              </a:ext>
            </a:extLst>
          </xdr:cNvPr>
          <xdr:cNvSpPr/>
        </xdr:nvSpPr>
        <xdr:spPr>
          <a:xfrm>
            <a:off x="5459095" y="6581774"/>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5</xdr:col>
      <xdr:colOff>581026</xdr:colOff>
      <xdr:row>1</xdr:row>
      <xdr:rowOff>1</xdr:rowOff>
    </xdr:from>
    <xdr:to>
      <xdr:col>14</xdr:col>
      <xdr:colOff>447676</xdr:colOff>
      <xdr:row>32</xdr:row>
      <xdr:rowOff>28576</xdr:rowOff>
    </xdr:to>
    <xdr:graphicFrame macro="">
      <xdr:nvGraphicFramePr>
        <xdr:cNvPr id="2" name="Chart 10">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485775</xdr:colOff>
          <xdr:row>7</xdr:row>
          <xdr:rowOff>123825</xdr:rowOff>
        </xdr:from>
        <xdr:to>
          <xdr:col>19</xdr:col>
          <xdr:colOff>323850</xdr:colOff>
          <xdr:row>9</xdr:row>
          <xdr:rowOff>95250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000-00000144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15</xdr:row>
          <xdr:rowOff>38100</xdr:rowOff>
        </xdr:from>
        <xdr:to>
          <xdr:col>10</xdr:col>
          <xdr:colOff>514350</xdr:colOff>
          <xdr:row>16</xdr:row>
          <xdr:rowOff>114300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100-000001E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twoCellAnchor>
    <xdr:from>
      <xdr:col>11</xdr:col>
      <xdr:colOff>276225</xdr:colOff>
      <xdr:row>32</xdr:row>
      <xdr:rowOff>123825</xdr:rowOff>
    </xdr:from>
    <xdr:to>
      <xdr:col>26</xdr:col>
      <xdr:colOff>22225</xdr:colOff>
      <xdr:row>44</xdr:row>
      <xdr:rowOff>17144</xdr:rowOff>
    </xdr:to>
    <xdr:grpSp>
      <xdr:nvGrpSpPr>
        <xdr:cNvPr id="3" name="Group">
          <a:extLst>
            <a:ext uri="{FF2B5EF4-FFF2-40B4-BE49-F238E27FC236}">
              <a16:creationId xmlns:a16="http://schemas.microsoft.com/office/drawing/2014/main" id="{00000000-0008-0000-1100-000003000000}"/>
            </a:ext>
          </a:extLst>
        </xdr:cNvPr>
        <xdr:cNvGrpSpPr/>
      </xdr:nvGrpSpPr>
      <xdr:grpSpPr>
        <a:xfrm>
          <a:off x="10639425" y="4752975"/>
          <a:ext cx="8890000" cy="1607819"/>
          <a:chOff x="1209675" y="4772025"/>
          <a:chExt cx="8890000" cy="1607819"/>
        </a:xfrm>
      </xdr:grpSpPr>
      <xdr:sp macro="" textlink="$B$1">
        <xdr:nvSpPr>
          <xdr:cNvPr id="4" name="RectB1">
            <a:extLst>
              <a:ext uri="{FF2B5EF4-FFF2-40B4-BE49-F238E27FC236}">
                <a16:creationId xmlns:a16="http://schemas.microsoft.com/office/drawing/2014/main" id="{00000000-0008-0000-1100-000004000000}"/>
              </a:ext>
            </a:extLst>
          </xdr:cNvPr>
          <xdr:cNvSpPr/>
        </xdr:nvSpPr>
        <xdr:spPr>
          <a:xfrm>
            <a:off x="1209675" y="4772025"/>
            <a:ext cx="2222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35CE51-937F-4E1D-AA56-194F765801BE}" type="TxLink">
              <a:rPr lang="en-US" sz="1000" b="1" i="0" u="none" strike="noStrike">
                <a:solidFill>
                  <a:schemeClr val="bg1"/>
                </a:solidFill>
                <a:latin typeface="Arial" panose="020B0604020202020204" pitchFamily="34" charset="0"/>
                <a:cs typeface="Arial" panose="020B0604020202020204" pitchFamily="34" charset="0"/>
              </a:rPr>
              <a:pPr algn="ctr"/>
              <a:t>Leverage Indicators</a:t>
            </a:fld>
            <a:endParaRPr lang="en-US" sz="1000" b="1">
              <a:solidFill>
                <a:schemeClr val="bg1"/>
              </a:solidFill>
              <a:latin typeface="Arial" panose="020B0604020202020204" pitchFamily="34" charset="0"/>
              <a:cs typeface="Arial" panose="020B0604020202020204" pitchFamily="34" charset="0"/>
            </a:endParaRPr>
          </a:p>
        </xdr:txBody>
      </xdr:sp>
      <xdr:sp macro="" textlink="$C$1">
        <xdr:nvSpPr>
          <xdr:cNvPr id="5" name="RectC1">
            <a:extLst>
              <a:ext uri="{FF2B5EF4-FFF2-40B4-BE49-F238E27FC236}">
                <a16:creationId xmlns:a16="http://schemas.microsoft.com/office/drawing/2014/main" id="{00000000-0008-0000-1100-000005000000}"/>
              </a:ext>
            </a:extLst>
          </xdr:cNvPr>
          <xdr:cNvSpPr/>
        </xdr:nvSpPr>
        <xdr:spPr>
          <a:xfrm>
            <a:off x="3432175" y="4772025"/>
            <a:ext cx="1587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0E02EC-EF96-42AA-80E3-AF1D2BDB0C73}" type="TxLink">
              <a:rPr lang="en-US" sz="1000" b="1" i="0" u="none" strike="noStrike">
                <a:solidFill>
                  <a:schemeClr val="bg1"/>
                </a:solidFill>
                <a:latin typeface="Arial" panose="020B0604020202020204" pitchFamily="34" charset="0"/>
                <a:cs typeface="Arial" panose="020B0604020202020204" pitchFamily="34" charset="0"/>
              </a:rPr>
              <a:pPr algn="ctr"/>
              <a:t>Metric Formula</a:t>
            </a:fld>
            <a:endParaRPr lang="en-US" sz="1000" b="1">
              <a:solidFill>
                <a:schemeClr val="bg1"/>
              </a:solidFill>
              <a:latin typeface="Arial" panose="020B0604020202020204" pitchFamily="34" charset="0"/>
              <a:cs typeface="Arial" panose="020B0604020202020204" pitchFamily="34" charset="0"/>
            </a:endParaRPr>
          </a:p>
        </xdr:txBody>
      </xdr:sp>
      <xdr:sp macro="" textlink="$D$1">
        <xdr:nvSpPr>
          <xdr:cNvPr id="6" name="RectD1">
            <a:extLst>
              <a:ext uri="{FF2B5EF4-FFF2-40B4-BE49-F238E27FC236}">
                <a16:creationId xmlns:a16="http://schemas.microsoft.com/office/drawing/2014/main" id="{00000000-0008-0000-1100-000006000000}"/>
              </a:ext>
            </a:extLst>
          </xdr:cNvPr>
          <xdr:cNvSpPr/>
        </xdr:nvSpPr>
        <xdr:spPr>
          <a:xfrm>
            <a:off x="5019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E38089-32EE-450E-A3EA-F999A02EC0CC}" type="TxLink">
              <a:rPr lang="en-US" sz="1000" b="1" i="0" u="none" strike="noStrike">
                <a:solidFill>
                  <a:schemeClr val="bg1"/>
                </a:solidFill>
                <a:latin typeface="Arial" panose="020B0604020202020204" pitchFamily="34" charset="0"/>
                <a:cs typeface="Arial" panose="020B0604020202020204" pitchFamily="34" charset="0"/>
              </a:rPr>
              <a:pPr algn="ctr"/>
              <a:t>Health Indicator</a:t>
            </a:fld>
            <a:endParaRPr lang="en-US" sz="1000" b="1">
              <a:solidFill>
                <a:schemeClr val="bg1"/>
              </a:solidFill>
              <a:latin typeface="Arial" panose="020B0604020202020204" pitchFamily="34" charset="0"/>
              <a:cs typeface="Arial" panose="020B0604020202020204" pitchFamily="34" charset="0"/>
            </a:endParaRPr>
          </a:p>
        </xdr:txBody>
      </xdr:sp>
      <xdr:sp macro="" textlink="$E$1">
        <xdr:nvSpPr>
          <xdr:cNvPr id="7" name="RectE1">
            <a:extLst>
              <a:ext uri="{FF2B5EF4-FFF2-40B4-BE49-F238E27FC236}">
                <a16:creationId xmlns:a16="http://schemas.microsoft.com/office/drawing/2014/main" id="{00000000-0008-0000-1100-000007000000}"/>
              </a:ext>
            </a:extLst>
          </xdr:cNvPr>
          <xdr:cNvSpPr/>
        </xdr:nvSpPr>
        <xdr:spPr>
          <a:xfrm>
            <a:off x="6035675" y="4772025"/>
            <a:ext cx="1016000" cy="514350"/>
          </a:xfrm>
          <a:prstGeom prst="rect">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A9B23E-67F1-4B05-9D74-0BFB7065E80C}" type="TxLink">
              <a:rPr lang="en-US" sz="1000" b="1" i="0" u="none" strike="noStrike">
                <a:solidFill>
                  <a:sysClr val="windowText" lastClr="000000"/>
                </a:solidFill>
                <a:latin typeface="Arial" panose="020B0604020202020204" pitchFamily="34" charset="0"/>
                <a:cs typeface="Arial" panose="020B0604020202020204" pitchFamily="34" charset="0"/>
              </a:rPr>
              <a:pPr algn="ctr"/>
              <a:t>CAMPBELL SOUP CO</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F$1">
        <xdr:nvSpPr>
          <xdr:cNvPr id="8" name="RectF1">
            <a:extLst>
              <a:ext uri="{FF2B5EF4-FFF2-40B4-BE49-F238E27FC236}">
                <a16:creationId xmlns:a16="http://schemas.microsoft.com/office/drawing/2014/main" id="{00000000-0008-0000-1100-000008000000}"/>
              </a:ext>
            </a:extLst>
          </xdr:cNvPr>
          <xdr:cNvSpPr/>
        </xdr:nvSpPr>
        <xdr:spPr>
          <a:xfrm>
            <a:off x="7051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2B8644-17C3-47C1-A264-509039EE7B9E}" type="TxLink">
              <a:rPr lang="en-US" sz="1000" b="1" i="0" u="none" strike="noStrike">
                <a:solidFill>
                  <a:schemeClr val="bg1"/>
                </a:solidFill>
                <a:latin typeface="Arial" panose="020B0604020202020204" pitchFamily="34" charset="0"/>
                <a:cs typeface="Arial" panose="020B0604020202020204" pitchFamily="34" charset="0"/>
              </a:rPr>
              <a:pPr algn="ctr"/>
              <a:t>Bottom Q</a:t>
            </a:fld>
            <a:endParaRPr lang="en-US" sz="1000" b="1">
              <a:solidFill>
                <a:schemeClr val="bg1"/>
              </a:solidFill>
              <a:latin typeface="Arial" panose="020B0604020202020204" pitchFamily="34" charset="0"/>
              <a:cs typeface="Arial" panose="020B0604020202020204" pitchFamily="34" charset="0"/>
            </a:endParaRPr>
          </a:p>
        </xdr:txBody>
      </xdr:sp>
      <xdr:sp macro="" textlink="$G$1">
        <xdr:nvSpPr>
          <xdr:cNvPr id="9" name="RectG1">
            <a:extLst>
              <a:ext uri="{FF2B5EF4-FFF2-40B4-BE49-F238E27FC236}">
                <a16:creationId xmlns:a16="http://schemas.microsoft.com/office/drawing/2014/main" id="{00000000-0008-0000-1100-000009000000}"/>
              </a:ext>
            </a:extLst>
          </xdr:cNvPr>
          <xdr:cNvSpPr/>
        </xdr:nvSpPr>
        <xdr:spPr>
          <a:xfrm>
            <a:off x="8067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87807FE-C68C-4AFC-A866-BC1144B20A57}" type="TxLink">
              <a:rPr lang="en-US" sz="1000" b="1" i="0" u="none" strike="noStrike">
                <a:solidFill>
                  <a:schemeClr val="bg1"/>
                </a:solidFill>
                <a:latin typeface="Arial" panose="020B0604020202020204" pitchFamily="34" charset="0"/>
                <a:cs typeface="Arial" panose="020B0604020202020204" pitchFamily="34" charset="0"/>
              </a:rPr>
              <a:pPr algn="ctr"/>
              <a:t>Industry Median</a:t>
            </a:fld>
            <a:endParaRPr lang="en-US" sz="1000" b="1">
              <a:solidFill>
                <a:schemeClr val="bg1"/>
              </a:solidFill>
              <a:latin typeface="Arial" panose="020B0604020202020204" pitchFamily="34" charset="0"/>
              <a:cs typeface="Arial" panose="020B0604020202020204" pitchFamily="34" charset="0"/>
            </a:endParaRPr>
          </a:p>
        </xdr:txBody>
      </xdr:sp>
      <xdr:sp macro="" textlink="$H$1">
        <xdr:nvSpPr>
          <xdr:cNvPr id="10" name="RectH1">
            <a:extLst>
              <a:ext uri="{FF2B5EF4-FFF2-40B4-BE49-F238E27FC236}">
                <a16:creationId xmlns:a16="http://schemas.microsoft.com/office/drawing/2014/main" id="{00000000-0008-0000-1100-00000A000000}"/>
              </a:ext>
            </a:extLst>
          </xdr:cNvPr>
          <xdr:cNvSpPr/>
        </xdr:nvSpPr>
        <xdr:spPr>
          <a:xfrm>
            <a:off x="9083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79CB8C-0B2C-481F-BFA9-C8C0303DDBA7}" type="TxLink">
              <a:rPr lang="en-US" sz="1000" b="1" i="0" u="none" strike="noStrike">
                <a:solidFill>
                  <a:schemeClr val="bg1"/>
                </a:solidFill>
                <a:latin typeface="Arial" panose="020B0604020202020204" pitchFamily="34" charset="0"/>
                <a:cs typeface="Arial" panose="020B0604020202020204" pitchFamily="34" charset="0"/>
              </a:rPr>
              <a:pPr algn="ctr"/>
              <a:t>Top Q</a:t>
            </a:fld>
            <a:endParaRPr lang="en-US" sz="1000" b="1">
              <a:solidFill>
                <a:schemeClr val="bg1"/>
              </a:solidFill>
              <a:latin typeface="Arial" panose="020B0604020202020204" pitchFamily="34" charset="0"/>
              <a:cs typeface="Arial" panose="020B0604020202020204" pitchFamily="34" charset="0"/>
            </a:endParaRPr>
          </a:p>
        </xdr:txBody>
      </xdr:sp>
      <xdr:sp macro="" textlink="$B$3">
        <xdr:nvSpPr>
          <xdr:cNvPr id="11" name="RectB3">
            <a:extLst>
              <a:ext uri="{FF2B5EF4-FFF2-40B4-BE49-F238E27FC236}">
                <a16:creationId xmlns:a16="http://schemas.microsoft.com/office/drawing/2014/main" id="{00000000-0008-0000-1100-00000B000000}"/>
              </a:ext>
            </a:extLst>
          </xdr:cNvPr>
          <xdr:cNvSpPr/>
        </xdr:nvSpPr>
        <xdr:spPr>
          <a:xfrm>
            <a:off x="1209675" y="52768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1E9F502-03DD-40C0-9B30-11A469AE93FD}" type="TxLink">
              <a:rPr lang="en-US" sz="1000" b="0" i="0" u="none" strike="noStrike">
                <a:solidFill>
                  <a:srgbClr val="000000"/>
                </a:solidFill>
                <a:latin typeface="Arial" panose="020B0604020202020204" pitchFamily="34" charset="0"/>
                <a:cs typeface="Arial" panose="020B0604020202020204" pitchFamily="34" charset="0"/>
              </a:rPr>
              <a:pPr algn="l"/>
              <a:t>Debt to Equity Ratio</a:t>
            </a:fld>
            <a:endParaRPr lang="en-US" sz="1000" b="1">
              <a:solidFill>
                <a:schemeClr val="bg1"/>
              </a:solidFill>
              <a:latin typeface="Arial" panose="020B0604020202020204" pitchFamily="34" charset="0"/>
              <a:cs typeface="Arial" panose="020B0604020202020204" pitchFamily="34" charset="0"/>
            </a:endParaRPr>
          </a:p>
        </xdr:txBody>
      </xdr:sp>
      <xdr:sp macro="" textlink="$C$3">
        <xdr:nvSpPr>
          <xdr:cNvPr id="12" name="RectC3">
            <a:extLst>
              <a:ext uri="{FF2B5EF4-FFF2-40B4-BE49-F238E27FC236}">
                <a16:creationId xmlns:a16="http://schemas.microsoft.com/office/drawing/2014/main" id="{00000000-0008-0000-1100-00000C000000}"/>
              </a:ext>
            </a:extLst>
          </xdr:cNvPr>
          <xdr:cNvSpPr/>
        </xdr:nvSpPr>
        <xdr:spPr>
          <a:xfrm>
            <a:off x="3432175" y="52768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305041D-7831-4DBB-8EE6-25950D27620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TL / Equity</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13" name="RectD3">
            <a:extLst>
              <a:ext uri="{FF2B5EF4-FFF2-40B4-BE49-F238E27FC236}">
                <a16:creationId xmlns:a16="http://schemas.microsoft.com/office/drawing/2014/main" id="{00000000-0008-0000-1100-00000D000000}"/>
              </a:ext>
            </a:extLst>
          </xdr:cNvPr>
          <xdr:cNvSpPr/>
        </xdr:nvSpPr>
        <xdr:spPr>
          <a:xfrm>
            <a:off x="5019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3">
        <xdr:nvSpPr>
          <xdr:cNvPr id="14" name="RectE3">
            <a:extLst>
              <a:ext uri="{FF2B5EF4-FFF2-40B4-BE49-F238E27FC236}">
                <a16:creationId xmlns:a16="http://schemas.microsoft.com/office/drawing/2014/main" id="{00000000-0008-0000-1100-00000E000000}"/>
              </a:ext>
            </a:extLst>
          </xdr:cNvPr>
          <xdr:cNvSpPr/>
        </xdr:nvSpPr>
        <xdr:spPr>
          <a:xfrm>
            <a:off x="6035675" y="52768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D6C0342-957A-447C-A87C-CBFA41E4C90C}" type="TxLink">
              <a:rPr lang="en-US" sz="1000" b="0" i="0" u="none" strike="noStrike">
                <a:solidFill>
                  <a:srgbClr val="000000"/>
                </a:solidFill>
                <a:latin typeface="Arial" panose="020B0604020202020204" pitchFamily="34" charset="0"/>
                <a:cs typeface="Arial" panose="020B0604020202020204" pitchFamily="34" charset="0"/>
              </a:rPr>
              <a:pPr algn="ctr"/>
              <a:t>3.82</a:t>
            </a:fld>
            <a:endParaRPr lang="en-US" sz="1000" b="0" i="0" u="none" strike="noStrike">
              <a:solidFill>
                <a:srgbClr val="000000"/>
              </a:solidFill>
              <a:latin typeface="Arial" panose="020B0604020202020204" pitchFamily="34" charset="0"/>
              <a:cs typeface="Arial" panose="020B0604020202020204" pitchFamily="34" charset="0"/>
            </a:endParaRPr>
          </a:p>
        </xdr:txBody>
      </xdr:sp>
      <xdr:sp macro="" textlink="$F$3">
        <xdr:nvSpPr>
          <xdr:cNvPr id="15" name="RectF3">
            <a:extLst>
              <a:ext uri="{FF2B5EF4-FFF2-40B4-BE49-F238E27FC236}">
                <a16:creationId xmlns:a16="http://schemas.microsoft.com/office/drawing/2014/main" id="{00000000-0008-0000-1100-00000F000000}"/>
              </a:ext>
            </a:extLst>
          </xdr:cNvPr>
          <xdr:cNvSpPr/>
        </xdr:nvSpPr>
        <xdr:spPr>
          <a:xfrm>
            <a:off x="7051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1F181D8-EBE2-407E-9899-59228E27FD3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1.06</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3">
        <xdr:nvSpPr>
          <xdr:cNvPr id="16" name="RectG3">
            <a:extLst>
              <a:ext uri="{FF2B5EF4-FFF2-40B4-BE49-F238E27FC236}">
                <a16:creationId xmlns:a16="http://schemas.microsoft.com/office/drawing/2014/main" id="{00000000-0008-0000-1100-000010000000}"/>
              </a:ext>
            </a:extLst>
          </xdr:cNvPr>
          <xdr:cNvSpPr/>
        </xdr:nvSpPr>
        <xdr:spPr>
          <a:xfrm>
            <a:off x="8067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F32AE7B-E5E8-479A-AFB4-88EC1CCE61A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1.92</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H$3">
        <xdr:nvSpPr>
          <xdr:cNvPr id="17" name="RectH3">
            <a:extLst>
              <a:ext uri="{FF2B5EF4-FFF2-40B4-BE49-F238E27FC236}">
                <a16:creationId xmlns:a16="http://schemas.microsoft.com/office/drawing/2014/main" id="{00000000-0008-0000-1100-000011000000}"/>
              </a:ext>
            </a:extLst>
          </xdr:cNvPr>
          <xdr:cNvSpPr/>
        </xdr:nvSpPr>
        <xdr:spPr>
          <a:xfrm>
            <a:off x="9083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65C84F3-BEF0-4483-9820-63AF39F335E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3.26</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B$4">
        <xdr:nvSpPr>
          <xdr:cNvPr id="18" name="RectB4">
            <a:extLst>
              <a:ext uri="{FF2B5EF4-FFF2-40B4-BE49-F238E27FC236}">
                <a16:creationId xmlns:a16="http://schemas.microsoft.com/office/drawing/2014/main" id="{00000000-0008-0000-1100-000012000000}"/>
              </a:ext>
            </a:extLst>
          </xdr:cNvPr>
          <xdr:cNvSpPr/>
        </xdr:nvSpPr>
        <xdr:spPr>
          <a:xfrm>
            <a:off x="1209675" y="54597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E3F10446-10F4-4D16-B7E4-FD41A2E21031}"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Debt to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4">
        <xdr:nvSpPr>
          <xdr:cNvPr id="19" name="RectC4">
            <a:extLst>
              <a:ext uri="{FF2B5EF4-FFF2-40B4-BE49-F238E27FC236}">
                <a16:creationId xmlns:a16="http://schemas.microsoft.com/office/drawing/2014/main" id="{00000000-0008-0000-1100-000013000000}"/>
              </a:ext>
            </a:extLst>
          </xdr:cNvPr>
          <xdr:cNvSpPr/>
        </xdr:nvSpPr>
        <xdr:spPr>
          <a:xfrm>
            <a:off x="3432175" y="54597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9122092-0AD4-4CF1-9BFE-4DF6AD6EBCA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TL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0" name="RectD4">
            <a:extLst>
              <a:ext uri="{FF2B5EF4-FFF2-40B4-BE49-F238E27FC236}">
                <a16:creationId xmlns:a16="http://schemas.microsoft.com/office/drawing/2014/main" id="{00000000-0008-0000-1100-000014000000}"/>
              </a:ext>
            </a:extLst>
          </xdr:cNvPr>
          <xdr:cNvSpPr/>
        </xdr:nvSpPr>
        <xdr:spPr>
          <a:xfrm>
            <a:off x="5019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a:solidFill>
                <a:schemeClr val="lt1"/>
              </a:solidFill>
              <a:effectLst/>
              <a:latin typeface="+mn-lt"/>
              <a:ea typeface="+mn-ea"/>
              <a:cs typeface="+mn-cs"/>
            </a:endParaRPr>
          </a:p>
          <a:p>
            <a:pPr algn="l"/>
            <a:endParaRPr lang="en-US" sz="1100" b="0" i="0" u="none" strike="noStrike">
              <a:solidFill>
                <a:srgbClr val="000000"/>
              </a:solidFill>
              <a:latin typeface="Calibri"/>
              <a:cs typeface="Calibri"/>
            </a:endParaRPr>
          </a:p>
        </xdr:txBody>
      </xdr:sp>
      <xdr:sp macro="" textlink="$E$4">
        <xdr:nvSpPr>
          <xdr:cNvPr id="21" name="RectE4">
            <a:extLst>
              <a:ext uri="{FF2B5EF4-FFF2-40B4-BE49-F238E27FC236}">
                <a16:creationId xmlns:a16="http://schemas.microsoft.com/office/drawing/2014/main" id="{00000000-0008-0000-1100-000015000000}"/>
              </a:ext>
            </a:extLst>
          </xdr:cNvPr>
          <xdr:cNvSpPr/>
        </xdr:nvSpPr>
        <xdr:spPr>
          <a:xfrm>
            <a:off x="6035675" y="54597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960F67D-C76B-4B2E-B1B4-780DD45E3BA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0.79</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4">
        <xdr:nvSpPr>
          <xdr:cNvPr id="22" name="RectF4">
            <a:extLst>
              <a:ext uri="{FF2B5EF4-FFF2-40B4-BE49-F238E27FC236}">
                <a16:creationId xmlns:a16="http://schemas.microsoft.com/office/drawing/2014/main" id="{00000000-0008-0000-1100-000016000000}"/>
              </a:ext>
            </a:extLst>
          </xdr:cNvPr>
          <xdr:cNvSpPr/>
        </xdr:nvSpPr>
        <xdr:spPr>
          <a:xfrm>
            <a:off x="7051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9F5ECE9-C6BC-47A3-BFC3-F7BBAC2E7C4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0.51</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4">
        <xdr:nvSpPr>
          <xdr:cNvPr id="23" name="RectG4">
            <a:extLst>
              <a:ext uri="{FF2B5EF4-FFF2-40B4-BE49-F238E27FC236}">
                <a16:creationId xmlns:a16="http://schemas.microsoft.com/office/drawing/2014/main" id="{00000000-0008-0000-1100-000017000000}"/>
              </a:ext>
            </a:extLst>
          </xdr:cNvPr>
          <xdr:cNvSpPr/>
        </xdr:nvSpPr>
        <xdr:spPr>
          <a:xfrm>
            <a:off x="8067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2ED597-706D-4BA5-B74A-78A37382814B}" type="TxLink">
              <a:rPr lang="en-US" sz="1000" b="0" i="0" u="none" strike="noStrike">
                <a:solidFill>
                  <a:srgbClr val="000000"/>
                </a:solidFill>
                <a:latin typeface="Arial"/>
                <a:cs typeface="Arial"/>
              </a:rPr>
              <a:pPr algn="ctr"/>
              <a:t>0.66</a:t>
            </a:fld>
            <a:endParaRPr lang="en-US" sz="1100" b="0" i="0" u="none" strike="noStrike">
              <a:solidFill>
                <a:srgbClr val="000000"/>
              </a:solidFill>
              <a:latin typeface="Calibri"/>
              <a:cs typeface="Calibri"/>
            </a:endParaRPr>
          </a:p>
        </xdr:txBody>
      </xdr:sp>
      <xdr:sp macro="" textlink="$H$4">
        <xdr:nvSpPr>
          <xdr:cNvPr id="24" name="RectH4">
            <a:extLst>
              <a:ext uri="{FF2B5EF4-FFF2-40B4-BE49-F238E27FC236}">
                <a16:creationId xmlns:a16="http://schemas.microsoft.com/office/drawing/2014/main" id="{00000000-0008-0000-1100-000018000000}"/>
              </a:ext>
            </a:extLst>
          </xdr:cNvPr>
          <xdr:cNvSpPr/>
        </xdr:nvSpPr>
        <xdr:spPr>
          <a:xfrm>
            <a:off x="9083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6F8FB5-29E4-442C-B898-9B159220A907}" type="TxLink">
              <a:rPr lang="en-US" sz="1000" b="0" i="0" u="none" strike="noStrike">
                <a:solidFill>
                  <a:srgbClr val="000000"/>
                </a:solidFill>
                <a:latin typeface="Arial"/>
                <a:cs typeface="Arial"/>
              </a:rPr>
              <a:pPr algn="ctr"/>
              <a:t>0.75</a:t>
            </a:fld>
            <a:endParaRPr lang="en-US" sz="1100" b="0" i="0" u="none" strike="noStrike">
              <a:solidFill>
                <a:srgbClr val="000000"/>
              </a:solidFill>
              <a:latin typeface="Calibri"/>
              <a:cs typeface="Calibri"/>
            </a:endParaRPr>
          </a:p>
        </xdr:txBody>
      </xdr:sp>
      <xdr:sp macro="" textlink="$B$5">
        <xdr:nvSpPr>
          <xdr:cNvPr id="25" name="RectB5">
            <a:extLst>
              <a:ext uri="{FF2B5EF4-FFF2-40B4-BE49-F238E27FC236}">
                <a16:creationId xmlns:a16="http://schemas.microsoft.com/office/drawing/2014/main" id="{00000000-0008-0000-1100-000019000000}"/>
              </a:ext>
            </a:extLst>
          </xdr:cNvPr>
          <xdr:cNvSpPr/>
        </xdr:nvSpPr>
        <xdr:spPr>
          <a:xfrm>
            <a:off x="1209675" y="564260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45B373C-E608-41B8-A56D-F96B03D4552F}"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Financial Leverage Multiplier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5">
        <xdr:nvSpPr>
          <xdr:cNvPr id="26" name="RectC5">
            <a:extLst>
              <a:ext uri="{FF2B5EF4-FFF2-40B4-BE49-F238E27FC236}">
                <a16:creationId xmlns:a16="http://schemas.microsoft.com/office/drawing/2014/main" id="{00000000-0008-0000-1100-00001A000000}"/>
              </a:ext>
            </a:extLst>
          </xdr:cNvPr>
          <xdr:cNvSpPr/>
        </xdr:nvSpPr>
        <xdr:spPr>
          <a:xfrm>
            <a:off x="3432175" y="564260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5E7F3F8-3700-4184-95D8-6378743BF21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TA / Equity</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7" name="RectD5">
            <a:extLst>
              <a:ext uri="{FF2B5EF4-FFF2-40B4-BE49-F238E27FC236}">
                <a16:creationId xmlns:a16="http://schemas.microsoft.com/office/drawing/2014/main" id="{00000000-0008-0000-1100-00001B000000}"/>
              </a:ext>
            </a:extLst>
          </xdr:cNvPr>
          <xdr:cNvSpPr/>
        </xdr:nvSpPr>
        <xdr:spPr>
          <a:xfrm>
            <a:off x="5019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5">
        <xdr:nvSpPr>
          <xdr:cNvPr id="28" name="RectE5">
            <a:extLst>
              <a:ext uri="{FF2B5EF4-FFF2-40B4-BE49-F238E27FC236}">
                <a16:creationId xmlns:a16="http://schemas.microsoft.com/office/drawing/2014/main" id="{00000000-0008-0000-1100-00001C000000}"/>
              </a:ext>
            </a:extLst>
          </xdr:cNvPr>
          <xdr:cNvSpPr/>
        </xdr:nvSpPr>
        <xdr:spPr>
          <a:xfrm>
            <a:off x="6035675" y="564260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4E60C12-BD58-48AF-BD50-13B1EDD36487}"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4.83</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5">
        <xdr:nvSpPr>
          <xdr:cNvPr id="29" name="RectF5">
            <a:extLst>
              <a:ext uri="{FF2B5EF4-FFF2-40B4-BE49-F238E27FC236}">
                <a16:creationId xmlns:a16="http://schemas.microsoft.com/office/drawing/2014/main" id="{00000000-0008-0000-1100-00001D000000}"/>
              </a:ext>
            </a:extLst>
          </xdr:cNvPr>
          <xdr:cNvSpPr/>
        </xdr:nvSpPr>
        <xdr:spPr>
          <a:xfrm>
            <a:off x="7051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04FCA3E-0704-4FBA-8F72-23AE696A472D}" type="TxLink">
              <a:rPr lang="en-US" sz="1000" b="0" i="0" u="none" strike="noStrike">
                <a:solidFill>
                  <a:srgbClr val="000000"/>
                </a:solidFill>
                <a:latin typeface="Arial"/>
                <a:cs typeface="Arial"/>
              </a:rPr>
              <a:pPr algn="ctr"/>
              <a:t>2.06</a:t>
            </a:fld>
            <a:endParaRPr lang="en-US" sz="1100" b="0" i="0" u="none" strike="noStrike">
              <a:solidFill>
                <a:srgbClr val="000000"/>
              </a:solidFill>
              <a:latin typeface="Calibri"/>
              <a:cs typeface="Calibri"/>
            </a:endParaRPr>
          </a:p>
        </xdr:txBody>
      </xdr:sp>
      <xdr:sp macro="" textlink="$G$5">
        <xdr:nvSpPr>
          <xdr:cNvPr id="30" name="RectG5">
            <a:extLst>
              <a:ext uri="{FF2B5EF4-FFF2-40B4-BE49-F238E27FC236}">
                <a16:creationId xmlns:a16="http://schemas.microsoft.com/office/drawing/2014/main" id="{00000000-0008-0000-1100-00001E000000}"/>
              </a:ext>
            </a:extLst>
          </xdr:cNvPr>
          <xdr:cNvSpPr/>
        </xdr:nvSpPr>
        <xdr:spPr>
          <a:xfrm>
            <a:off x="8067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134ED0-80AA-4629-98BE-541F28913FA2}" type="TxLink">
              <a:rPr lang="en-US" sz="1000" b="0" i="0" u="none" strike="noStrike">
                <a:solidFill>
                  <a:srgbClr val="000000"/>
                </a:solidFill>
                <a:latin typeface="Arial"/>
                <a:cs typeface="Arial"/>
              </a:rPr>
              <a:pPr algn="ctr"/>
              <a:t>2.93</a:t>
            </a:fld>
            <a:endParaRPr lang="en-US" sz="1100" b="0" i="0" u="none" strike="noStrike">
              <a:solidFill>
                <a:srgbClr val="000000"/>
              </a:solidFill>
              <a:latin typeface="Calibri"/>
              <a:cs typeface="Calibri"/>
            </a:endParaRPr>
          </a:p>
        </xdr:txBody>
      </xdr:sp>
      <xdr:sp macro="" textlink="$H$5">
        <xdr:nvSpPr>
          <xdr:cNvPr id="31" name="RectH5">
            <a:extLst>
              <a:ext uri="{FF2B5EF4-FFF2-40B4-BE49-F238E27FC236}">
                <a16:creationId xmlns:a16="http://schemas.microsoft.com/office/drawing/2014/main" id="{00000000-0008-0000-1100-00001F000000}"/>
              </a:ext>
            </a:extLst>
          </xdr:cNvPr>
          <xdr:cNvSpPr/>
        </xdr:nvSpPr>
        <xdr:spPr>
          <a:xfrm>
            <a:off x="9083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249527A-AB20-4A6C-9D73-0454BCC61A5F}" type="TxLink">
              <a:rPr lang="en-US" sz="1000" b="0" i="0" u="none" strike="noStrike">
                <a:solidFill>
                  <a:srgbClr val="000000"/>
                </a:solidFill>
                <a:latin typeface="Arial"/>
                <a:cs typeface="Arial"/>
              </a:rPr>
              <a:pPr algn="ctr"/>
              <a:t>4.33</a:t>
            </a:fld>
            <a:endParaRPr lang="en-US" sz="1100" b="0" i="0" u="none" strike="noStrike">
              <a:solidFill>
                <a:srgbClr val="000000"/>
              </a:solidFill>
              <a:latin typeface="Calibri"/>
              <a:cs typeface="Calibri"/>
            </a:endParaRPr>
          </a:p>
        </xdr:txBody>
      </xdr:sp>
      <xdr:sp macro="" textlink="$B$6">
        <xdr:nvSpPr>
          <xdr:cNvPr id="32" name="RectB6">
            <a:extLst>
              <a:ext uri="{FF2B5EF4-FFF2-40B4-BE49-F238E27FC236}">
                <a16:creationId xmlns:a16="http://schemas.microsoft.com/office/drawing/2014/main" id="{00000000-0008-0000-1100-000020000000}"/>
              </a:ext>
            </a:extLst>
          </xdr:cNvPr>
          <xdr:cNvSpPr/>
        </xdr:nvSpPr>
        <xdr:spPr>
          <a:xfrm>
            <a:off x="1209675" y="582548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E3BACDB8-A425-4EC0-99ED-0239F0E77C57}"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Fixed Assets to Equity &amp; LT Liab</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6">
        <xdr:nvSpPr>
          <xdr:cNvPr id="33" name="RectC6">
            <a:extLst>
              <a:ext uri="{FF2B5EF4-FFF2-40B4-BE49-F238E27FC236}">
                <a16:creationId xmlns:a16="http://schemas.microsoft.com/office/drawing/2014/main" id="{00000000-0008-0000-1100-000021000000}"/>
              </a:ext>
            </a:extLst>
          </xdr:cNvPr>
          <xdr:cNvSpPr/>
        </xdr:nvSpPr>
        <xdr:spPr>
          <a:xfrm>
            <a:off x="3432175" y="582548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FEB12ED-F434-47A7-B43B-8D4E39E7FD23}"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PPE/(equity + LT Liab)</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34" name="RectD6">
            <a:extLst>
              <a:ext uri="{FF2B5EF4-FFF2-40B4-BE49-F238E27FC236}">
                <a16:creationId xmlns:a16="http://schemas.microsoft.com/office/drawing/2014/main" id="{00000000-0008-0000-1100-000022000000}"/>
              </a:ext>
            </a:extLst>
          </xdr:cNvPr>
          <xdr:cNvSpPr/>
        </xdr:nvSpPr>
        <xdr:spPr>
          <a:xfrm>
            <a:off x="5019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6">
        <xdr:nvSpPr>
          <xdr:cNvPr id="35" name="RectE6">
            <a:extLst>
              <a:ext uri="{FF2B5EF4-FFF2-40B4-BE49-F238E27FC236}">
                <a16:creationId xmlns:a16="http://schemas.microsoft.com/office/drawing/2014/main" id="{00000000-0008-0000-1100-000023000000}"/>
              </a:ext>
            </a:extLst>
          </xdr:cNvPr>
          <xdr:cNvSpPr/>
        </xdr:nvSpPr>
        <xdr:spPr>
          <a:xfrm>
            <a:off x="6035675" y="582548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13229DF-539C-4591-BAC4-A314D486351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19%</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6">
        <xdr:nvSpPr>
          <xdr:cNvPr id="36" name="RectF6">
            <a:extLst>
              <a:ext uri="{FF2B5EF4-FFF2-40B4-BE49-F238E27FC236}">
                <a16:creationId xmlns:a16="http://schemas.microsoft.com/office/drawing/2014/main" id="{00000000-0008-0000-1100-000024000000}"/>
              </a:ext>
            </a:extLst>
          </xdr:cNvPr>
          <xdr:cNvSpPr/>
        </xdr:nvSpPr>
        <xdr:spPr>
          <a:xfrm>
            <a:off x="7051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995F7D-4170-448E-B751-7DA0BFB2E96A}" type="TxLink">
              <a:rPr lang="en-US" sz="1000" b="0" i="0" u="none" strike="noStrike">
                <a:solidFill>
                  <a:srgbClr val="000000"/>
                </a:solidFill>
                <a:latin typeface="Arial"/>
                <a:cs typeface="Arial"/>
              </a:rPr>
              <a:pPr algn="ctr"/>
              <a:t>12%</a:t>
            </a:fld>
            <a:endParaRPr lang="en-US" sz="1100" b="0" i="0" u="none" strike="noStrike">
              <a:solidFill>
                <a:srgbClr val="000000"/>
              </a:solidFill>
              <a:latin typeface="Calibri"/>
              <a:cs typeface="Calibri"/>
            </a:endParaRPr>
          </a:p>
        </xdr:txBody>
      </xdr:sp>
      <xdr:sp macro="" textlink="$G$6">
        <xdr:nvSpPr>
          <xdr:cNvPr id="37" name="RectG6">
            <a:extLst>
              <a:ext uri="{FF2B5EF4-FFF2-40B4-BE49-F238E27FC236}">
                <a16:creationId xmlns:a16="http://schemas.microsoft.com/office/drawing/2014/main" id="{00000000-0008-0000-1100-000025000000}"/>
              </a:ext>
            </a:extLst>
          </xdr:cNvPr>
          <xdr:cNvSpPr/>
        </xdr:nvSpPr>
        <xdr:spPr>
          <a:xfrm>
            <a:off x="8067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D89742-F69A-4306-811B-5EADB1A29F8E}" type="TxLink">
              <a:rPr lang="en-US" sz="1000" b="0" i="0" u="none" strike="noStrike">
                <a:solidFill>
                  <a:srgbClr val="000000"/>
                </a:solidFill>
                <a:latin typeface="Arial"/>
                <a:cs typeface="Arial"/>
              </a:rPr>
              <a:pPr algn="ctr"/>
              <a:t>17%</a:t>
            </a:fld>
            <a:endParaRPr lang="en-US" sz="1100" b="0" i="0" u="none" strike="noStrike">
              <a:solidFill>
                <a:srgbClr val="000000"/>
              </a:solidFill>
              <a:latin typeface="Calibri"/>
              <a:cs typeface="Calibri"/>
            </a:endParaRPr>
          </a:p>
        </xdr:txBody>
      </xdr:sp>
      <xdr:sp macro="" textlink="$H$6">
        <xdr:nvSpPr>
          <xdr:cNvPr id="38" name="RectH6">
            <a:extLst>
              <a:ext uri="{FF2B5EF4-FFF2-40B4-BE49-F238E27FC236}">
                <a16:creationId xmlns:a16="http://schemas.microsoft.com/office/drawing/2014/main" id="{00000000-0008-0000-1100-000026000000}"/>
              </a:ext>
            </a:extLst>
          </xdr:cNvPr>
          <xdr:cNvSpPr/>
        </xdr:nvSpPr>
        <xdr:spPr>
          <a:xfrm>
            <a:off x="9083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E363C8-3C7F-462A-BD91-B5754682F22A}" type="TxLink">
              <a:rPr lang="en-US" sz="1000" b="0" i="0" u="none" strike="noStrike">
                <a:solidFill>
                  <a:srgbClr val="000000"/>
                </a:solidFill>
                <a:latin typeface="Arial"/>
                <a:cs typeface="Arial"/>
              </a:rPr>
              <a:pPr algn="ctr"/>
              <a:t>22%</a:t>
            </a:fld>
            <a:endParaRPr lang="en-US" sz="1100" b="0" i="0" u="none" strike="noStrike">
              <a:solidFill>
                <a:srgbClr val="000000"/>
              </a:solidFill>
              <a:latin typeface="Calibri"/>
              <a:cs typeface="Calibri"/>
            </a:endParaRPr>
          </a:p>
        </xdr:txBody>
      </xdr:sp>
      <xdr:sp macro="" textlink="$B$7">
        <xdr:nvSpPr>
          <xdr:cNvPr id="39" name="RectB7">
            <a:extLst>
              <a:ext uri="{FF2B5EF4-FFF2-40B4-BE49-F238E27FC236}">
                <a16:creationId xmlns:a16="http://schemas.microsoft.com/office/drawing/2014/main" id="{00000000-0008-0000-1100-000027000000}"/>
              </a:ext>
            </a:extLst>
          </xdr:cNvPr>
          <xdr:cNvSpPr/>
        </xdr:nvSpPr>
        <xdr:spPr>
          <a:xfrm>
            <a:off x="1209675" y="600836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7FC3545-FB3B-4A5D-A1F6-CFA2196C30F1}"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Retained Earnings to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7">
        <xdr:nvSpPr>
          <xdr:cNvPr id="40" name="RectC7">
            <a:extLst>
              <a:ext uri="{FF2B5EF4-FFF2-40B4-BE49-F238E27FC236}">
                <a16:creationId xmlns:a16="http://schemas.microsoft.com/office/drawing/2014/main" id="{00000000-0008-0000-1100-000028000000}"/>
              </a:ext>
            </a:extLst>
          </xdr:cNvPr>
          <xdr:cNvSpPr/>
        </xdr:nvSpPr>
        <xdr:spPr>
          <a:xfrm>
            <a:off x="3432175" y="600836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B4261D5-7B1F-44CC-B975-F0C10E0817D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Retained Earn / TA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1" name="RectD7">
            <a:extLst>
              <a:ext uri="{FF2B5EF4-FFF2-40B4-BE49-F238E27FC236}">
                <a16:creationId xmlns:a16="http://schemas.microsoft.com/office/drawing/2014/main" id="{00000000-0008-0000-1100-000029000000}"/>
              </a:ext>
            </a:extLst>
          </xdr:cNvPr>
          <xdr:cNvSpPr/>
        </xdr:nvSpPr>
        <xdr:spPr>
          <a:xfrm>
            <a:off x="5019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7">
        <xdr:nvSpPr>
          <xdr:cNvPr id="42" name="RectE7">
            <a:extLst>
              <a:ext uri="{FF2B5EF4-FFF2-40B4-BE49-F238E27FC236}">
                <a16:creationId xmlns:a16="http://schemas.microsoft.com/office/drawing/2014/main" id="{00000000-0008-0000-1100-00002A000000}"/>
              </a:ext>
            </a:extLst>
          </xdr:cNvPr>
          <xdr:cNvSpPr/>
        </xdr:nvSpPr>
        <xdr:spPr>
          <a:xfrm>
            <a:off x="6035675" y="600836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06E9660-F1D2-46CC-970C-7B3AE8C882FB}"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25.8%</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7">
        <xdr:nvSpPr>
          <xdr:cNvPr id="43" name="RectF7">
            <a:extLst>
              <a:ext uri="{FF2B5EF4-FFF2-40B4-BE49-F238E27FC236}">
                <a16:creationId xmlns:a16="http://schemas.microsoft.com/office/drawing/2014/main" id="{00000000-0008-0000-1100-00002B000000}"/>
              </a:ext>
            </a:extLst>
          </xdr:cNvPr>
          <xdr:cNvSpPr/>
        </xdr:nvSpPr>
        <xdr:spPr>
          <a:xfrm>
            <a:off x="7051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D5DE84-EF27-4F9B-9895-3308A03BA04B}" type="TxLink">
              <a:rPr lang="en-US" sz="1000" b="0" i="0" u="none" strike="noStrike">
                <a:solidFill>
                  <a:srgbClr val="000000"/>
                </a:solidFill>
                <a:latin typeface="Arial"/>
                <a:cs typeface="Arial"/>
              </a:rPr>
              <a:pPr algn="ctr"/>
              <a:t>18.9%</a:t>
            </a:fld>
            <a:endParaRPr lang="en-US" sz="1100" b="0" i="0" u="none" strike="noStrike">
              <a:solidFill>
                <a:srgbClr val="000000"/>
              </a:solidFill>
              <a:latin typeface="Calibri"/>
              <a:cs typeface="Calibri"/>
            </a:endParaRPr>
          </a:p>
        </xdr:txBody>
      </xdr:sp>
      <xdr:sp macro="" textlink="$G$7">
        <xdr:nvSpPr>
          <xdr:cNvPr id="44" name="RectG7">
            <a:extLst>
              <a:ext uri="{FF2B5EF4-FFF2-40B4-BE49-F238E27FC236}">
                <a16:creationId xmlns:a16="http://schemas.microsoft.com/office/drawing/2014/main" id="{00000000-0008-0000-1100-00002C000000}"/>
              </a:ext>
            </a:extLst>
          </xdr:cNvPr>
          <xdr:cNvSpPr/>
        </xdr:nvSpPr>
        <xdr:spPr>
          <a:xfrm>
            <a:off x="8067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D852F40-8F52-4AB1-AEAF-5ECC65BB3B85}" type="TxLink">
              <a:rPr lang="en-US" sz="1000" b="0" i="0" u="none" strike="noStrike">
                <a:solidFill>
                  <a:srgbClr val="000000"/>
                </a:solidFill>
                <a:latin typeface="Arial"/>
                <a:cs typeface="Arial"/>
              </a:rPr>
              <a:pPr algn="ctr"/>
              <a:t>25.8%</a:t>
            </a:fld>
            <a:endParaRPr lang="en-US" sz="1100" b="0" i="0" u="none" strike="noStrike">
              <a:solidFill>
                <a:srgbClr val="000000"/>
              </a:solidFill>
              <a:latin typeface="Calibri"/>
              <a:cs typeface="Calibri"/>
            </a:endParaRPr>
          </a:p>
        </xdr:txBody>
      </xdr:sp>
      <xdr:sp macro="" textlink="$H$7">
        <xdr:nvSpPr>
          <xdr:cNvPr id="45" name="RectH7">
            <a:extLst>
              <a:ext uri="{FF2B5EF4-FFF2-40B4-BE49-F238E27FC236}">
                <a16:creationId xmlns:a16="http://schemas.microsoft.com/office/drawing/2014/main" id="{00000000-0008-0000-1100-00002D000000}"/>
              </a:ext>
            </a:extLst>
          </xdr:cNvPr>
          <xdr:cNvSpPr/>
        </xdr:nvSpPr>
        <xdr:spPr>
          <a:xfrm>
            <a:off x="9083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91BCBDF-7B75-4D7F-8446-68CD26D1BEFE}" type="TxLink">
              <a:rPr lang="en-US" sz="1000" b="0" i="0" u="none" strike="noStrike">
                <a:solidFill>
                  <a:srgbClr val="000000"/>
                </a:solidFill>
                <a:latin typeface="Arial"/>
                <a:cs typeface="Arial"/>
              </a:rPr>
              <a:pPr algn="ctr"/>
              <a:t>47.1%</a:t>
            </a:fld>
            <a:endParaRPr lang="en-US" sz="1100" b="0" i="0" u="none" strike="noStrike">
              <a:solidFill>
                <a:srgbClr val="000000"/>
              </a:solidFill>
              <a:latin typeface="Calibri"/>
              <a:cs typeface="Calibri"/>
            </a:endParaRPr>
          </a:p>
        </xdr:txBody>
      </xdr:sp>
      <xdr:sp macro="" textlink="$B$8">
        <xdr:nvSpPr>
          <xdr:cNvPr id="67" name="RectB8">
            <a:extLst>
              <a:ext uri="{FF2B5EF4-FFF2-40B4-BE49-F238E27FC236}">
                <a16:creationId xmlns:a16="http://schemas.microsoft.com/office/drawing/2014/main" id="{00000000-0008-0000-1100-000043000000}"/>
              </a:ext>
            </a:extLst>
          </xdr:cNvPr>
          <xdr:cNvSpPr/>
        </xdr:nvSpPr>
        <xdr:spPr>
          <a:xfrm>
            <a:off x="1209675" y="6196964"/>
            <a:ext cx="2222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F3E8C88C-7211-4778-8DC4-8A42CF4D5BE1}" type="TxLink">
              <a:rPr lang="en-US" sz="900" b="1" i="0" u="none" strike="noStrike">
                <a:solidFill>
                  <a:schemeClr val="bg1"/>
                </a:solidFill>
                <a:latin typeface="Arial" panose="020B0604020202020204" pitchFamily="34" charset="0"/>
                <a:ea typeface="+mn-ea"/>
                <a:cs typeface="Arial" panose="020B0604020202020204" pitchFamily="34" charset="0"/>
              </a:rPr>
              <a:pPr marL="0" indent="0" algn="l"/>
              <a:t>Leverage Score</a:t>
            </a:fld>
            <a:endParaRPr lang="en-US" sz="1000" b="1" i="0" u="none" strike="noStrike">
              <a:solidFill>
                <a:schemeClr val="bg1"/>
              </a:solidFill>
              <a:latin typeface="Arial" panose="020B0604020202020204" pitchFamily="34" charset="0"/>
              <a:ea typeface="+mn-ea"/>
              <a:cs typeface="Arial" panose="020B0604020202020204" pitchFamily="34" charset="0"/>
            </a:endParaRPr>
          </a:p>
        </xdr:txBody>
      </xdr:sp>
      <xdr:sp macro="" textlink="$C$11">
        <xdr:nvSpPr>
          <xdr:cNvPr id="68" name="RectC8">
            <a:extLst>
              <a:ext uri="{FF2B5EF4-FFF2-40B4-BE49-F238E27FC236}">
                <a16:creationId xmlns:a16="http://schemas.microsoft.com/office/drawing/2014/main" id="{00000000-0008-0000-1100-000044000000}"/>
              </a:ext>
            </a:extLst>
          </xdr:cNvPr>
          <xdr:cNvSpPr/>
        </xdr:nvSpPr>
        <xdr:spPr>
          <a:xfrm>
            <a:off x="3432175" y="6196964"/>
            <a:ext cx="1587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30460B4-52B5-4CF4-87EB-AA0F069D04EB}"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69" name="RectD8">
            <a:extLst>
              <a:ext uri="{FF2B5EF4-FFF2-40B4-BE49-F238E27FC236}">
                <a16:creationId xmlns:a16="http://schemas.microsoft.com/office/drawing/2014/main" id="{00000000-0008-0000-1100-000045000000}"/>
              </a:ext>
            </a:extLst>
          </xdr:cNvPr>
          <xdr:cNvSpPr/>
        </xdr:nvSpPr>
        <xdr:spPr>
          <a:xfrm>
            <a:off x="5019675" y="619696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E$11" fLocksText="0">
        <xdr:nvSpPr>
          <xdr:cNvPr id="70" name="RectE8">
            <a:extLst>
              <a:ext uri="{FF2B5EF4-FFF2-40B4-BE49-F238E27FC236}">
                <a16:creationId xmlns:a16="http://schemas.microsoft.com/office/drawing/2014/main" id="{00000000-0008-0000-1100-000046000000}"/>
              </a:ext>
            </a:extLst>
          </xdr:cNvPr>
          <xdr:cNvSpPr/>
        </xdr:nvSpPr>
        <xdr:spPr>
          <a:xfrm>
            <a:off x="6035675" y="619696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E3AFA73-47B2-4FAB-8147-C14D9394B69A}"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F$11">
        <xdr:nvSpPr>
          <xdr:cNvPr id="71" name="RectF8">
            <a:extLst>
              <a:ext uri="{FF2B5EF4-FFF2-40B4-BE49-F238E27FC236}">
                <a16:creationId xmlns:a16="http://schemas.microsoft.com/office/drawing/2014/main" id="{00000000-0008-0000-1100-000047000000}"/>
              </a:ext>
            </a:extLst>
          </xdr:cNvPr>
          <xdr:cNvSpPr/>
        </xdr:nvSpPr>
        <xdr:spPr>
          <a:xfrm>
            <a:off x="7051675" y="619696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83A2D9A-4DAF-43EC-A000-B89E2CC3A64D}"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G$11">
        <xdr:nvSpPr>
          <xdr:cNvPr id="72" name="RectG8">
            <a:extLst>
              <a:ext uri="{FF2B5EF4-FFF2-40B4-BE49-F238E27FC236}">
                <a16:creationId xmlns:a16="http://schemas.microsoft.com/office/drawing/2014/main" id="{00000000-0008-0000-1100-000048000000}"/>
              </a:ext>
            </a:extLst>
          </xdr:cNvPr>
          <xdr:cNvSpPr/>
        </xdr:nvSpPr>
        <xdr:spPr>
          <a:xfrm>
            <a:off x="8067675" y="619696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FF5FA1E-0F53-47D2-82C4-13AF31852A6A}"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H$11">
        <xdr:nvSpPr>
          <xdr:cNvPr id="73" name="RectH8">
            <a:extLst>
              <a:ext uri="{FF2B5EF4-FFF2-40B4-BE49-F238E27FC236}">
                <a16:creationId xmlns:a16="http://schemas.microsoft.com/office/drawing/2014/main" id="{00000000-0008-0000-1100-000049000000}"/>
              </a:ext>
            </a:extLst>
          </xdr:cNvPr>
          <xdr:cNvSpPr/>
        </xdr:nvSpPr>
        <xdr:spPr>
          <a:xfrm>
            <a:off x="9083675" y="619696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B3E4069-A2A2-4D17-A22A-A0B9E97217DE}"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88" name="CircleD3">
            <a:extLst>
              <a:ext uri="{FF2B5EF4-FFF2-40B4-BE49-F238E27FC236}">
                <a16:creationId xmlns:a16="http://schemas.microsoft.com/office/drawing/2014/main" id="{00000000-0008-0000-1100-000058000000}"/>
              </a:ext>
            </a:extLst>
          </xdr:cNvPr>
          <xdr:cNvSpPr/>
        </xdr:nvSpPr>
        <xdr:spPr>
          <a:xfrm>
            <a:off x="5459095" y="5299709"/>
            <a:ext cx="137160" cy="137160"/>
          </a:xfrm>
          <a:prstGeom prst="ellipse">
            <a:avLst/>
          </a:prstGeom>
          <a:solidFill>
            <a:srgbClr val="FF0000"/>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CircleD4">
            <a:extLst>
              <a:ext uri="{FF2B5EF4-FFF2-40B4-BE49-F238E27FC236}">
                <a16:creationId xmlns:a16="http://schemas.microsoft.com/office/drawing/2014/main" id="{00000000-0008-0000-1100-000059000000}"/>
              </a:ext>
            </a:extLst>
          </xdr:cNvPr>
          <xdr:cNvSpPr/>
        </xdr:nvSpPr>
        <xdr:spPr>
          <a:xfrm>
            <a:off x="5459095" y="5482589"/>
            <a:ext cx="137160" cy="137160"/>
          </a:xfrm>
          <a:prstGeom prst="ellipse">
            <a:avLst/>
          </a:prstGeom>
          <a:solidFill>
            <a:srgbClr val="FF0000"/>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CircleD5">
            <a:extLst>
              <a:ext uri="{FF2B5EF4-FFF2-40B4-BE49-F238E27FC236}">
                <a16:creationId xmlns:a16="http://schemas.microsoft.com/office/drawing/2014/main" id="{00000000-0008-0000-1100-00005A000000}"/>
              </a:ext>
            </a:extLst>
          </xdr:cNvPr>
          <xdr:cNvSpPr/>
        </xdr:nvSpPr>
        <xdr:spPr>
          <a:xfrm>
            <a:off x="5459095" y="5665469"/>
            <a:ext cx="137160" cy="137160"/>
          </a:xfrm>
          <a:prstGeom prst="ellipse">
            <a:avLst/>
          </a:prstGeom>
          <a:solidFill>
            <a:srgbClr val="FF0000"/>
          </a:solidFill>
          <a:ln w="63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CircleD6">
            <a:extLst>
              <a:ext uri="{FF2B5EF4-FFF2-40B4-BE49-F238E27FC236}">
                <a16:creationId xmlns:a16="http://schemas.microsoft.com/office/drawing/2014/main" id="{00000000-0008-0000-1100-00005B000000}"/>
              </a:ext>
            </a:extLst>
          </xdr:cNvPr>
          <xdr:cNvSpPr/>
        </xdr:nvSpPr>
        <xdr:spPr>
          <a:xfrm>
            <a:off x="5459095" y="584834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CircleD7">
            <a:extLst>
              <a:ext uri="{FF2B5EF4-FFF2-40B4-BE49-F238E27FC236}">
                <a16:creationId xmlns:a16="http://schemas.microsoft.com/office/drawing/2014/main" id="{00000000-0008-0000-1100-00005C000000}"/>
              </a:ext>
            </a:extLst>
          </xdr:cNvPr>
          <xdr:cNvSpPr/>
        </xdr:nvSpPr>
        <xdr:spPr>
          <a:xfrm>
            <a:off x="5459095" y="603122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CircleD8">
            <a:extLst>
              <a:ext uri="{FF2B5EF4-FFF2-40B4-BE49-F238E27FC236}">
                <a16:creationId xmlns:a16="http://schemas.microsoft.com/office/drawing/2014/main" id="{00000000-0008-0000-1100-000060000000}"/>
              </a:ext>
            </a:extLst>
          </xdr:cNvPr>
          <xdr:cNvSpPr/>
        </xdr:nvSpPr>
        <xdr:spPr>
          <a:xfrm>
            <a:off x="5459095" y="6219824"/>
            <a:ext cx="137160" cy="137160"/>
          </a:xfrm>
          <a:prstGeom prst="ellipse">
            <a:avLst/>
          </a:prstGeom>
          <a:solidFill>
            <a:srgbClr val="00C000"/>
          </a:solidFill>
          <a:ln w="63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581026</xdr:colOff>
      <xdr:row>1</xdr:row>
      <xdr:rowOff>1</xdr:rowOff>
    </xdr:from>
    <xdr:to>
      <xdr:col>14</xdr:col>
      <xdr:colOff>447676</xdr:colOff>
      <xdr:row>32</xdr:row>
      <xdr:rowOff>28576</xdr:rowOff>
    </xdr:to>
    <xdr:graphicFrame macro="">
      <xdr:nvGraphicFramePr>
        <xdr:cNvPr id="2" name="Chart 10">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485775</xdr:colOff>
          <xdr:row>7</xdr:row>
          <xdr:rowOff>123825</xdr:rowOff>
        </xdr:from>
        <xdr:to>
          <xdr:col>19</xdr:col>
          <xdr:colOff>323850</xdr:colOff>
          <xdr:row>9</xdr:row>
          <xdr:rowOff>95250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1200-00000148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438150</xdr:colOff>
          <xdr:row>15</xdr:row>
          <xdr:rowOff>38100</xdr:rowOff>
        </xdr:from>
        <xdr:to>
          <xdr:col>10</xdr:col>
          <xdr:colOff>514350</xdr:colOff>
          <xdr:row>16</xdr:row>
          <xdr:rowOff>114300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 This Graph</a:t>
              </a:r>
            </a:p>
          </xdr:txBody>
        </xdr:sp>
        <xdr:clientData fPrintsWithSheet="0"/>
      </xdr:twoCellAnchor>
    </mc:Choice>
    <mc:Fallback/>
  </mc:AlternateContent>
  <xdr:twoCellAnchor>
    <xdr:from>
      <xdr:col>11</xdr:col>
      <xdr:colOff>381000</xdr:colOff>
      <xdr:row>2</xdr:row>
      <xdr:rowOff>123840</xdr:rowOff>
    </xdr:from>
    <xdr:to>
      <xdr:col>26</xdr:col>
      <xdr:colOff>127000</xdr:colOff>
      <xdr:row>19</xdr:row>
      <xdr:rowOff>30505</xdr:rowOff>
    </xdr:to>
    <xdr:grpSp>
      <xdr:nvGrpSpPr>
        <xdr:cNvPr id="3" name="Group">
          <a:extLst>
            <a:ext uri="{FF2B5EF4-FFF2-40B4-BE49-F238E27FC236}">
              <a16:creationId xmlns:a16="http://schemas.microsoft.com/office/drawing/2014/main" id="{00000000-0008-0000-1300-000003000000}"/>
            </a:ext>
          </a:extLst>
        </xdr:cNvPr>
        <xdr:cNvGrpSpPr/>
      </xdr:nvGrpSpPr>
      <xdr:grpSpPr>
        <a:xfrm>
          <a:off x="11096625" y="409590"/>
          <a:ext cx="8890000" cy="2430790"/>
          <a:chOff x="1209675" y="4772025"/>
          <a:chExt cx="8890000" cy="2342135"/>
        </a:xfrm>
      </xdr:grpSpPr>
      <xdr:sp macro="" textlink="$B$1">
        <xdr:nvSpPr>
          <xdr:cNvPr id="4" name="RectB1">
            <a:extLst>
              <a:ext uri="{FF2B5EF4-FFF2-40B4-BE49-F238E27FC236}">
                <a16:creationId xmlns:a16="http://schemas.microsoft.com/office/drawing/2014/main" id="{00000000-0008-0000-1300-000004000000}"/>
              </a:ext>
            </a:extLst>
          </xdr:cNvPr>
          <xdr:cNvSpPr/>
        </xdr:nvSpPr>
        <xdr:spPr>
          <a:xfrm>
            <a:off x="1209675" y="4772025"/>
            <a:ext cx="2222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35CE51-937F-4E1D-AA56-194F765801BE}" type="TxLink">
              <a:rPr lang="en-US" sz="1000" b="1" i="0" u="none" strike="noStrike">
                <a:solidFill>
                  <a:schemeClr val="bg1"/>
                </a:solidFill>
                <a:latin typeface="Arial" panose="020B0604020202020204" pitchFamily="34" charset="0"/>
                <a:cs typeface="Arial" panose="020B0604020202020204" pitchFamily="34" charset="0"/>
              </a:rPr>
              <a:pPr algn="ctr"/>
              <a:t>Turnover Indicators</a:t>
            </a:fld>
            <a:endParaRPr lang="en-US" sz="1000" b="1">
              <a:solidFill>
                <a:schemeClr val="bg1"/>
              </a:solidFill>
              <a:latin typeface="Arial" panose="020B0604020202020204" pitchFamily="34" charset="0"/>
              <a:cs typeface="Arial" panose="020B0604020202020204" pitchFamily="34" charset="0"/>
            </a:endParaRPr>
          </a:p>
        </xdr:txBody>
      </xdr:sp>
      <xdr:sp macro="" textlink="$C$1">
        <xdr:nvSpPr>
          <xdr:cNvPr id="5" name="RectC1">
            <a:extLst>
              <a:ext uri="{FF2B5EF4-FFF2-40B4-BE49-F238E27FC236}">
                <a16:creationId xmlns:a16="http://schemas.microsoft.com/office/drawing/2014/main" id="{00000000-0008-0000-1300-000005000000}"/>
              </a:ext>
            </a:extLst>
          </xdr:cNvPr>
          <xdr:cNvSpPr/>
        </xdr:nvSpPr>
        <xdr:spPr>
          <a:xfrm>
            <a:off x="3432175" y="4772025"/>
            <a:ext cx="15875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90E02EC-EF96-42AA-80E3-AF1D2BDB0C73}" type="TxLink">
              <a:rPr lang="en-US" sz="1000" b="1" i="0" u="none" strike="noStrike">
                <a:solidFill>
                  <a:schemeClr val="bg1"/>
                </a:solidFill>
                <a:latin typeface="Arial" panose="020B0604020202020204" pitchFamily="34" charset="0"/>
                <a:cs typeface="Arial" panose="020B0604020202020204" pitchFamily="34" charset="0"/>
              </a:rPr>
              <a:pPr algn="ctr"/>
              <a:t>Metric Formula</a:t>
            </a:fld>
            <a:endParaRPr lang="en-US" sz="1000" b="1">
              <a:solidFill>
                <a:schemeClr val="bg1"/>
              </a:solidFill>
              <a:latin typeface="Arial" panose="020B0604020202020204" pitchFamily="34" charset="0"/>
              <a:cs typeface="Arial" panose="020B0604020202020204" pitchFamily="34" charset="0"/>
            </a:endParaRPr>
          </a:p>
        </xdr:txBody>
      </xdr:sp>
      <xdr:sp macro="" textlink="$D$1">
        <xdr:nvSpPr>
          <xdr:cNvPr id="6" name="RectD1">
            <a:extLst>
              <a:ext uri="{FF2B5EF4-FFF2-40B4-BE49-F238E27FC236}">
                <a16:creationId xmlns:a16="http://schemas.microsoft.com/office/drawing/2014/main" id="{00000000-0008-0000-1300-000006000000}"/>
              </a:ext>
            </a:extLst>
          </xdr:cNvPr>
          <xdr:cNvSpPr/>
        </xdr:nvSpPr>
        <xdr:spPr>
          <a:xfrm>
            <a:off x="5019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8E38089-32EE-450E-A3EA-F999A02EC0CC}" type="TxLink">
              <a:rPr lang="en-US" sz="1000" b="1" i="0" u="none" strike="noStrike">
                <a:solidFill>
                  <a:schemeClr val="bg1"/>
                </a:solidFill>
                <a:latin typeface="Arial" panose="020B0604020202020204" pitchFamily="34" charset="0"/>
                <a:cs typeface="Arial" panose="020B0604020202020204" pitchFamily="34" charset="0"/>
              </a:rPr>
              <a:pPr algn="ctr"/>
              <a:t>Health Indicator</a:t>
            </a:fld>
            <a:endParaRPr lang="en-US" sz="1000" b="1">
              <a:solidFill>
                <a:schemeClr val="bg1"/>
              </a:solidFill>
              <a:latin typeface="Arial" panose="020B0604020202020204" pitchFamily="34" charset="0"/>
              <a:cs typeface="Arial" panose="020B0604020202020204" pitchFamily="34" charset="0"/>
            </a:endParaRPr>
          </a:p>
        </xdr:txBody>
      </xdr:sp>
      <xdr:sp macro="" textlink="$E$1">
        <xdr:nvSpPr>
          <xdr:cNvPr id="7" name="RectE1">
            <a:extLst>
              <a:ext uri="{FF2B5EF4-FFF2-40B4-BE49-F238E27FC236}">
                <a16:creationId xmlns:a16="http://schemas.microsoft.com/office/drawing/2014/main" id="{00000000-0008-0000-1300-000007000000}"/>
              </a:ext>
            </a:extLst>
          </xdr:cNvPr>
          <xdr:cNvSpPr/>
        </xdr:nvSpPr>
        <xdr:spPr>
          <a:xfrm>
            <a:off x="6035675" y="4772025"/>
            <a:ext cx="1016000" cy="514350"/>
          </a:xfrm>
          <a:prstGeom prst="rect">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3A9B23E-67F1-4B05-9D74-0BFB7065E80C}" type="TxLink">
              <a:rPr lang="en-US" sz="1000" b="1" i="0" u="none" strike="noStrike">
                <a:solidFill>
                  <a:sysClr val="windowText" lastClr="000000"/>
                </a:solidFill>
                <a:latin typeface="Arial" panose="020B0604020202020204" pitchFamily="34" charset="0"/>
                <a:cs typeface="Arial" panose="020B0604020202020204" pitchFamily="34" charset="0"/>
              </a:rPr>
              <a:pPr algn="ctr"/>
              <a:t>CAMPBELL SOUP CO</a:t>
            </a:fld>
            <a:endParaRPr lang="en-US" sz="1000" b="1">
              <a:solidFill>
                <a:sysClr val="windowText" lastClr="000000"/>
              </a:solidFill>
              <a:latin typeface="Arial" panose="020B0604020202020204" pitchFamily="34" charset="0"/>
              <a:cs typeface="Arial" panose="020B0604020202020204" pitchFamily="34" charset="0"/>
            </a:endParaRPr>
          </a:p>
        </xdr:txBody>
      </xdr:sp>
      <xdr:sp macro="" textlink="$F$1">
        <xdr:nvSpPr>
          <xdr:cNvPr id="8" name="RectF1">
            <a:extLst>
              <a:ext uri="{FF2B5EF4-FFF2-40B4-BE49-F238E27FC236}">
                <a16:creationId xmlns:a16="http://schemas.microsoft.com/office/drawing/2014/main" id="{00000000-0008-0000-1300-000008000000}"/>
              </a:ext>
            </a:extLst>
          </xdr:cNvPr>
          <xdr:cNvSpPr/>
        </xdr:nvSpPr>
        <xdr:spPr>
          <a:xfrm>
            <a:off x="7051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42B8644-17C3-47C1-A264-509039EE7B9E}" type="TxLink">
              <a:rPr lang="en-US" sz="1000" b="1" i="0" u="none" strike="noStrike">
                <a:solidFill>
                  <a:schemeClr val="bg1"/>
                </a:solidFill>
                <a:latin typeface="Arial" panose="020B0604020202020204" pitchFamily="34" charset="0"/>
                <a:cs typeface="Arial" panose="020B0604020202020204" pitchFamily="34" charset="0"/>
              </a:rPr>
              <a:pPr algn="ctr"/>
              <a:t>Bottom Q</a:t>
            </a:fld>
            <a:endParaRPr lang="en-US" sz="1000" b="1">
              <a:solidFill>
                <a:schemeClr val="bg1"/>
              </a:solidFill>
              <a:latin typeface="Arial" panose="020B0604020202020204" pitchFamily="34" charset="0"/>
              <a:cs typeface="Arial" panose="020B0604020202020204" pitchFamily="34" charset="0"/>
            </a:endParaRPr>
          </a:p>
        </xdr:txBody>
      </xdr:sp>
      <xdr:sp macro="" textlink="$G$1">
        <xdr:nvSpPr>
          <xdr:cNvPr id="9" name="RectG1">
            <a:extLst>
              <a:ext uri="{FF2B5EF4-FFF2-40B4-BE49-F238E27FC236}">
                <a16:creationId xmlns:a16="http://schemas.microsoft.com/office/drawing/2014/main" id="{00000000-0008-0000-1300-000009000000}"/>
              </a:ext>
            </a:extLst>
          </xdr:cNvPr>
          <xdr:cNvSpPr/>
        </xdr:nvSpPr>
        <xdr:spPr>
          <a:xfrm>
            <a:off x="8067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87807FE-C68C-4AFC-A866-BC1144B20A57}" type="TxLink">
              <a:rPr lang="en-US" sz="1000" b="1" i="0" u="none" strike="noStrike">
                <a:solidFill>
                  <a:schemeClr val="bg1"/>
                </a:solidFill>
                <a:latin typeface="Arial" panose="020B0604020202020204" pitchFamily="34" charset="0"/>
                <a:cs typeface="Arial" panose="020B0604020202020204" pitchFamily="34" charset="0"/>
              </a:rPr>
              <a:pPr algn="ctr"/>
              <a:t>Industry Median</a:t>
            </a:fld>
            <a:endParaRPr lang="en-US" sz="1000" b="1">
              <a:solidFill>
                <a:schemeClr val="bg1"/>
              </a:solidFill>
              <a:latin typeface="Arial" panose="020B0604020202020204" pitchFamily="34" charset="0"/>
              <a:cs typeface="Arial" panose="020B0604020202020204" pitchFamily="34" charset="0"/>
            </a:endParaRPr>
          </a:p>
        </xdr:txBody>
      </xdr:sp>
      <xdr:sp macro="" textlink="$H$1">
        <xdr:nvSpPr>
          <xdr:cNvPr id="10" name="RectH1">
            <a:extLst>
              <a:ext uri="{FF2B5EF4-FFF2-40B4-BE49-F238E27FC236}">
                <a16:creationId xmlns:a16="http://schemas.microsoft.com/office/drawing/2014/main" id="{00000000-0008-0000-1300-00000A000000}"/>
              </a:ext>
            </a:extLst>
          </xdr:cNvPr>
          <xdr:cNvSpPr/>
        </xdr:nvSpPr>
        <xdr:spPr>
          <a:xfrm>
            <a:off x="9083675" y="4772025"/>
            <a:ext cx="1016000" cy="51435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79CB8C-0B2C-481F-BFA9-C8C0303DDBA7}" type="TxLink">
              <a:rPr lang="en-US" sz="1000" b="1" i="0" u="none" strike="noStrike">
                <a:solidFill>
                  <a:schemeClr val="bg1"/>
                </a:solidFill>
                <a:latin typeface="Arial" panose="020B0604020202020204" pitchFamily="34" charset="0"/>
                <a:cs typeface="Arial" panose="020B0604020202020204" pitchFamily="34" charset="0"/>
              </a:rPr>
              <a:pPr algn="ctr"/>
              <a:t>Top Q</a:t>
            </a:fld>
            <a:endParaRPr lang="en-US" sz="1000" b="1">
              <a:solidFill>
                <a:schemeClr val="bg1"/>
              </a:solidFill>
              <a:latin typeface="Arial" panose="020B0604020202020204" pitchFamily="34" charset="0"/>
              <a:cs typeface="Arial" panose="020B0604020202020204" pitchFamily="34" charset="0"/>
            </a:endParaRPr>
          </a:p>
        </xdr:txBody>
      </xdr:sp>
      <xdr:sp macro="" textlink="$B$3">
        <xdr:nvSpPr>
          <xdr:cNvPr id="11" name="RectB3">
            <a:extLst>
              <a:ext uri="{FF2B5EF4-FFF2-40B4-BE49-F238E27FC236}">
                <a16:creationId xmlns:a16="http://schemas.microsoft.com/office/drawing/2014/main" id="{00000000-0008-0000-1300-00000B000000}"/>
              </a:ext>
            </a:extLst>
          </xdr:cNvPr>
          <xdr:cNvSpPr/>
        </xdr:nvSpPr>
        <xdr:spPr>
          <a:xfrm>
            <a:off x="1209675" y="52768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A1D61669-C8F8-4C37-BA86-C8D5FB3DC157}" type="TxLink">
              <a:rPr lang="en-US" sz="1000" b="0" i="0" u="none" strike="noStrike">
                <a:solidFill>
                  <a:srgbClr val="000000"/>
                </a:solidFill>
                <a:latin typeface="Arial" panose="020B0604020202020204" pitchFamily="34" charset="0"/>
                <a:cs typeface="Arial" panose="020B0604020202020204" pitchFamily="34" charset="0"/>
              </a:rPr>
              <a:pPr algn="l"/>
              <a:t>Sales to Working Capital Ratio</a:t>
            </a:fld>
            <a:endParaRPr lang="en-US" sz="1000" b="1">
              <a:solidFill>
                <a:schemeClr val="bg1"/>
              </a:solidFill>
              <a:latin typeface="Arial" panose="020B0604020202020204" pitchFamily="34" charset="0"/>
              <a:cs typeface="Arial" panose="020B0604020202020204" pitchFamily="34" charset="0"/>
            </a:endParaRPr>
          </a:p>
        </xdr:txBody>
      </xdr:sp>
      <xdr:sp macro="" textlink="$C$3">
        <xdr:nvSpPr>
          <xdr:cNvPr id="12" name="RectC3">
            <a:extLst>
              <a:ext uri="{FF2B5EF4-FFF2-40B4-BE49-F238E27FC236}">
                <a16:creationId xmlns:a16="http://schemas.microsoft.com/office/drawing/2014/main" id="{00000000-0008-0000-1300-00000C000000}"/>
              </a:ext>
            </a:extLst>
          </xdr:cNvPr>
          <xdr:cNvSpPr/>
        </xdr:nvSpPr>
        <xdr:spPr>
          <a:xfrm>
            <a:off x="3432175" y="52768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EC2761C8-00DF-43D7-BDC6-D6E9AD17E649}" type="TxLink">
              <a:rPr lang="en-US" sz="1000" b="0" i="0" u="none" strike="noStrike">
                <a:solidFill>
                  <a:srgbClr val="000000"/>
                </a:solidFill>
                <a:latin typeface="Arial" panose="020B0604020202020204" pitchFamily="34" charset="0"/>
                <a:cs typeface="Arial" panose="020B0604020202020204" pitchFamily="34" charset="0"/>
              </a:rPr>
              <a:pPr algn="l"/>
              <a:t>Sales / Working Cap</a:t>
            </a:fld>
            <a:endParaRPr lang="en-US" sz="1000" b="1">
              <a:solidFill>
                <a:schemeClr val="bg1"/>
              </a:solidFill>
              <a:latin typeface="Arial" panose="020B0604020202020204" pitchFamily="34" charset="0"/>
              <a:cs typeface="Arial" panose="020B0604020202020204" pitchFamily="34" charset="0"/>
            </a:endParaRPr>
          </a:p>
        </xdr:txBody>
      </xdr:sp>
      <xdr:sp macro="" textlink="">
        <xdr:nvSpPr>
          <xdr:cNvPr id="13" name="RectD3">
            <a:extLst>
              <a:ext uri="{FF2B5EF4-FFF2-40B4-BE49-F238E27FC236}">
                <a16:creationId xmlns:a16="http://schemas.microsoft.com/office/drawing/2014/main" id="{00000000-0008-0000-1300-00000D000000}"/>
              </a:ext>
            </a:extLst>
          </xdr:cNvPr>
          <xdr:cNvSpPr/>
        </xdr:nvSpPr>
        <xdr:spPr>
          <a:xfrm>
            <a:off x="5019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3">
        <xdr:nvSpPr>
          <xdr:cNvPr id="14" name="RectE3">
            <a:extLst>
              <a:ext uri="{FF2B5EF4-FFF2-40B4-BE49-F238E27FC236}">
                <a16:creationId xmlns:a16="http://schemas.microsoft.com/office/drawing/2014/main" id="{00000000-0008-0000-1300-00000E000000}"/>
              </a:ext>
            </a:extLst>
          </xdr:cNvPr>
          <xdr:cNvSpPr/>
        </xdr:nvSpPr>
        <xdr:spPr>
          <a:xfrm>
            <a:off x="6035675" y="52768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A7760B-910A-4328-9FE0-93D204E3E9C4}" type="TxLink">
              <a:rPr lang="en-US" sz="1000" b="0" i="0" u="none" strike="noStrike">
                <a:solidFill>
                  <a:srgbClr val="000000"/>
                </a:solidFill>
                <a:latin typeface="Arial" panose="020B0604020202020204" pitchFamily="34" charset="0"/>
                <a:cs typeface="Arial" panose="020B0604020202020204" pitchFamily="34" charset="0"/>
              </a:rPr>
              <a:pPr algn="ctr"/>
              <a:t>-7.94%</a:t>
            </a:fld>
            <a:endParaRPr lang="en-US" sz="1000" b="0" i="0" u="none" strike="noStrike">
              <a:solidFill>
                <a:srgbClr val="000000"/>
              </a:solidFill>
              <a:latin typeface="Arial" panose="020B0604020202020204" pitchFamily="34" charset="0"/>
              <a:cs typeface="Arial" panose="020B0604020202020204" pitchFamily="34" charset="0"/>
            </a:endParaRPr>
          </a:p>
        </xdr:txBody>
      </xdr:sp>
      <xdr:sp macro="" textlink="$F$3">
        <xdr:nvSpPr>
          <xdr:cNvPr id="15" name="RectF3">
            <a:extLst>
              <a:ext uri="{FF2B5EF4-FFF2-40B4-BE49-F238E27FC236}">
                <a16:creationId xmlns:a16="http://schemas.microsoft.com/office/drawing/2014/main" id="{00000000-0008-0000-1300-00000F000000}"/>
              </a:ext>
            </a:extLst>
          </xdr:cNvPr>
          <xdr:cNvSpPr/>
        </xdr:nvSpPr>
        <xdr:spPr>
          <a:xfrm>
            <a:off x="7051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1F181D8-EBE2-407E-9899-59228E27FD3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-8.33%</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3">
        <xdr:nvSpPr>
          <xdr:cNvPr id="16" name="RectG3">
            <a:extLst>
              <a:ext uri="{FF2B5EF4-FFF2-40B4-BE49-F238E27FC236}">
                <a16:creationId xmlns:a16="http://schemas.microsoft.com/office/drawing/2014/main" id="{00000000-0008-0000-1300-000010000000}"/>
              </a:ext>
            </a:extLst>
          </xdr:cNvPr>
          <xdr:cNvSpPr/>
        </xdr:nvSpPr>
        <xdr:spPr>
          <a:xfrm>
            <a:off x="8067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F32AE7B-E5E8-479A-AFB4-88EC1CCE61A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1.03%</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H$3">
        <xdr:nvSpPr>
          <xdr:cNvPr id="17" name="RectH3">
            <a:extLst>
              <a:ext uri="{FF2B5EF4-FFF2-40B4-BE49-F238E27FC236}">
                <a16:creationId xmlns:a16="http://schemas.microsoft.com/office/drawing/2014/main" id="{00000000-0008-0000-1300-000011000000}"/>
              </a:ext>
            </a:extLst>
          </xdr:cNvPr>
          <xdr:cNvSpPr/>
        </xdr:nvSpPr>
        <xdr:spPr>
          <a:xfrm>
            <a:off x="9083675" y="52768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65C84F3-BEF0-4483-9820-63AF39F335E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7.58%</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B$4">
        <xdr:nvSpPr>
          <xdr:cNvPr id="18" name="RectB4">
            <a:extLst>
              <a:ext uri="{FF2B5EF4-FFF2-40B4-BE49-F238E27FC236}">
                <a16:creationId xmlns:a16="http://schemas.microsoft.com/office/drawing/2014/main" id="{00000000-0008-0000-1300-000012000000}"/>
              </a:ext>
            </a:extLst>
          </xdr:cNvPr>
          <xdr:cNvSpPr/>
        </xdr:nvSpPr>
        <xdr:spPr>
          <a:xfrm>
            <a:off x="1209675" y="54597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A6578A0-CE02-4568-BE26-0847A11A5B0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Inventory Turnover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4">
        <xdr:nvSpPr>
          <xdr:cNvPr id="19" name="RectC4">
            <a:extLst>
              <a:ext uri="{FF2B5EF4-FFF2-40B4-BE49-F238E27FC236}">
                <a16:creationId xmlns:a16="http://schemas.microsoft.com/office/drawing/2014/main" id="{00000000-0008-0000-1300-000013000000}"/>
              </a:ext>
            </a:extLst>
          </xdr:cNvPr>
          <xdr:cNvSpPr/>
        </xdr:nvSpPr>
        <xdr:spPr>
          <a:xfrm>
            <a:off x="3432175" y="54597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7248CF7-D8E0-4A2F-869A-E3CD2556E896}"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COGS / Inventory</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0" name="RectD4">
            <a:extLst>
              <a:ext uri="{FF2B5EF4-FFF2-40B4-BE49-F238E27FC236}">
                <a16:creationId xmlns:a16="http://schemas.microsoft.com/office/drawing/2014/main" id="{00000000-0008-0000-1300-000014000000}"/>
              </a:ext>
            </a:extLst>
          </xdr:cNvPr>
          <xdr:cNvSpPr/>
        </xdr:nvSpPr>
        <xdr:spPr>
          <a:xfrm>
            <a:off x="5019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b="0" i="0">
              <a:solidFill>
                <a:schemeClr val="lt1"/>
              </a:solidFill>
              <a:effectLst/>
              <a:latin typeface="+mn-lt"/>
              <a:ea typeface="+mn-ea"/>
              <a:cs typeface="+mn-cs"/>
            </a:endParaRPr>
          </a:p>
          <a:p>
            <a:pPr algn="l"/>
            <a:endParaRPr lang="en-US" sz="1100" b="0" i="0" u="none" strike="noStrike">
              <a:solidFill>
                <a:srgbClr val="000000"/>
              </a:solidFill>
              <a:latin typeface="Calibri"/>
              <a:cs typeface="Calibri"/>
            </a:endParaRPr>
          </a:p>
        </xdr:txBody>
      </xdr:sp>
      <xdr:sp macro="" textlink="$E$4">
        <xdr:nvSpPr>
          <xdr:cNvPr id="21" name="RectE4">
            <a:extLst>
              <a:ext uri="{FF2B5EF4-FFF2-40B4-BE49-F238E27FC236}">
                <a16:creationId xmlns:a16="http://schemas.microsoft.com/office/drawing/2014/main" id="{00000000-0008-0000-1300-000015000000}"/>
              </a:ext>
            </a:extLst>
          </xdr:cNvPr>
          <xdr:cNvSpPr/>
        </xdr:nvSpPr>
        <xdr:spPr>
          <a:xfrm>
            <a:off x="6035675" y="54597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745AB97-5BC0-41A8-B420-648E2EBAB4F4}"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6.54</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F$4">
        <xdr:nvSpPr>
          <xdr:cNvPr id="22" name="RectF4">
            <a:extLst>
              <a:ext uri="{FF2B5EF4-FFF2-40B4-BE49-F238E27FC236}">
                <a16:creationId xmlns:a16="http://schemas.microsoft.com/office/drawing/2014/main" id="{00000000-0008-0000-1300-000016000000}"/>
              </a:ext>
            </a:extLst>
          </xdr:cNvPr>
          <xdr:cNvSpPr/>
        </xdr:nvSpPr>
        <xdr:spPr>
          <a:xfrm>
            <a:off x="7051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9F5ECE9-C6BC-47A3-BFC3-F7BBAC2E7C4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ctr"/>
              <a:t>5.69</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G$4">
        <xdr:nvSpPr>
          <xdr:cNvPr id="23" name="RectG4">
            <a:extLst>
              <a:ext uri="{FF2B5EF4-FFF2-40B4-BE49-F238E27FC236}">
                <a16:creationId xmlns:a16="http://schemas.microsoft.com/office/drawing/2014/main" id="{00000000-0008-0000-1300-000017000000}"/>
              </a:ext>
            </a:extLst>
          </xdr:cNvPr>
          <xdr:cNvSpPr/>
        </xdr:nvSpPr>
        <xdr:spPr>
          <a:xfrm>
            <a:off x="8067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2ED597-706D-4BA5-B74A-78A37382814B}" type="TxLink">
              <a:rPr lang="en-US" sz="1000" b="0" i="0" u="none" strike="noStrike">
                <a:solidFill>
                  <a:srgbClr val="000000"/>
                </a:solidFill>
                <a:latin typeface="Arial"/>
                <a:cs typeface="Arial"/>
              </a:rPr>
              <a:pPr algn="ctr"/>
              <a:t>6.42</a:t>
            </a:fld>
            <a:endParaRPr lang="en-US" sz="1100" b="0" i="0" u="none" strike="noStrike">
              <a:solidFill>
                <a:srgbClr val="000000"/>
              </a:solidFill>
              <a:latin typeface="Calibri"/>
              <a:cs typeface="Calibri"/>
            </a:endParaRPr>
          </a:p>
        </xdr:txBody>
      </xdr:sp>
      <xdr:sp macro="" textlink="$H$4">
        <xdr:nvSpPr>
          <xdr:cNvPr id="24" name="RectH4">
            <a:extLst>
              <a:ext uri="{FF2B5EF4-FFF2-40B4-BE49-F238E27FC236}">
                <a16:creationId xmlns:a16="http://schemas.microsoft.com/office/drawing/2014/main" id="{00000000-0008-0000-1300-000018000000}"/>
              </a:ext>
            </a:extLst>
          </xdr:cNvPr>
          <xdr:cNvSpPr/>
        </xdr:nvSpPr>
        <xdr:spPr>
          <a:xfrm>
            <a:off x="9083675" y="54597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06F8FB5-29E4-442C-B898-9B159220A907}" type="TxLink">
              <a:rPr lang="en-US" sz="1000" b="0" i="0" u="none" strike="noStrike">
                <a:solidFill>
                  <a:srgbClr val="000000"/>
                </a:solidFill>
                <a:latin typeface="Arial"/>
                <a:cs typeface="Arial"/>
              </a:rPr>
              <a:pPr algn="ctr"/>
              <a:t>7.20</a:t>
            </a:fld>
            <a:endParaRPr lang="en-US" sz="1100" b="0" i="0" u="none" strike="noStrike">
              <a:solidFill>
                <a:srgbClr val="000000"/>
              </a:solidFill>
              <a:latin typeface="Calibri"/>
              <a:cs typeface="Calibri"/>
            </a:endParaRPr>
          </a:p>
        </xdr:txBody>
      </xdr:sp>
      <xdr:sp macro="" textlink="$B$5">
        <xdr:nvSpPr>
          <xdr:cNvPr id="25" name="RectB5">
            <a:extLst>
              <a:ext uri="{FF2B5EF4-FFF2-40B4-BE49-F238E27FC236}">
                <a16:creationId xmlns:a16="http://schemas.microsoft.com/office/drawing/2014/main" id="{00000000-0008-0000-1300-000019000000}"/>
              </a:ext>
            </a:extLst>
          </xdr:cNvPr>
          <xdr:cNvSpPr/>
        </xdr:nvSpPr>
        <xdr:spPr>
          <a:xfrm>
            <a:off x="1209675" y="564260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7F614F4-3FE2-4C12-B3A9-3906A4837E4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Fixed Assets Turnover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5">
        <xdr:nvSpPr>
          <xdr:cNvPr id="26" name="RectC5">
            <a:extLst>
              <a:ext uri="{FF2B5EF4-FFF2-40B4-BE49-F238E27FC236}">
                <a16:creationId xmlns:a16="http://schemas.microsoft.com/office/drawing/2014/main" id="{00000000-0008-0000-1300-00001A000000}"/>
              </a:ext>
            </a:extLst>
          </xdr:cNvPr>
          <xdr:cNvSpPr/>
        </xdr:nvSpPr>
        <xdr:spPr>
          <a:xfrm>
            <a:off x="3432175" y="564260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7FA767-13B8-4E86-88AF-7E49D8AE861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Sales / PPE</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27" name="RectD5">
            <a:extLst>
              <a:ext uri="{FF2B5EF4-FFF2-40B4-BE49-F238E27FC236}">
                <a16:creationId xmlns:a16="http://schemas.microsoft.com/office/drawing/2014/main" id="{00000000-0008-0000-1300-00001B000000}"/>
              </a:ext>
            </a:extLst>
          </xdr:cNvPr>
          <xdr:cNvSpPr/>
        </xdr:nvSpPr>
        <xdr:spPr>
          <a:xfrm>
            <a:off x="5019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5">
        <xdr:nvSpPr>
          <xdr:cNvPr id="28" name="RectE5">
            <a:extLst>
              <a:ext uri="{FF2B5EF4-FFF2-40B4-BE49-F238E27FC236}">
                <a16:creationId xmlns:a16="http://schemas.microsoft.com/office/drawing/2014/main" id="{00000000-0008-0000-1300-00001C000000}"/>
              </a:ext>
            </a:extLst>
          </xdr:cNvPr>
          <xdr:cNvSpPr/>
        </xdr:nvSpPr>
        <xdr:spPr>
          <a:xfrm>
            <a:off x="6035675" y="564260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6E037E0-A5AF-4482-91A1-F1809DB81678}" type="TxLink">
              <a:rPr lang="en-US" sz="1000" b="0" i="0" u="none" strike="noStrike">
                <a:solidFill>
                  <a:srgbClr val="000000"/>
                </a:solidFill>
                <a:latin typeface="Arial"/>
                <a:cs typeface="Arial"/>
              </a:rPr>
              <a:pPr algn="ctr"/>
              <a:t>367.02%</a:t>
            </a:fld>
            <a:endParaRPr lang="en-US" sz="1100" b="0" i="0" u="none" strike="noStrike">
              <a:solidFill>
                <a:srgbClr val="000000"/>
              </a:solidFill>
              <a:latin typeface="Calibri"/>
              <a:cs typeface="Calibri"/>
            </a:endParaRPr>
          </a:p>
        </xdr:txBody>
      </xdr:sp>
      <xdr:sp macro="" textlink="$F$5">
        <xdr:nvSpPr>
          <xdr:cNvPr id="29" name="RectF5">
            <a:extLst>
              <a:ext uri="{FF2B5EF4-FFF2-40B4-BE49-F238E27FC236}">
                <a16:creationId xmlns:a16="http://schemas.microsoft.com/office/drawing/2014/main" id="{00000000-0008-0000-1300-00001D000000}"/>
              </a:ext>
            </a:extLst>
          </xdr:cNvPr>
          <xdr:cNvSpPr/>
        </xdr:nvSpPr>
        <xdr:spPr>
          <a:xfrm>
            <a:off x="7051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04FCA3E-0704-4FBA-8F72-23AE696A472D}" type="TxLink">
              <a:rPr lang="en-US" sz="1000" b="0" i="0" u="none" strike="noStrike">
                <a:solidFill>
                  <a:srgbClr val="000000"/>
                </a:solidFill>
                <a:latin typeface="Arial"/>
                <a:cs typeface="Arial"/>
              </a:rPr>
              <a:pPr algn="ctr"/>
              <a:t>354.24%</a:t>
            </a:fld>
            <a:endParaRPr lang="en-US" sz="1100" b="0" i="0" u="none" strike="noStrike">
              <a:solidFill>
                <a:srgbClr val="000000"/>
              </a:solidFill>
              <a:latin typeface="Calibri"/>
              <a:cs typeface="Calibri"/>
            </a:endParaRPr>
          </a:p>
        </xdr:txBody>
      </xdr:sp>
      <xdr:sp macro="" textlink="$G$5">
        <xdr:nvSpPr>
          <xdr:cNvPr id="30" name="RectG5">
            <a:extLst>
              <a:ext uri="{FF2B5EF4-FFF2-40B4-BE49-F238E27FC236}">
                <a16:creationId xmlns:a16="http://schemas.microsoft.com/office/drawing/2014/main" id="{00000000-0008-0000-1300-00001E000000}"/>
              </a:ext>
            </a:extLst>
          </xdr:cNvPr>
          <xdr:cNvSpPr/>
        </xdr:nvSpPr>
        <xdr:spPr>
          <a:xfrm>
            <a:off x="8067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7134ED0-80AA-4629-98BE-541F28913FA2}" type="TxLink">
              <a:rPr lang="en-US" sz="1000" b="0" i="0" u="none" strike="noStrike">
                <a:solidFill>
                  <a:srgbClr val="000000"/>
                </a:solidFill>
                <a:latin typeface="Arial"/>
                <a:cs typeface="Arial"/>
              </a:rPr>
              <a:pPr algn="ctr"/>
              <a:t>416.66%</a:t>
            </a:fld>
            <a:endParaRPr lang="en-US" sz="1100" b="0" i="0" u="none" strike="noStrike">
              <a:solidFill>
                <a:srgbClr val="000000"/>
              </a:solidFill>
              <a:latin typeface="Calibri"/>
              <a:cs typeface="Calibri"/>
            </a:endParaRPr>
          </a:p>
        </xdr:txBody>
      </xdr:sp>
      <xdr:sp macro="" textlink="$H$5">
        <xdr:nvSpPr>
          <xdr:cNvPr id="31" name="RectH5">
            <a:extLst>
              <a:ext uri="{FF2B5EF4-FFF2-40B4-BE49-F238E27FC236}">
                <a16:creationId xmlns:a16="http://schemas.microsoft.com/office/drawing/2014/main" id="{00000000-0008-0000-1300-00001F000000}"/>
              </a:ext>
            </a:extLst>
          </xdr:cNvPr>
          <xdr:cNvSpPr/>
        </xdr:nvSpPr>
        <xdr:spPr>
          <a:xfrm>
            <a:off x="9083675" y="56426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249527A-AB20-4A6C-9D73-0454BCC61A5F}" type="TxLink">
              <a:rPr lang="en-US" sz="1000" b="0" i="0" u="none" strike="noStrike">
                <a:solidFill>
                  <a:srgbClr val="000000"/>
                </a:solidFill>
                <a:latin typeface="Arial"/>
                <a:cs typeface="Arial"/>
              </a:rPr>
              <a:pPr algn="ctr"/>
              <a:t>524.28%</a:t>
            </a:fld>
            <a:endParaRPr lang="en-US" sz="1100" b="0" i="0" u="none" strike="noStrike">
              <a:solidFill>
                <a:srgbClr val="000000"/>
              </a:solidFill>
              <a:latin typeface="Calibri"/>
              <a:cs typeface="Calibri"/>
            </a:endParaRPr>
          </a:p>
        </xdr:txBody>
      </xdr:sp>
      <xdr:sp macro="" textlink="$B$6">
        <xdr:nvSpPr>
          <xdr:cNvPr id="32" name="RectB6">
            <a:extLst>
              <a:ext uri="{FF2B5EF4-FFF2-40B4-BE49-F238E27FC236}">
                <a16:creationId xmlns:a16="http://schemas.microsoft.com/office/drawing/2014/main" id="{00000000-0008-0000-1300-000020000000}"/>
              </a:ext>
            </a:extLst>
          </xdr:cNvPr>
          <xdr:cNvSpPr/>
        </xdr:nvSpPr>
        <xdr:spPr>
          <a:xfrm>
            <a:off x="1209675" y="582548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AC9FA8DE-F084-4CFB-ABEB-29B16AC01ED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Total Assets Turnover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6">
        <xdr:nvSpPr>
          <xdr:cNvPr id="33" name="RectC6">
            <a:extLst>
              <a:ext uri="{FF2B5EF4-FFF2-40B4-BE49-F238E27FC236}">
                <a16:creationId xmlns:a16="http://schemas.microsoft.com/office/drawing/2014/main" id="{00000000-0008-0000-1300-000021000000}"/>
              </a:ext>
            </a:extLst>
          </xdr:cNvPr>
          <xdr:cNvSpPr/>
        </xdr:nvSpPr>
        <xdr:spPr>
          <a:xfrm>
            <a:off x="3432175" y="582548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FE066F7-890A-4289-87DE-BE14E36EFE8D}"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Sales / Total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34" name="RectD6">
            <a:extLst>
              <a:ext uri="{FF2B5EF4-FFF2-40B4-BE49-F238E27FC236}">
                <a16:creationId xmlns:a16="http://schemas.microsoft.com/office/drawing/2014/main" id="{00000000-0008-0000-1300-000022000000}"/>
              </a:ext>
            </a:extLst>
          </xdr:cNvPr>
          <xdr:cNvSpPr/>
        </xdr:nvSpPr>
        <xdr:spPr>
          <a:xfrm>
            <a:off x="5019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6">
        <xdr:nvSpPr>
          <xdr:cNvPr id="35" name="RectE6">
            <a:extLst>
              <a:ext uri="{FF2B5EF4-FFF2-40B4-BE49-F238E27FC236}">
                <a16:creationId xmlns:a16="http://schemas.microsoft.com/office/drawing/2014/main" id="{00000000-0008-0000-1300-000023000000}"/>
              </a:ext>
            </a:extLst>
          </xdr:cNvPr>
          <xdr:cNvSpPr/>
        </xdr:nvSpPr>
        <xdr:spPr>
          <a:xfrm>
            <a:off x="6035675" y="582548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13DD35B-953A-4B38-81E2-ED27F1446221}" type="TxLink">
              <a:rPr lang="en-US" sz="1000" b="0" i="0" u="none" strike="noStrike">
                <a:solidFill>
                  <a:srgbClr val="000000"/>
                </a:solidFill>
                <a:latin typeface="Arial"/>
                <a:cs typeface="Arial"/>
              </a:rPr>
              <a:pPr algn="ctr"/>
              <a:t>70.25%</a:t>
            </a:fld>
            <a:endParaRPr lang="en-US" sz="1100" b="0" i="0" u="none" strike="noStrike">
              <a:solidFill>
                <a:srgbClr val="000000"/>
              </a:solidFill>
              <a:latin typeface="Calibri"/>
              <a:cs typeface="Calibri"/>
            </a:endParaRPr>
          </a:p>
        </xdr:txBody>
      </xdr:sp>
      <xdr:sp macro="" textlink="$F$6">
        <xdr:nvSpPr>
          <xdr:cNvPr id="36" name="RectF6">
            <a:extLst>
              <a:ext uri="{FF2B5EF4-FFF2-40B4-BE49-F238E27FC236}">
                <a16:creationId xmlns:a16="http://schemas.microsoft.com/office/drawing/2014/main" id="{00000000-0008-0000-1300-000024000000}"/>
              </a:ext>
            </a:extLst>
          </xdr:cNvPr>
          <xdr:cNvSpPr/>
        </xdr:nvSpPr>
        <xdr:spPr>
          <a:xfrm>
            <a:off x="7051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2995F7D-4170-448E-B751-7DA0BFB2E96A}" type="TxLink">
              <a:rPr lang="en-US" sz="1000" b="0" i="0" u="none" strike="noStrike">
                <a:solidFill>
                  <a:srgbClr val="000000"/>
                </a:solidFill>
                <a:latin typeface="Arial"/>
                <a:cs typeface="Arial"/>
              </a:rPr>
              <a:pPr algn="ctr"/>
              <a:t>49.26%</a:t>
            </a:fld>
            <a:endParaRPr lang="en-US" sz="1100" b="0" i="0" u="none" strike="noStrike">
              <a:solidFill>
                <a:srgbClr val="000000"/>
              </a:solidFill>
              <a:latin typeface="Calibri"/>
              <a:cs typeface="Calibri"/>
            </a:endParaRPr>
          </a:p>
        </xdr:txBody>
      </xdr:sp>
      <xdr:sp macro="" textlink="$G$6">
        <xdr:nvSpPr>
          <xdr:cNvPr id="37" name="RectG6">
            <a:extLst>
              <a:ext uri="{FF2B5EF4-FFF2-40B4-BE49-F238E27FC236}">
                <a16:creationId xmlns:a16="http://schemas.microsoft.com/office/drawing/2014/main" id="{00000000-0008-0000-1300-000025000000}"/>
              </a:ext>
            </a:extLst>
          </xdr:cNvPr>
          <xdr:cNvSpPr/>
        </xdr:nvSpPr>
        <xdr:spPr>
          <a:xfrm>
            <a:off x="8067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0D89742-F69A-4306-811B-5EADB1A29F8E}" type="TxLink">
              <a:rPr lang="en-US" sz="1000" b="0" i="0" u="none" strike="noStrike">
                <a:solidFill>
                  <a:srgbClr val="000000"/>
                </a:solidFill>
                <a:latin typeface="Arial"/>
                <a:cs typeface="Arial"/>
              </a:rPr>
              <a:pPr algn="ctr"/>
              <a:t>78.01%</a:t>
            </a:fld>
            <a:endParaRPr lang="en-US" sz="1100" b="0" i="0" u="none" strike="noStrike">
              <a:solidFill>
                <a:srgbClr val="000000"/>
              </a:solidFill>
              <a:latin typeface="Calibri"/>
              <a:cs typeface="Calibri"/>
            </a:endParaRPr>
          </a:p>
        </xdr:txBody>
      </xdr:sp>
      <xdr:sp macro="" textlink="$H$6">
        <xdr:nvSpPr>
          <xdr:cNvPr id="38" name="RectH6">
            <a:extLst>
              <a:ext uri="{FF2B5EF4-FFF2-40B4-BE49-F238E27FC236}">
                <a16:creationId xmlns:a16="http://schemas.microsoft.com/office/drawing/2014/main" id="{00000000-0008-0000-1300-000026000000}"/>
              </a:ext>
            </a:extLst>
          </xdr:cNvPr>
          <xdr:cNvSpPr/>
        </xdr:nvSpPr>
        <xdr:spPr>
          <a:xfrm>
            <a:off x="9083675" y="58254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3E363C8-3C7F-462A-BD91-B5754682F22A}" type="TxLink">
              <a:rPr lang="en-US" sz="1000" b="0" i="0" u="none" strike="noStrike">
                <a:solidFill>
                  <a:srgbClr val="000000"/>
                </a:solidFill>
                <a:latin typeface="Arial"/>
                <a:cs typeface="Arial"/>
              </a:rPr>
              <a:pPr algn="ctr"/>
              <a:t>88.08%</a:t>
            </a:fld>
            <a:endParaRPr lang="en-US" sz="1100" b="0" i="0" u="none" strike="noStrike">
              <a:solidFill>
                <a:srgbClr val="000000"/>
              </a:solidFill>
              <a:latin typeface="Calibri"/>
              <a:cs typeface="Calibri"/>
            </a:endParaRPr>
          </a:p>
        </xdr:txBody>
      </xdr:sp>
      <xdr:sp macro="" textlink="$B$7">
        <xdr:nvSpPr>
          <xdr:cNvPr id="39" name="RectB7">
            <a:extLst>
              <a:ext uri="{FF2B5EF4-FFF2-40B4-BE49-F238E27FC236}">
                <a16:creationId xmlns:a16="http://schemas.microsoft.com/office/drawing/2014/main" id="{00000000-0008-0000-1300-000027000000}"/>
              </a:ext>
            </a:extLst>
          </xdr:cNvPr>
          <xdr:cNvSpPr/>
        </xdr:nvSpPr>
        <xdr:spPr>
          <a:xfrm>
            <a:off x="1209675" y="600836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C46CD5BC-3932-48C0-8FDF-4561EA8C58F6}"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Equity Turnover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7">
        <xdr:nvSpPr>
          <xdr:cNvPr id="40" name="RectC7">
            <a:extLst>
              <a:ext uri="{FF2B5EF4-FFF2-40B4-BE49-F238E27FC236}">
                <a16:creationId xmlns:a16="http://schemas.microsoft.com/office/drawing/2014/main" id="{00000000-0008-0000-1300-000028000000}"/>
              </a:ext>
            </a:extLst>
          </xdr:cNvPr>
          <xdr:cNvSpPr/>
        </xdr:nvSpPr>
        <xdr:spPr>
          <a:xfrm>
            <a:off x="3432175" y="600836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7D33EC49-DE3C-4DF6-BF89-F01E6AAD3E6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Sales / Equity</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1" name="RectD7">
            <a:extLst>
              <a:ext uri="{FF2B5EF4-FFF2-40B4-BE49-F238E27FC236}">
                <a16:creationId xmlns:a16="http://schemas.microsoft.com/office/drawing/2014/main" id="{00000000-0008-0000-1300-000029000000}"/>
              </a:ext>
            </a:extLst>
          </xdr:cNvPr>
          <xdr:cNvSpPr/>
        </xdr:nvSpPr>
        <xdr:spPr>
          <a:xfrm>
            <a:off x="5019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7">
        <xdr:nvSpPr>
          <xdr:cNvPr id="42" name="RectE7">
            <a:extLst>
              <a:ext uri="{FF2B5EF4-FFF2-40B4-BE49-F238E27FC236}">
                <a16:creationId xmlns:a16="http://schemas.microsoft.com/office/drawing/2014/main" id="{00000000-0008-0000-1300-00002A000000}"/>
              </a:ext>
            </a:extLst>
          </xdr:cNvPr>
          <xdr:cNvSpPr/>
        </xdr:nvSpPr>
        <xdr:spPr>
          <a:xfrm>
            <a:off x="6035675" y="600836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C700496-BB86-4808-A5BF-D2FFFA98E794}" type="TxLink">
              <a:rPr lang="en-US" sz="1000" b="0" i="0" u="none" strike="noStrike">
                <a:solidFill>
                  <a:srgbClr val="000000"/>
                </a:solidFill>
                <a:latin typeface="Arial"/>
                <a:cs typeface="Arial"/>
              </a:rPr>
              <a:pPr algn="ctr"/>
              <a:t>3.39</a:t>
            </a:fld>
            <a:endParaRPr lang="en-US" sz="1100" b="0" i="0" u="none" strike="noStrike">
              <a:solidFill>
                <a:srgbClr val="000000"/>
              </a:solidFill>
              <a:latin typeface="Calibri"/>
              <a:cs typeface="Calibri"/>
            </a:endParaRPr>
          </a:p>
        </xdr:txBody>
      </xdr:sp>
      <xdr:sp macro="" textlink="$F$7">
        <xdr:nvSpPr>
          <xdr:cNvPr id="43" name="RectF7">
            <a:extLst>
              <a:ext uri="{FF2B5EF4-FFF2-40B4-BE49-F238E27FC236}">
                <a16:creationId xmlns:a16="http://schemas.microsoft.com/office/drawing/2014/main" id="{00000000-0008-0000-1300-00002B000000}"/>
              </a:ext>
            </a:extLst>
          </xdr:cNvPr>
          <xdr:cNvSpPr/>
        </xdr:nvSpPr>
        <xdr:spPr>
          <a:xfrm>
            <a:off x="7051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D5DE84-EF27-4F9B-9895-3308A03BA04B}" type="TxLink">
              <a:rPr lang="en-US" sz="1000" b="0" i="0" u="none" strike="noStrike">
                <a:solidFill>
                  <a:srgbClr val="000000"/>
                </a:solidFill>
                <a:latin typeface="Arial"/>
                <a:cs typeface="Arial"/>
              </a:rPr>
              <a:pPr algn="ctr"/>
              <a:t>1.41</a:t>
            </a:fld>
            <a:endParaRPr lang="en-US" sz="1100" b="0" i="0" u="none" strike="noStrike">
              <a:solidFill>
                <a:srgbClr val="000000"/>
              </a:solidFill>
              <a:latin typeface="Calibri"/>
              <a:cs typeface="Calibri"/>
            </a:endParaRPr>
          </a:p>
        </xdr:txBody>
      </xdr:sp>
      <xdr:sp macro="" textlink="$G$7">
        <xdr:nvSpPr>
          <xdr:cNvPr id="44" name="RectG7">
            <a:extLst>
              <a:ext uri="{FF2B5EF4-FFF2-40B4-BE49-F238E27FC236}">
                <a16:creationId xmlns:a16="http://schemas.microsoft.com/office/drawing/2014/main" id="{00000000-0008-0000-1300-00002C000000}"/>
              </a:ext>
            </a:extLst>
          </xdr:cNvPr>
          <xdr:cNvSpPr/>
        </xdr:nvSpPr>
        <xdr:spPr>
          <a:xfrm>
            <a:off x="8067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D852F40-8F52-4AB1-AEAF-5ECC65BB3B85}" type="TxLink">
              <a:rPr lang="en-US" sz="1000" b="0" i="0" u="none" strike="noStrike">
                <a:solidFill>
                  <a:srgbClr val="000000"/>
                </a:solidFill>
                <a:latin typeface="Arial"/>
                <a:cs typeface="Arial"/>
              </a:rPr>
              <a:pPr algn="ctr"/>
              <a:t>2.19</a:t>
            </a:fld>
            <a:endParaRPr lang="en-US" sz="1100" b="0" i="0" u="none" strike="noStrike">
              <a:solidFill>
                <a:srgbClr val="000000"/>
              </a:solidFill>
              <a:latin typeface="Calibri"/>
              <a:cs typeface="Calibri"/>
            </a:endParaRPr>
          </a:p>
        </xdr:txBody>
      </xdr:sp>
      <xdr:sp macro="" textlink="$H$7">
        <xdr:nvSpPr>
          <xdr:cNvPr id="45" name="RectH7">
            <a:extLst>
              <a:ext uri="{FF2B5EF4-FFF2-40B4-BE49-F238E27FC236}">
                <a16:creationId xmlns:a16="http://schemas.microsoft.com/office/drawing/2014/main" id="{00000000-0008-0000-1300-00002D000000}"/>
              </a:ext>
            </a:extLst>
          </xdr:cNvPr>
          <xdr:cNvSpPr/>
        </xdr:nvSpPr>
        <xdr:spPr>
          <a:xfrm>
            <a:off x="9083675" y="600836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91BCBDF-7B75-4D7F-8446-68CD26D1BEFE}" type="TxLink">
              <a:rPr lang="en-US" sz="1000" b="0" i="0" u="none" strike="noStrike">
                <a:solidFill>
                  <a:srgbClr val="000000"/>
                </a:solidFill>
                <a:latin typeface="Arial"/>
                <a:cs typeface="Arial"/>
              </a:rPr>
              <a:pPr algn="ctr"/>
              <a:t>3.60</a:t>
            </a:fld>
            <a:endParaRPr lang="en-US" sz="1100" b="0" i="0" u="none" strike="noStrike">
              <a:solidFill>
                <a:srgbClr val="000000"/>
              </a:solidFill>
              <a:latin typeface="Calibri"/>
              <a:cs typeface="Calibri"/>
            </a:endParaRPr>
          </a:p>
        </xdr:txBody>
      </xdr:sp>
      <xdr:sp macro="" textlink="$B$8">
        <xdr:nvSpPr>
          <xdr:cNvPr id="46" name="RectB8">
            <a:extLst>
              <a:ext uri="{FF2B5EF4-FFF2-40B4-BE49-F238E27FC236}">
                <a16:creationId xmlns:a16="http://schemas.microsoft.com/office/drawing/2014/main" id="{00000000-0008-0000-1300-00002E000000}"/>
              </a:ext>
            </a:extLst>
          </xdr:cNvPr>
          <xdr:cNvSpPr/>
        </xdr:nvSpPr>
        <xdr:spPr>
          <a:xfrm>
            <a:off x="1209675" y="619124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384E29F8-20CA-4EDE-8BB0-6CD0535CB969}"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Inventory to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8">
        <xdr:nvSpPr>
          <xdr:cNvPr id="47" name="RectC8">
            <a:extLst>
              <a:ext uri="{FF2B5EF4-FFF2-40B4-BE49-F238E27FC236}">
                <a16:creationId xmlns:a16="http://schemas.microsoft.com/office/drawing/2014/main" id="{00000000-0008-0000-1300-00002F000000}"/>
              </a:ext>
            </a:extLst>
          </xdr:cNvPr>
          <xdr:cNvSpPr/>
        </xdr:nvSpPr>
        <xdr:spPr>
          <a:xfrm>
            <a:off x="3432175" y="619124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D39DF262-CC77-4CF5-BD03-8D77806F3C9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Inventory /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48" name="RectD8">
            <a:extLst>
              <a:ext uri="{FF2B5EF4-FFF2-40B4-BE49-F238E27FC236}">
                <a16:creationId xmlns:a16="http://schemas.microsoft.com/office/drawing/2014/main" id="{00000000-0008-0000-1300-000030000000}"/>
              </a:ext>
            </a:extLst>
          </xdr:cNvPr>
          <xdr:cNvSpPr/>
        </xdr:nvSpPr>
        <xdr:spPr>
          <a:xfrm>
            <a:off x="5019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8">
        <xdr:nvSpPr>
          <xdr:cNvPr id="49" name="RectE8">
            <a:extLst>
              <a:ext uri="{FF2B5EF4-FFF2-40B4-BE49-F238E27FC236}">
                <a16:creationId xmlns:a16="http://schemas.microsoft.com/office/drawing/2014/main" id="{00000000-0008-0000-1300-000031000000}"/>
              </a:ext>
            </a:extLst>
          </xdr:cNvPr>
          <xdr:cNvSpPr/>
        </xdr:nvSpPr>
        <xdr:spPr>
          <a:xfrm>
            <a:off x="6035675" y="619124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EC06C0D-B20D-437E-BCBD-E028E245A378}" type="TxLink">
              <a:rPr lang="en-US" sz="1000" b="0" i="0" u="none" strike="noStrike">
                <a:solidFill>
                  <a:srgbClr val="000000"/>
                </a:solidFill>
                <a:latin typeface="Arial"/>
                <a:cs typeface="Arial"/>
              </a:rPr>
              <a:pPr algn="ctr"/>
              <a:t>10.02%</a:t>
            </a:fld>
            <a:endParaRPr lang="en-US" sz="1100" b="0" i="0" u="none" strike="noStrike">
              <a:solidFill>
                <a:srgbClr val="000000"/>
              </a:solidFill>
              <a:latin typeface="Calibri"/>
              <a:cs typeface="Calibri"/>
            </a:endParaRPr>
          </a:p>
        </xdr:txBody>
      </xdr:sp>
      <xdr:sp macro="" textlink="$F$8">
        <xdr:nvSpPr>
          <xdr:cNvPr id="50" name="RectF8">
            <a:extLst>
              <a:ext uri="{FF2B5EF4-FFF2-40B4-BE49-F238E27FC236}">
                <a16:creationId xmlns:a16="http://schemas.microsoft.com/office/drawing/2014/main" id="{00000000-0008-0000-1300-000032000000}"/>
              </a:ext>
            </a:extLst>
          </xdr:cNvPr>
          <xdr:cNvSpPr/>
        </xdr:nvSpPr>
        <xdr:spPr>
          <a:xfrm>
            <a:off x="7051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BFB4711-84BC-4037-A788-3FA223ACC6DE}" type="TxLink">
              <a:rPr lang="en-US" sz="1000" b="0" i="0" u="none" strike="noStrike">
                <a:solidFill>
                  <a:srgbClr val="000000"/>
                </a:solidFill>
                <a:latin typeface="Arial"/>
                <a:cs typeface="Arial"/>
              </a:rPr>
              <a:pPr algn="ctr"/>
              <a:t>9.75%</a:t>
            </a:fld>
            <a:endParaRPr lang="en-US" sz="1100" b="0" i="0" u="none" strike="noStrike">
              <a:solidFill>
                <a:srgbClr val="000000"/>
              </a:solidFill>
              <a:latin typeface="Calibri"/>
              <a:cs typeface="Calibri"/>
            </a:endParaRPr>
          </a:p>
        </xdr:txBody>
      </xdr:sp>
      <xdr:sp macro="" textlink="$G$8">
        <xdr:nvSpPr>
          <xdr:cNvPr id="51" name="RectG8">
            <a:extLst>
              <a:ext uri="{FF2B5EF4-FFF2-40B4-BE49-F238E27FC236}">
                <a16:creationId xmlns:a16="http://schemas.microsoft.com/office/drawing/2014/main" id="{00000000-0008-0000-1300-000033000000}"/>
              </a:ext>
            </a:extLst>
          </xdr:cNvPr>
          <xdr:cNvSpPr/>
        </xdr:nvSpPr>
        <xdr:spPr>
          <a:xfrm>
            <a:off x="8067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5A4568C-5CCA-489E-B64D-E7E71F3BB919}" type="TxLink">
              <a:rPr lang="en-US" sz="1000" b="0" i="0" u="none" strike="noStrike">
                <a:solidFill>
                  <a:srgbClr val="000000"/>
                </a:solidFill>
                <a:latin typeface="Arial"/>
                <a:cs typeface="Arial"/>
              </a:rPr>
              <a:pPr algn="ctr"/>
              <a:t>10.84%</a:t>
            </a:fld>
            <a:endParaRPr lang="en-US" sz="1100" b="0" i="0" u="none" strike="noStrike">
              <a:solidFill>
                <a:srgbClr val="000000"/>
              </a:solidFill>
              <a:latin typeface="Calibri"/>
              <a:cs typeface="Calibri"/>
            </a:endParaRPr>
          </a:p>
        </xdr:txBody>
      </xdr:sp>
      <xdr:sp macro="" textlink="$H$8">
        <xdr:nvSpPr>
          <xdr:cNvPr id="52" name="RectH8">
            <a:extLst>
              <a:ext uri="{FF2B5EF4-FFF2-40B4-BE49-F238E27FC236}">
                <a16:creationId xmlns:a16="http://schemas.microsoft.com/office/drawing/2014/main" id="{00000000-0008-0000-1300-000034000000}"/>
              </a:ext>
            </a:extLst>
          </xdr:cNvPr>
          <xdr:cNvSpPr/>
        </xdr:nvSpPr>
        <xdr:spPr>
          <a:xfrm>
            <a:off x="9083675" y="619124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0890D12-1CA9-4BC0-9CE3-0E982FDD8ECF}" type="TxLink">
              <a:rPr lang="en-US" sz="1000" b="0" i="0" u="none" strike="noStrike">
                <a:solidFill>
                  <a:srgbClr val="000000"/>
                </a:solidFill>
                <a:latin typeface="Arial"/>
                <a:cs typeface="Arial"/>
              </a:rPr>
              <a:pPr algn="ctr"/>
              <a:t>12.18%</a:t>
            </a:fld>
            <a:endParaRPr lang="en-US" sz="1100" b="0" i="0" u="none" strike="noStrike">
              <a:solidFill>
                <a:srgbClr val="000000"/>
              </a:solidFill>
              <a:latin typeface="Calibri"/>
              <a:cs typeface="Calibri"/>
            </a:endParaRPr>
          </a:p>
        </xdr:txBody>
      </xdr:sp>
      <xdr:sp macro="" textlink="$B$9">
        <xdr:nvSpPr>
          <xdr:cNvPr id="53" name="RectB9">
            <a:extLst>
              <a:ext uri="{FF2B5EF4-FFF2-40B4-BE49-F238E27FC236}">
                <a16:creationId xmlns:a16="http://schemas.microsoft.com/office/drawing/2014/main" id="{00000000-0008-0000-1300-000035000000}"/>
              </a:ext>
            </a:extLst>
          </xdr:cNvPr>
          <xdr:cNvSpPr/>
        </xdr:nvSpPr>
        <xdr:spPr>
          <a:xfrm>
            <a:off x="1209675" y="637412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06DC355-CBF4-4E99-9BCA-A87ED5880290}"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Receivables Turnover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9">
        <xdr:nvSpPr>
          <xdr:cNvPr id="54" name="RectC9">
            <a:extLst>
              <a:ext uri="{FF2B5EF4-FFF2-40B4-BE49-F238E27FC236}">
                <a16:creationId xmlns:a16="http://schemas.microsoft.com/office/drawing/2014/main" id="{00000000-0008-0000-1300-000036000000}"/>
              </a:ext>
            </a:extLst>
          </xdr:cNvPr>
          <xdr:cNvSpPr/>
        </xdr:nvSpPr>
        <xdr:spPr>
          <a:xfrm>
            <a:off x="3432175" y="637412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60522CC-8E28-467E-817D-F5C3892C3F0C}"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Sales / AR</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55" name="RectD9">
            <a:extLst>
              <a:ext uri="{FF2B5EF4-FFF2-40B4-BE49-F238E27FC236}">
                <a16:creationId xmlns:a16="http://schemas.microsoft.com/office/drawing/2014/main" id="{00000000-0008-0000-1300-000037000000}"/>
              </a:ext>
            </a:extLst>
          </xdr:cNvPr>
          <xdr:cNvSpPr/>
        </xdr:nvSpPr>
        <xdr:spPr>
          <a:xfrm>
            <a:off x="5019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9">
        <xdr:nvSpPr>
          <xdr:cNvPr id="56" name="RectE9">
            <a:extLst>
              <a:ext uri="{FF2B5EF4-FFF2-40B4-BE49-F238E27FC236}">
                <a16:creationId xmlns:a16="http://schemas.microsoft.com/office/drawing/2014/main" id="{00000000-0008-0000-1300-000038000000}"/>
              </a:ext>
            </a:extLst>
          </xdr:cNvPr>
          <xdr:cNvSpPr/>
        </xdr:nvSpPr>
        <xdr:spPr>
          <a:xfrm>
            <a:off x="6035675" y="637412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1FBA08A-885D-4835-83C4-56F56A27D03B}" type="TxLink">
              <a:rPr lang="en-US" sz="1000" b="0" i="0" u="none" strike="noStrike">
                <a:solidFill>
                  <a:srgbClr val="000000"/>
                </a:solidFill>
                <a:latin typeface="Arial"/>
                <a:cs typeface="Arial"/>
              </a:rPr>
              <a:pPr algn="ctr"/>
              <a:t>15.11</a:t>
            </a:fld>
            <a:endParaRPr lang="en-US" sz="1100" b="0" i="0" u="none" strike="noStrike">
              <a:solidFill>
                <a:srgbClr val="000000"/>
              </a:solidFill>
              <a:latin typeface="Calibri"/>
              <a:cs typeface="Calibri"/>
            </a:endParaRPr>
          </a:p>
        </xdr:txBody>
      </xdr:sp>
      <xdr:sp macro="" textlink="$F$9">
        <xdr:nvSpPr>
          <xdr:cNvPr id="57" name="RectF9">
            <a:extLst>
              <a:ext uri="{FF2B5EF4-FFF2-40B4-BE49-F238E27FC236}">
                <a16:creationId xmlns:a16="http://schemas.microsoft.com/office/drawing/2014/main" id="{00000000-0008-0000-1300-000039000000}"/>
              </a:ext>
            </a:extLst>
          </xdr:cNvPr>
          <xdr:cNvSpPr/>
        </xdr:nvSpPr>
        <xdr:spPr>
          <a:xfrm>
            <a:off x="7051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4387A1B-1258-4393-99C3-3C66B1E699FE}" type="TxLink">
              <a:rPr lang="en-US" sz="1000" b="0" i="0" u="none" strike="noStrike">
                <a:solidFill>
                  <a:srgbClr val="000000"/>
                </a:solidFill>
                <a:latin typeface="Arial"/>
                <a:cs typeface="Arial"/>
              </a:rPr>
              <a:pPr algn="ctr"/>
              <a:t>14.25</a:t>
            </a:fld>
            <a:endParaRPr lang="en-US" sz="1100" b="0" i="0" u="none" strike="noStrike">
              <a:solidFill>
                <a:srgbClr val="000000"/>
              </a:solidFill>
              <a:latin typeface="Calibri"/>
              <a:cs typeface="Calibri"/>
            </a:endParaRPr>
          </a:p>
        </xdr:txBody>
      </xdr:sp>
      <xdr:sp macro="" textlink="$G$9">
        <xdr:nvSpPr>
          <xdr:cNvPr id="58" name="RectG9">
            <a:extLst>
              <a:ext uri="{FF2B5EF4-FFF2-40B4-BE49-F238E27FC236}">
                <a16:creationId xmlns:a16="http://schemas.microsoft.com/office/drawing/2014/main" id="{00000000-0008-0000-1300-00003A000000}"/>
              </a:ext>
            </a:extLst>
          </xdr:cNvPr>
          <xdr:cNvSpPr/>
        </xdr:nvSpPr>
        <xdr:spPr>
          <a:xfrm>
            <a:off x="8067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A0B07FB-3F39-431E-A206-536703F246A8}" type="TxLink">
              <a:rPr lang="en-US" sz="1000" b="0" i="0" u="none" strike="noStrike">
                <a:solidFill>
                  <a:srgbClr val="000000"/>
                </a:solidFill>
                <a:latin typeface="Arial"/>
                <a:cs typeface="Arial"/>
              </a:rPr>
              <a:pPr algn="ctr"/>
              <a:t>12.78</a:t>
            </a:fld>
            <a:endParaRPr lang="en-US" sz="1100" b="0" i="0" u="none" strike="noStrike">
              <a:solidFill>
                <a:srgbClr val="000000"/>
              </a:solidFill>
              <a:latin typeface="Calibri"/>
              <a:cs typeface="Calibri"/>
            </a:endParaRPr>
          </a:p>
        </xdr:txBody>
      </xdr:sp>
      <xdr:sp macro="" textlink="$H$9">
        <xdr:nvSpPr>
          <xdr:cNvPr id="59" name="RectH9">
            <a:extLst>
              <a:ext uri="{FF2B5EF4-FFF2-40B4-BE49-F238E27FC236}">
                <a16:creationId xmlns:a16="http://schemas.microsoft.com/office/drawing/2014/main" id="{00000000-0008-0000-1300-00003B000000}"/>
              </a:ext>
            </a:extLst>
          </xdr:cNvPr>
          <xdr:cNvSpPr/>
        </xdr:nvSpPr>
        <xdr:spPr>
          <a:xfrm>
            <a:off x="9083675" y="637412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9E23A1-460F-49C9-85BB-5EB92678BC03}" type="TxLink">
              <a:rPr lang="en-US" sz="1000" b="0" i="0" u="none" strike="noStrike">
                <a:solidFill>
                  <a:srgbClr val="000000"/>
                </a:solidFill>
                <a:latin typeface="Arial"/>
                <a:cs typeface="Arial"/>
              </a:rPr>
              <a:pPr algn="ctr"/>
              <a:t>11.39</a:t>
            </a:fld>
            <a:endParaRPr lang="en-US" sz="1100" b="0" i="0" u="none" strike="noStrike">
              <a:solidFill>
                <a:srgbClr val="000000"/>
              </a:solidFill>
              <a:latin typeface="Calibri"/>
              <a:cs typeface="Calibri"/>
            </a:endParaRPr>
          </a:p>
        </xdr:txBody>
      </xdr:sp>
      <xdr:sp macro="" textlink="$B$10">
        <xdr:nvSpPr>
          <xdr:cNvPr id="60" name="RectB10">
            <a:extLst>
              <a:ext uri="{FF2B5EF4-FFF2-40B4-BE49-F238E27FC236}">
                <a16:creationId xmlns:a16="http://schemas.microsoft.com/office/drawing/2014/main" id="{00000000-0008-0000-1300-00003C000000}"/>
              </a:ext>
            </a:extLst>
          </xdr:cNvPr>
          <xdr:cNvSpPr/>
        </xdr:nvSpPr>
        <xdr:spPr>
          <a:xfrm>
            <a:off x="1209675" y="655700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F9778371-1BD2-481D-B1B3-9A1101696D4B}"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Quick Assets to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10">
        <xdr:nvSpPr>
          <xdr:cNvPr id="61" name="RectC10">
            <a:extLst>
              <a:ext uri="{FF2B5EF4-FFF2-40B4-BE49-F238E27FC236}">
                <a16:creationId xmlns:a16="http://schemas.microsoft.com/office/drawing/2014/main" id="{00000000-0008-0000-1300-00003D000000}"/>
              </a:ext>
            </a:extLst>
          </xdr:cNvPr>
          <xdr:cNvSpPr/>
        </xdr:nvSpPr>
        <xdr:spPr>
          <a:xfrm>
            <a:off x="3432175" y="655700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8805C983-23B6-42A6-A1FA-E724E8D94B08}"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(CA - Inventory)/ Sales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62" name="RectD10">
            <a:extLst>
              <a:ext uri="{FF2B5EF4-FFF2-40B4-BE49-F238E27FC236}">
                <a16:creationId xmlns:a16="http://schemas.microsoft.com/office/drawing/2014/main" id="{00000000-0008-0000-1300-00003E000000}"/>
              </a:ext>
            </a:extLst>
          </xdr:cNvPr>
          <xdr:cNvSpPr/>
        </xdr:nvSpPr>
        <xdr:spPr>
          <a:xfrm>
            <a:off x="5019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10">
        <xdr:nvSpPr>
          <xdr:cNvPr id="63" name="RectE10">
            <a:extLst>
              <a:ext uri="{FF2B5EF4-FFF2-40B4-BE49-F238E27FC236}">
                <a16:creationId xmlns:a16="http://schemas.microsoft.com/office/drawing/2014/main" id="{00000000-0008-0000-1300-00003F000000}"/>
              </a:ext>
            </a:extLst>
          </xdr:cNvPr>
          <xdr:cNvSpPr/>
        </xdr:nvSpPr>
        <xdr:spPr>
          <a:xfrm>
            <a:off x="6035675" y="655700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FF38A5F-9D34-42A0-B290-A35B1AA5E90F}" type="TxLink">
              <a:rPr lang="en-US" sz="1000" b="0" i="0" u="none" strike="noStrike">
                <a:solidFill>
                  <a:srgbClr val="000000"/>
                </a:solidFill>
                <a:latin typeface="Arial"/>
                <a:cs typeface="Arial"/>
              </a:rPr>
              <a:pPr algn="ctr"/>
              <a:t>0.17</a:t>
            </a:fld>
            <a:endParaRPr lang="en-US" sz="1100" b="0" i="0" u="none" strike="noStrike">
              <a:solidFill>
                <a:srgbClr val="000000"/>
              </a:solidFill>
              <a:latin typeface="Calibri"/>
              <a:cs typeface="Calibri"/>
            </a:endParaRPr>
          </a:p>
        </xdr:txBody>
      </xdr:sp>
      <xdr:sp macro="" textlink="$F$10">
        <xdr:nvSpPr>
          <xdr:cNvPr id="64" name="RectF10">
            <a:extLst>
              <a:ext uri="{FF2B5EF4-FFF2-40B4-BE49-F238E27FC236}">
                <a16:creationId xmlns:a16="http://schemas.microsoft.com/office/drawing/2014/main" id="{00000000-0008-0000-1300-000040000000}"/>
              </a:ext>
            </a:extLst>
          </xdr:cNvPr>
          <xdr:cNvSpPr/>
        </xdr:nvSpPr>
        <xdr:spPr>
          <a:xfrm>
            <a:off x="7051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0869FFA-BBEC-4B89-A408-6BB268AAFA19}" type="TxLink">
              <a:rPr lang="en-US" sz="1000" b="0" i="0" u="none" strike="noStrike">
                <a:solidFill>
                  <a:srgbClr val="000000"/>
                </a:solidFill>
                <a:latin typeface="Arial"/>
                <a:cs typeface="Arial"/>
              </a:rPr>
              <a:pPr algn="ctr"/>
              <a:t>0.14</a:t>
            </a:fld>
            <a:endParaRPr lang="en-US" sz="1100" b="0" i="0" u="none" strike="noStrike">
              <a:solidFill>
                <a:srgbClr val="000000"/>
              </a:solidFill>
              <a:latin typeface="Calibri"/>
              <a:cs typeface="Calibri"/>
            </a:endParaRPr>
          </a:p>
        </xdr:txBody>
      </xdr:sp>
      <xdr:sp macro="" textlink="$G$10">
        <xdr:nvSpPr>
          <xdr:cNvPr id="65" name="RectG10">
            <a:extLst>
              <a:ext uri="{FF2B5EF4-FFF2-40B4-BE49-F238E27FC236}">
                <a16:creationId xmlns:a16="http://schemas.microsoft.com/office/drawing/2014/main" id="{00000000-0008-0000-1300-000041000000}"/>
              </a:ext>
            </a:extLst>
          </xdr:cNvPr>
          <xdr:cNvSpPr/>
        </xdr:nvSpPr>
        <xdr:spPr>
          <a:xfrm>
            <a:off x="8067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686A757-0225-478A-AF5E-AB8A644FC336}" type="TxLink">
              <a:rPr lang="en-US" sz="1000" b="0" i="0" u="none" strike="noStrike">
                <a:solidFill>
                  <a:srgbClr val="000000"/>
                </a:solidFill>
                <a:latin typeface="Arial"/>
                <a:cs typeface="Arial"/>
              </a:rPr>
              <a:pPr algn="ctr"/>
              <a:t>0.15</a:t>
            </a:fld>
            <a:endParaRPr lang="en-US" sz="1100" b="0" i="0" u="none" strike="noStrike">
              <a:solidFill>
                <a:srgbClr val="000000"/>
              </a:solidFill>
              <a:latin typeface="Calibri"/>
              <a:cs typeface="Calibri"/>
            </a:endParaRPr>
          </a:p>
        </xdr:txBody>
      </xdr:sp>
      <xdr:sp macro="" textlink="$H$10">
        <xdr:nvSpPr>
          <xdr:cNvPr id="66" name="RectH10">
            <a:extLst>
              <a:ext uri="{FF2B5EF4-FFF2-40B4-BE49-F238E27FC236}">
                <a16:creationId xmlns:a16="http://schemas.microsoft.com/office/drawing/2014/main" id="{00000000-0008-0000-1300-000042000000}"/>
              </a:ext>
            </a:extLst>
          </xdr:cNvPr>
          <xdr:cNvSpPr/>
        </xdr:nvSpPr>
        <xdr:spPr>
          <a:xfrm>
            <a:off x="9083675" y="655700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77F8082-A3C6-4667-96DF-D9C70971C697}" type="TxLink">
              <a:rPr lang="en-US" sz="1000" b="0" i="0" u="none" strike="noStrike">
                <a:solidFill>
                  <a:srgbClr val="000000"/>
                </a:solidFill>
                <a:latin typeface="Arial"/>
                <a:cs typeface="Arial"/>
              </a:rPr>
              <a:pPr algn="ctr"/>
              <a:t>0.22</a:t>
            </a:fld>
            <a:endParaRPr lang="en-US" sz="1100" b="0" i="0" u="none" strike="noStrike">
              <a:solidFill>
                <a:srgbClr val="000000"/>
              </a:solidFill>
              <a:latin typeface="Calibri"/>
              <a:cs typeface="Calibri"/>
            </a:endParaRPr>
          </a:p>
        </xdr:txBody>
      </xdr:sp>
      <xdr:sp macro="" textlink="$B$11">
        <xdr:nvSpPr>
          <xdr:cNvPr id="67" name="RectB11">
            <a:extLst>
              <a:ext uri="{FF2B5EF4-FFF2-40B4-BE49-F238E27FC236}">
                <a16:creationId xmlns:a16="http://schemas.microsoft.com/office/drawing/2014/main" id="{00000000-0008-0000-1300-000043000000}"/>
              </a:ext>
            </a:extLst>
          </xdr:cNvPr>
          <xdr:cNvSpPr/>
        </xdr:nvSpPr>
        <xdr:spPr>
          <a:xfrm>
            <a:off x="1209675" y="6739889"/>
            <a:ext cx="2222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CF6BBA2-33A2-451C-81CF-CC56AA1D672E}"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Sales to Current Assets</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C$11">
        <xdr:nvSpPr>
          <xdr:cNvPr id="68" name="RectC11">
            <a:extLst>
              <a:ext uri="{FF2B5EF4-FFF2-40B4-BE49-F238E27FC236}">
                <a16:creationId xmlns:a16="http://schemas.microsoft.com/office/drawing/2014/main" id="{00000000-0008-0000-1300-000044000000}"/>
              </a:ext>
            </a:extLst>
          </xdr:cNvPr>
          <xdr:cNvSpPr/>
        </xdr:nvSpPr>
        <xdr:spPr>
          <a:xfrm>
            <a:off x="3432175" y="6739889"/>
            <a:ext cx="15875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21797F72-C9E0-45B7-95BF-F69343CC078A}" type="TxLink">
              <a:rPr lang="en-US" sz="1000" b="0" i="0" u="none" strike="noStrike">
                <a:solidFill>
                  <a:srgbClr val="000000"/>
                </a:solidFill>
                <a:latin typeface="Arial" panose="020B0604020202020204" pitchFamily="34" charset="0"/>
                <a:ea typeface="+mn-ea"/>
                <a:cs typeface="Arial" panose="020B0604020202020204" pitchFamily="34" charset="0"/>
              </a:rPr>
              <a:pPr marL="0" indent="0" algn="l"/>
              <a:t>Net Sales / CA</a:t>
            </a:fld>
            <a:endParaRPr lang="en-US" sz="1000" b="0" i="0" u="none" strike="noStrike">
              <a:solidFill>
                <a:srgbClr val="000000"/>
              </a:solidFill>
              <a:latin typeface="Arial" panose="020B0604020202020204" pitchFamily="34" charset="0"/>
              <a:ea typeface="+mn-ea"/>
              <a:cs typeface="Arial" panose="020B0604020202020204" pitchFamily="34" charset="0"/>
            </a:endParaRPr>
          </a:p>
        </xdr:txBody>
      </xdr:sp>
      <xdr:sp macro="" textlink="">
        <xdr:nvSpPr>
          <xdr:cNvPr id="69" name="RectD11">
            <a:extLst>
              <a:ext uri="{FF2B5EF4-FFF2-40B4-BE49-F238E27FC236}">
                <a16:creationId xmlns:a16="http://schemas.microsoft.com/office/drawing/2014/main" id="{00000000-0008-0000-1300-000045000000}"/>
              </a:ext>
            </a:extLst>
          </xdr:cNvPr>
          <xdr:cNvSpPr/>
        </xdr:nvSpPr>
        <xdr:spPr>
          <a:xfrm>
            <a:off x="5019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0" i="0" u="none" strike="noStrike">
              <a:solidFill>
                <a:srgbClr val="000000"/>
              </a:solidFill>
              <a:latin typeface="Calibri"/>
              <a:cs typeface="Calibri"/>
            </a:endParaRPr>
          </a:p>
        </xdr:txBody>
      </xdr:sp>
      <xdr:sp macro="" textlink="$E$11">
        <xdr:nvSpPr>
          <xdr:cNvPr id="70" name="RectE11">
            <a:extLst>
              <a:ext uri="{FF2B5EF4-FFF2-40B4-BE49-F238E27FC236}">
                <a16:creationId xmlns:a16="http://schemas.microsoft.com/office/drawing/2014/main" id="{00000000-0008-0000-1300-000046000000}"/>
              </a:ext>
            </a:extLst>
          </xdr:cNvPr>
          <xdr:cNvSpPr/>
        </xdr:nvSpPr>
        <xdr:spPr>
          <a:xfrm>
            <a:off x="6035675" y="6739889"/>
            <a:ext cx="1016000" cy="182880"/>
          </a:xfrm>
          <a:prstGeom prst="rect">
            <a:avLst/>
          </a:prstGeom>
          <a:solidFill>
            <a:srgbClr val="F9C20A"/>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87AB0F5-EEC2-4662-B64C-F45E6213BF4C}" type="TxLink">
              <a:rPr lang="en-US" sz="1000" b="0" i="0" u="none" strike="noStrike">
                <a:solidFill>
                  <a:srgbClr val="000000"/>
                </a:solidFill>
                <a:latin typeface="Arial"/>
                <a:cs typeface="Arial"/>
              </a:rPr>
              <a:pPr algn="ctr"/>
              <a:t>364.40%</a:t>
            </a:fld>
            <a:endParaRPr lang="en-US" sz="1100" b="0" i="0" u="none" strike="noStrike">
              <a:solidFill>
                <a:srgbClr val="000000"/>
              </a:solidFill>
              <a:latin typeface="Calibri"/>
              <a:cs typeface="Calibri"/>
            </a:endParaRPr>
          </a:p>
        </xdr:txBody>
      </xdr:sp>
      <xdr:sp macro="" textlink="$F$11">
        <xdr:nvSpPr>
          <xdr:cNvPr id="71" name="RectF11">
            <a:extLst>
              <a:ext uri="{FF2B5EF4-FFF2-40B4-BE49-F238E27FC236}">
                <a16:creationId xmlns:a16="http://schemas.microsoft.com/office/drawing/2014/main" id="{00000000-0008-0000-1300-000047000000}"/>
              </a:ext>
            </a:extLst>
          </xdr:cNvPr>
          <xdr:cNvSpPr/>
        </xdr:nvSpPr>
        <xdr:spPr>
          <a:xfrm>
            <a:off x="7051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83A2D9A-4DAF-43EC-A000-B89E2CC3A64D}" type="TxLink">
              <a:rPr lang="en-US" sz="1000" b="0" i="0" u="none" strike="noStrike">
                <a:solidFill>
                  <a:srgbClr val="000000"/>
                </a:solidFill>
                <a:latin typeface="Arial"/>
                <a:cs typeface="Arial"/>
              </a:rPr>
              <a:pPr algn="ctr"/>
              <a:t>288.64%</a:t>
            </a:fld>
            <a:endParaRPr lang="en-US" sz="1100" b="0" i="0" u="none" strike="noStrike">
              <a:solidFill>
                <a:srgbClr val="000000"/>
              </a:solidFill>
              <a:latin typeface="Calibri"/>
              <a:cs typeface="Calibri"/>
            </a:endParaRPr>
          </a:p>
        </xdr:txBody>
      </xdr:sp>
      <xdr:sp macro="" textlink="$G$11">
        <xdr:nvSpPr>
          <xdr:cNvPr id="72" name="RectG11">
            <a:extLst>
              <a:ext uri="{FF2B5EF4-FFF2-40B4-BE49-F238E27FC236}">
                <a16:creationId xmlns:a16="http://schemas.microsoft.com/office/drawing/2014/main" id="{00000000-0008-0000-1300-000048000000}"/>
              </a:ext>
            </a:extLst>
          </xdr:cNvPr>
          <xdr:cNvSpPr/>
        </xdr:nvSpPr>
        <xdr:spPr>
          <a:xfrm>
            <a:off x="8067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FF5FA1E-0F53-47D2-82C4-13AF31852A6A}" type="TxLink">
              <a:rPr lang="en-US" sz="1000" b="0" i="0" u="none" strike="noStrike">
                <a:solidFill>
                  <a:srgbClr val="000000"/>
                </a:solidFill>
                <a:latin typeface="Arial"/>
                <a:cs typeface="Arial"/>
              </a:rPr>
              <a:pPr algn="ctr"/>
              <a:t>366.16%</a:t>
            </a:fld>
            <a:endParaRPr lang="en-US" sz="1100" b="0" i="0" u="none" strike="noStrike">
              <a:solidFill>
                <a:srgbClr val="000000"/>
              </a:solidFill>
              <a:latin typeface="Calibri"/>
              <a:cs typeface="Calibri"/>
            </a:endParaRPr>
          </a:p>
        </xdr:txBody>
      </xdr:sp>
      <xdr:sp macro="" textlink="$H$11">
        <xdr:nvSpPr>
          <xdr:cNvPr id="73" name="RectH11">
            <a:extLst>
              <a:ext uri="{FF2B5EF4-FFF2-40B4-BE49-F238E27FC236}">
                <a16:creationId xmlns:a16="http://schemas.microsoft.com/office/drawing/2014/main" id="{00000000-0008-0000-1300-000049000000}"/>
              </a:ext>
            </a:extLst>
          </xdr:cNvPr>
          <xdr:cNvSpPr/>
        </xdr:nvSpPr>
        <xdr:spPr>
          <a:xfrm>
            <a:off x="9083675" y="6739889"/>
            <a:ext cx="1016000" cy="182880"/>
          </a:xfrm>
          <a:prstGeom prst="rect">
            <a:avLst/>
          </a:prstGeom>
          <a:solidFill>
            <a:srgbClr val="FFFFFF"/>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3E4069-A2A2-4D17-A22A-A0B9E97217DE}" type="TxLink">
              <a:rPr lang="en-US" sz="1000" b="0" i="0" u="none" strike="noStrike">
                <a:solidFill>
                  <a:srgbClr val="000000"/>
                </a:solidFill>
                <a:latin typeface="Arial"/>
                <a:cs typeface="Arial"/>
              </a:rPr>
              <a:pPr algn="ctr"/>
              <a:t>397.42%</a:t>
            </a:fld>
            <a:endParaRPr lang="en-US" sz="1100" b="0" i="0" u="none" strike="noStrike">
              <a:solidFill>
                <a:srgbClr val="000000"/>
              </a:solidFill>
              <a:latin typeface="Calibri"/>
              <a:cs typeface="Calibri"/>
            </a:endParaRPr>
          </a:p>
        </xdr:txBody>
      </xdr:sp>
      <xdr:sp macro="" textlink="$B$12">
        <xdr:nvSpPr>
          <xdr:cNvPr id="80" name="RectB12">
            <a:extLst>
              <a:ext uri="{FF2B5EF4-FFF2-40B4-BE49-F238E27FC236}">
                <a16:creationId xmlns:a16="http://schemas.microsoft.com/office/drawing/2014/main" id="{00000000-0008-0000-1300-000050000000}"/>
              </a:ext>
            </a:extLst>
          </xdr:cNvPr>
          <xdr:cNvSpPr/>
        </xdr:nvSpPr>
        <xdr:spPr>
          <a:xfrm>
            <a:off x="1209675" y="6931274"/>
            <a:ext cx="2222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58042D66-8591-4CB9-A9FE-27A81A20F5F0}" type="TxLink">
              <a:rPr lang="en-US" sz="1000" b="1" i="0" u="none" strike="noStrike">
                <a:solidFill>
                  <a:schemeClr val="bg1"/>
                </a:solidFill>
                <a:latin typeface="Arial" panose="020B0604020202020204" pitchFamily="34" charset="0"/>
                <a:ea typeface="+mn-ea"/>
                <a:cs typeface="Arial" panose="020B0604020202020204" pitchFamily="34" charset="0"/>
              </a:rPr>
              <a:pPr marL="0" indent="0" algn="l"/>
              <a:t>Turnover Score</a:t>
            </a:fld>
            <a:endParaRPr lang="en-US" sz="1000" b="1" i="0" u="none" strike="noStrike">
              <a:solidFill>
                <a:schemeClr val="bg1"/>
              </a:solidFill>
              <a:latin typeface="Arial" panose="020B0604020202020204" pitchFamily="34" charset="0"/>
              <a:ea typeface="+mn-ea"/>
              <a:cs typeface="Arial" panose="020B0604020202020204" pitchFamily="34" charset="0"/>
            </a:endParaRPr>
          </a:p>
        </xdr:txBody>
      </xdr:sp>
      <xdr:sp macro="" textlink="$C$13">
        <xdr:nvSpPr>
          <xdr:cNvPr id="81" name="RectC12">
            <a:extLst>
              <a:ext uri="{FF2B5EF4-FFF2-40B4-BE49-F238E27FC236}">
                <a16:creationId xmlns:a16="http://schemas.microsoft.com/office/drawing/2014/main" id="{00000000-0008-0000-1300-000051000000}"/>
              </a:ext>
            </a:extLst>
          </xdr:cNvPr>
          <xdr:cNvSpPr/>
        </xdr:nvSpPr>
        <xdr:spPr>
          <a:xfrm>
            <a:off x="3432175" y="6931274"/>
            <a:ext cx="15875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AF8E92D-DB2E-4E22-99C1-587C8AE8E9A8}" type="TxLink">
              <a:rPr lang="en-US" sz="1000" b="1" i="0" u="none" strike="noStrike">
                <a:solidFill>
                  <a:schemeClr val="bg1"/>
                </a:solidFill>
                <a:latin typeface="Arial" panose="020B0604020202020204" pitchFamily="34" charset="0"/>
                <a:ea typeface="+mn-ea"/>
                <a:cs typeface="Arial" panose="020B0604020202020204" pitchFamily="34" charset="0"/>
              </a:rPr>
              <a:pPr marL="0" indent="0" algn="l"/>
              <a:t> </a:t>
            </a:fld>
            <a:endParaRPr lang="en-US" sz="1000" b="1"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82" name="RectD12">
            <a:extLst>
              <a:ext uri="{FF2B5EF4-FFF2-40B4-BE49-F238E27FC236}">
                <a16:creationId xmlns:a16="http://schemas.microsoft.com/office/drawing/2014/main" id="{00000000-0008-0000-1300-000052000000}"/>
              </a:ext>
            </a:extLst>
          </xdr:cNvPr>
          <xdr:cNvSpPr/>
        </xdr:nvSpPr>
        <xdr:spPr>
          <a:xfrm>
            <a:off x="5019675" y="693127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E$12">
        <xdr:nvSpPr>
          <xdr:cNvPr id="83" name="RectE12">
            <a:extLst>
              <a:ext uri="{FF2B5EF4-FFF2-40B4-BE49-F238E27FC236}">
                <a16:creationId xmlns:a16="http://schemas.microsoft.com/office/drawing/2014/main" id="{00000000-0008-0000-1300-000053000000}"/>
              </a:ext>
            </a:extLst>
          </xdr:cNvPr>
          <xdr:cNvSpPr/>
        </xdr:nvSpPr>
        <xdr:spPr>
          <a:xfrm>
            <a:off x="6035675" y="693127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1E1EAC5-9B72-4ED6-998C-19544209229A}" type="TxLink">
              <a:rPr lang="en-US" sz="1000" b="1" i="0" u="none" strike="noStrike">
                <a:solidFill>
                  <a:schemeClr val="bg1"/>
                </a:solidFill>
                <a:latin typeface="Arial" panose="020B0604020202020204" pitchFamily="34" charset="0"/>
                <a:ea typeface="+mn-ea"/>
                <a:cs typeface="Arial" panose="020B0604020202020204" pitchFamily="34" charset="0"/>
              </a:rPr>
              <a:pPr marL="0" indent="0" algn="ctr"/>
              <a:t>49.63%</a:t>
            </a:fld>
            <a:endParaRPr lang="en-US" sz="1000" b="1" i="0" u="none" strike="noStrike">
              <a:solidFill>
                <a:schemeClr val="bg1"/>
              </a:solidFill>
              <a:latin typeface="Arial" panose="020B0604020202020204" pitchFamily="34" charset="0"/>
              <a:ea typeface="+mn-ea"/>
              <a:cs typeface="Arial" panose="020B0604020202020204" pitchFamily="34" charset="0"/>
            </a:endParaRPr>
          </a:p>
        </xdr:txBody>
      </xdr:sp>
      <xdr:sp macro="" textlink="$F$13">
        <xdr:nvSpPr>
          <xdr:cNvPr id="84" name="RectF12">
            <a:extLst>
              <a:ext uri="{FF2B5EF4-FFF2-40B4-BE49-F238E27FC236}">
                <a16:creationId xmlns:a16="http://schemas.microsoft.com/office/drawing/2014/main" id="{00000000-0008-0000-1300-000054000000}"/>
              </a:ext>
            </a:extLst>
          </xdr:cNvPr>
          <xdr:cNvSpPr/>
        </xdr:nvSpPr>
        <xdr:spPr>
          <a:xfrm>
            <a:off x="7051675" y="693127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6562BAF-11B4-42D6-A6A4-96A85C2642C3}"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G$13">
        <xdr:nvSpPr>
          <xdr:cNvPr id="85" name="RectG12">
            <a:extLst>
              <a:ext uri="{FF2B5EF4-FFF2-40B4-BE49-F238E27FC236}">
                <a16:creationId xmlns:a16="http://schemas.microsoft.com/office/drawing/2014/main" id="{00000000-0008-0000-1300-000055000000}"/>
              </a:ext>
            </a:extLst>
          </xdr:cNvPr>
          <xdr:cNvSpPr/>
        </xdr:nvSpPr>
        <xdr:spPr>
          <a:xfrm>
            <a:off x="8067675" y="6931274"/>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32E6936-7CEE-4CDA-A155-C938187401F9}"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H$13">
        <xdr:nvSpPr>
          <xdr:cNvPr id="86" name="RectH12">
            <a:extLst>
              <a:ext uri="{FF2B5EF4-FFF2-40B4-BE49-F238E27FC236}">
                <a16:creationId xmlns:a16="http://schemas.microsoft.com/office/drawing/2014/main" id="{00000000-0008-0000-1300-000056000000}"/>
              </a:ext>
            </a:extLst>
          </xdr:cNvPr>
          <xdr:cNvSpPr/>
        </xdr:nvSpPr>
        <xdr:spPr>
          <a:xfrm>
            <a:off x="9083675" y="6931280"/>
            <a:ext cx="1016000" cy="182880"/>
          </a:xfrm>
          <a:prstGeom prst="rect">
            <a:avLst/>
          </a:prstGeom>
          <a:solidFill>
            <a:srgbClr val="00206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F408780-86F2-4C21-9CB4-F837978CC6B3}" type="TxLink">
              <a:rPr lang="en-US" sz="1000" b="0" i="0" u="none" strike="noStrike">
                <a:solidFill>
                  <a:schemeClr val="bg1"/>
                </a:solidFill>
                <a:latin typeface="Arial" panose="020B0604020202020204" pitchFamily="34" charset="0"/>
                <a:ea typeface="+mn-ea"/>
                <a:cs typeface="Arial" panose="020B0604020202020204" pitchFamily="34" charset="0"/>
              </a:rPr>
              <a:pPr marL="0" indent="0" algn="ctr"/>
              <a:t> </a:t>
            </a:fld>
            <a:endParaRPr lang="en-US" sz="1000" b="0" i="0" u="none" strike="noStrike">
              <a:solidFill>
                <a:schemeClr val="bg1"/>
              </a:solidFill>
              <a:latin typeface="Arial" panose="020B0604020202020204" pitchFamily="34" charset="0"/>
              <a:ea typeface="+mn-ea"/>
              <a:cs typeface="Arial" panose="020B0604020202020204" pitchFamily="34" charset="0"/>
            </a:endParaRPr>
          </a:p>
        </xdr:txBody>
      </xdr:sp>
      <xdr:sp macro="" textlink="">
        <xdr:nvSpPr>
          <xdr:cNvPr id="88" name="CircleD3">
            <a:extLst>
              <a:ext uri="{FF2B5EF4-FFF2-40B4-BE49-F238E27FC236}">
                <a16:creationId xmlns:a16="http://schemas.microsoft.com/office/drawing/2014/main" id="{00000000-0008-0000-1300-000058000000}"/>
              </a:ext>
            </a:extLst>
          </xdr:cNvPr>
          <xdr:cNvSpPr/>
        </xdr:nvSpPr>
        <xdr:spPr>
          <a:xfrm>
            <a:off x="5459095" y="5299709"/>
            <a:ext cx="137160" cy="137160"/>
          </a:xfrm>
          <a:prstGeom prst="ellipse">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CircleD4">
            <a:extLst>
              <a:ext uri="{FF2B5EF4-FFF2-40B4-BE49-F238E27FC236}">
                <a16:creationId xmlns:a16="http://schemas.microsoft.com/office/drawing/2014/main" id="{00000000-0008-0000-1300-000059000000}"/>
              </a:ext>
            </a:extLst>
          </xdr:cNvPr>
          <xdr:cNvSpPr/>
        </xdr:nvSpPr>
        <xdr:spPr>
          <a:xfrm>
            <a:off x="5459095" y="548258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CircleD5">
            <a:extLst>
              <a:ext uri="{FF2B5EF4-FFF2-40B4-BE49-F238E27FC236}">
                <a16:creationId xmlns:a16="http://schemas.microsoft.com/office/drawing/2014/main" id="{00000000-0008-0000-1300-00005A000000}"/>
              </a:ext>
            </a:extLst>
          </xdr:cNvPr>
          <xdr:cNvSpPr/>
        </xdr:nvSpPr>
        <xdr:spPr>
          <a:xfrm>
            <a:off x="5459095" y="5665469"/>
            <a:ext cx="137160" cy="137160"/>
          </a:xfrm>
          <a:prstGeom prst="ellipse">
            <a:avLst/>
          </a:prstGeom>
          <a:solidFill>
            <a:srgbClr val="FF0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CircleD6">
            <a:extLst>
              <a:ext uri="{FF2B5EF4-FFF2-40B4-BE49-F238E27FC236}">
                <a16:creationId xmlns:a16="http://schemas.microsoft.com/office/drawing/2014/main" id="{00000000-0008-0000-1300-00005B000000}"/>
              </a:ext>
            </a:extLst>
          </xdr:cNvPr>
          <xdr:cNvSpPr/>
        </xdr:nvSpPr>
        <xdr:spPr>
          <a:xfrm>
            <a:off x="5459095" y="584834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2" name="CircleD7">
            <a:extLst>
              <a:ext uri="{FF2B5EF4-FFF2-40B4-BE49-F238E27FC236}">
                <a16:creationId xmlns:a16="http://schemas.microsoft.com/office/drawing/2014/main" id="{00000000-0008-0000-1300-00005C000000}"/>
              </a:ext>
            </a:extLst>
          </xdr:cNvPr>
          <xdr:cNvSpPr/>
        </xdr:nvSpPr>
        <xdr:spPr>
          <a:xfrm>
            <a:off x="5459095" y="6031229"/>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CircleD8">
            <a:extLst>
              <a:ext uri="{FF2B5EF4-FFF2-40B4-BE49-F238E27FC236}">
                <a16:creationId xmlns:a16="http://schemas.microsoft.com/office/drawing/2014/main" id="{00000000-0008-0000-1300-00005D000000}"/>
              </a:ext>
            </a:extLst>
          </xdr:cNvPr>
          <xdr:cNvSpPr/>
        </xdr:nvSpPr>
        <xdr:spPr>
          <a:xfrm>
            <a:off x="5459095" y="6214109"/>
            <a:ext cx="137160" cy="137160"/>
          </a:xfrm>
          <a:prstGeom prst="ellipse">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CircleD9">
            <a:extLst>
              <a:ext uri="{FF2B5EF4-FFF2-40B4-BE49-F238E27FC236}">
                <a16:creationId xmlns:a16="http://schemas.microsoft.com/office/drawing/2014/main" id="{00000000-0008-0000-1300-00005E000000}"/>
              </a:ext>
            </a:extLst>
          </xdr:cNvPr>
          <xdr:cNvSpPr/>
        </xdr:nvSpPr>
        <xdr:spPr>
          <a:xfrm>
            <a:off x="5459095" y="6396989"/>
            <a:ext cx="137160" cy="137160"/>
          </a:xfrm>
          <a:prstGeom prst="ellipse">
            <a:avLst/>
          </a:prstGeom>
          <a:solidFill>
            <a:srgbClr val="FF0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CircleD10">
            <a:extLst>
              <a:ext uri="{FF2B5EF4-FFF2-40B4-BE49-F238E27FC236}">
                <a16:creationId xmlns:a16="http://schemas.microsoft.com/office/drawing/2014/main" id="{00000000-0008-0000-1300-00005F000000}"/>
              </a:ext>
            </a:extLst>
          </xdr:cNvPr>
          <xdr:cNvSpPr/>
        </xdr:nvSpPr>
        <xdr:spPr>
          <a:xfrm>
            <a:off x="5459095" y="6579869"/>
            <a:ext cx="137160" cy="137160"/>
          </a:xfrm>
          <a:prstGeom prst="ellipse">
            <a:avLst/>
          </a:prstGeom>
          <a:solidFill>
            <a:srgbClr val="FFFF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CircleD11">
            <a:extLst>
              <a:ext uri="{FF2B5EF4-FFF2-40B4-BE49-F238E27FC236}">
                <a16:creationId xmlns:a16="http://schemas.microsoft.com/office/drawing/2014/main" id="{00000000-0008-0000-1300-000060000000}"/>
              </a:ext>
            </a:extLst>
          </xdr:cNvPr>
          <xdr:cNvSpPr/>
        </xdr:nvSpPr>
        <xdr:spPr>
          <a:xfrm>
            <a:off x="5459095" y="6762749"/>
            <a:ext cx="137160" cy="137160"/>
          </a:xfrm>
          <a:prstGeom prst="ellipse">
            <a:avLst/>
          </a:prstGeom>
          <a:solidFill>
            <a:srgbClr val="FF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CircleD12">
            <a:extLst>
              <a:ext uri="{FF2B5EF4-FFF2-40B4-BE49-F238E27FC236}">
                <a16:creationId xmlns:a16="http://schemas.microsoft.com/office/drawing/2014/main" id="{00000000-0008-0000-1300-000062000000}"/>
              </a:ext>
            </a:extLst>
          </xdr:cNvPr>
          <xdr:cNvSpPr/>
        </xdr:nvSpPr>
        <xdr:spPr>
          <a:xfrm>
            <a:off x="5459095" y="6944956"/>
            <a:ext cx="137160" cy="137160"/>
          </a:xfrm>
          <a:prstGeom prst="ellipse">
            <a:avLst/>
          </a:prstGeom>
          <a:solidFill>
            <a:srgbClr val="00C000"/>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581026</xdr:colOff>
      <xdr:row>1</xdr:row>
      <xdr:rowOff>1</xdr:rowOff>
    </xdr:from>
    <xdr:to>
      <xdr:col>14</xdr:col>
      <xdr:colOff>447676</xdr:colOff>
      <xdr:row>32</xdr:row>
      <xdr:rowOff>28576</xdr:rowOff>
    </xdr:to>
    <xdr:graphicFrame macro="">
      <xdr:nvGraphicFramePr>
        <xdr:cNvPr id="2" name="Chart 10">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17</xdr:col>
          <xdr:colOff>485775</xdr:colOff>
          <xdr:row>7</xdr:row>
          <xdr:rowOff>123825</xdr:rowOff>
        </xdr:from>
        <xdr:to>
          <xdr:col>19</xdr:col>
          <xdr:colOff>323850</xdr:colOff>
          <xdr:row>9</xdr:row>
          <xdr:rowOff>95250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400-0000014C01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16</xdr:col>
      <xdr:colOff>0</xdr:colOff>
      <xdr:row>1</xdr:row>
      <xdr:rowOff>0</xdr:rowOff>
    </xdr:from>
    <xdr:to>
      <xdr:col>22</xdr:col>
      <xdr:colOff>0</xdr:colOff>
      <xdr:row>17</xdr:row>
      <xdr:rowOff>0</xdr:rowOff>
    </xdr:to>
    <xdr:graphicFrame macro="">
      <xdr:nvGraphicFramePr>
        <xdr:cNvPr id="4" name="DSO">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14</xdr:col>
          <xdr:colOff>9525</xdr:colOff>
          <xdr:row>1</xdr:row>
          <xdr:rowOff>19050</xdr:rowOff>
        </xdr:from>
        <xdr:to>
          <xdr:col>15</xdr:col>
          <xdr:colOff>457200</xdr:colOff>
          <xdr:row>2</xdr:row>
          <xdr:rowOff>133350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1500-000001E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en-US" sz="1100" b="0" i="0" u="none" strike="noStrike" baseline="0">
                  <a:solidFill>
                    <a:srgbClr val="000000"/>
                  </a:solidFill>
                  <a:latin typeface="Segoe UI"/>
                  <a:cs typeface="Segoe UI"/>
                </a:rPr>
                <a:t>Format</a:t>
              </a:r>
            </a:p>
          </xdr:txBody>
        </xdr:sp>
        <xdr:clientData fPrintsWithSheet="0"/>
      </xdr:twoCellAnchor>
    </mc:Choice>
    <mc:Fallback/>
  </mc:AlternateContent>
  <xdr:twoCellAnchor>
    <xdr:from>
      <xdr:col>16</xdr:col>
      <xdr:colOff>0</xdr:colOff>
      <xdr:row>20</xdr:row>
      <xdr:rowOff>0</xdr:rowOff>
    </xdr:from>
    <xdr:to>
      <xdr:col>22</xdr:col>
      <xdr:colOff>0</xdr:colOff>
      <xdr:row>36</xdr:row>
      <xdr:rowOff>0</xdr:rowOff>
    </xdr:to>
    <xdr:graphicFrame macro="">
      <xdr:nvGraphicFramePr>
        <xdr:cNvPr id="6" name="DIO">
          <a:extLst>
            <a:ext uri="{FF2B5EF4-FFF2-40B4-BE49-F238E27FC236}">
              <a16:creationId xmlns:a16="http://schemas.microsoft.com/office/drawing/2014/main" id="{00000000-0008-0000-1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39</xdr:row>
      <xdr:rowOff>9525</xdr:rowOff>
    </xdr:from>
    <xdr:to>
      <xdr:col>22</xdr:col>
      <xdr:colOff>0</xdr:colOff>
      <xdr:row>55</xdr:row>
      <xdr:rowOff>9525</xdr:rowOff>
    </xdr:to>
    <xdr:graphicFrame macro="">
      <xdr:nvGraphicFramePr>
        <xdr:cNvPr id="7" name="DPO">
          <a:extLst>
            <a:ext uri="{FF2B5EF4-FFF2-40B4-BE49-F238E27FC236}">
              <a16:creationId xmlns:a16="http://schemas.microsoft.com/office/drawing/2014/main" id="{00000000-0008-0000-1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600075</xdr:colOff>
      <xdr:row>58</xdr:row>
      <xdr:rowOff>9525</xdr:rowOff>
    </xdr:from>
    <xdr:to>
      <xdr:col>21</xdr:col>
      <xdr:colOff>600075</xdr:colOff>
      <xdr:row>74</xdr:row>
      <xdr:rowOff>9525</xdr:rowOff>
    </xdr:to>
    <xdr:graphicFrame macro="">
      <xdr:nvGraphicFramePr>
        <xdr:cNvPr id="8" name="CCC">
          <a:extLst>
            <a:ext uri="{FF2B5EF4-FFF2-40B4-BE49-F238E27FC236}">
              <a16:creationId xmlns:a16="http://schemas.microsoft.com/office/drawing/2014/main" id="{00000000-0008-0000-1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361950</xdr:colOff>
      <xdr:row>4</xdr:row>
      <xdr:rowOff>114300</xdr:rowOff>
    </xdr:from>
    <xdr:to>
      <xdr:col>15</xdr:col>
      <xdr:colOff>428624</xdr:colOff>
      <xdr:row>8</xdr:row>
      <xdr:rowOff>104775</xdr:rowOff>
    </xdr:to>
    <xdr:sp macro="[0]!CreatePowerPoint" textlink="">
      <xdr:nvSpPr>
        <xdr:cNvPr id="105" name="Rounded Rectangle 288">
          <a:extLst>
            <a:ext uri="{FF2B5EF4-FFF2-40B4-BE49-F238E27FC236}">
              <a16:creationId xmlns:a16="http://schemas.microsoft.com/office/drawing/2014/main" id="{00000000-0008-0000-1500-000069000000}"/>
            </a:ext>
          </a:extLst>
        </xdr:cNvPr>
        <xdr:cNvSpPr/>
      </xdr:nvSpPr>
      <xdr:spPr>
        <a:xfrm>
          <a:off x="8286750" y="685800"/>
          <a:ext cx="1285874" cy="561975"/>
        </a:xfrm>
        <a:prstGeom prst="roundRect">
          <a:avLst/>
        </a:prstGeom>
        <a:solidFill>
          <a:srgbClr val="25406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Create PPT</a:t>
          </a:r>
        </a:p>
      </xdr:txBody>
    </xdr:sp>
    <xdr:clientData/>
  </xdr:twoCellAnchor>
</xdr:wsDr>
</file>

<file path=xl/theme/theme1.xml><?xml version="1.0" encoding="utf-8"?>
<a:theme xmlns:a="http://schemas.openxmlformats.org/drawingml/2006/main" name="Theme1_sga">
  <a:themeElements>
    <a:clrScheme name="Custom 1">
      <a:dk1>
        <a:sysClr val="windowText" lastClr="000000"/>
      </a:dk1>
      <a:lt1>
        <a:sysClr val="window" lastClr="FFFFFF"/>
      </a:lt1>
      <a:dk2>
        <a:srgbClr val="002B49"/>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lnDef>
      <a:spPr>
        <a:ln>
          <a:headEnd type="arrow"/>
          <a:tailEnd type="arrow"/>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AM Pitchbook template USL">
    <a:dk1>
      <a:srgbClr val="767171"/>
    </a:dk1>
    <a:lt1>
      <a:sysClr val="window" lastClr="FFFFFF"/>
    </a:lt1>
    <a:dk2>
      <a:srgbClr val="969696"/>
    </a:dk2>
    <a:lt2>
      <a:srgbClr val="CF7F00"/>
    </a:lt2>
    <a:accent1>
      <a:srgbClr val="002B49"/>
    </a:accent1>
    <a:accent2>
      <a:srgbClr val="0085CA"/>
    </a:accent2>
    <a:accent3>
      <a:srgbClr val="5E8AB4"/>
    </a:accent3>
    <a:accent4>
      <a:srgbClr val="29702A"/>
    </a:accent4>
    <a:accent5>
      <a:srgbClr val="00677F"/>
    </a:accent5>
    <a:accent6>
      <a:srgbClr val="51195D"/>
    </a:accent6>
    <a:hlink>
      <a:srgbClr val="CF7F00"/>
    </a:hlink>
    <a:folHlink>
      <a:srgbClr val="51195D"/>
    </a:folHlink>
  </a:clrScheme>
  <a:fontScheme name="Arial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AM Pitchbook template USL">
    <a:dk1>
      <a:srgbClr val="767171"/>
    </a:dk1>
    <a:lt1>
      <a:sysClr val="window" lastClr="FFFFFF"/>
    </a:lt1>
    <a:dk2>
      <a:srgbClr val="969696"/>
    </a:dk2>
    <a:lt2>
      <a:srgbClr val="CF7F00"/>
    </a:lt2>
    <a:accent1>
      <a:srgbClr val="002B49"/>
    </a:accent1>
    <a:accent2>
      <a:srgbClr val="0085CA"/>
    </a:accent2>
    <a:accent3>
      <a:srgbClr val="5E8AB4"/>
    </a:accent3>
    <a:accent4>
      <a:srgbClr val="29702A"/>
    </a:accent4>
    <a:accent5>
      <a:srgbClr val="00677F"/>
    </a:accent5>
    <a:accent6>
      <a:srgbClr val="51195D"/>
    </a:accent6>
    <a:hlink>
      <a:srgbClr val="CF7F00"/>
    </a:hlink>
    <a:folHlink>
      <a:srgbClr val="51195D"/>
    </a:folHlink>
  </a:clrScheme>
  <a:fontScheme name="Arial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AM Pitchbook template USL">
    <a:dk1>
      <a:srgbClr val="767171"/>
    </a:dk1>
    <a:lt1>
      <a:sysClr val="window" lastClr="FFFFFF"/>
    </a:lt1>
    <a:dk2>
      <a:srgbClr val="969696"/>
    </a:dk2>
    <a:lt2>
      <a:srgbClr val="CF7F00"/>
    </a:lt2>
    <a:accent1>
      <a:srgbClr val="002B49"/>
    </a:accent1>
    <a:accent2>
      <a:srgbClr val="0085CA"/>
    </a:accent2>
    <a:accent3>
      <a:srgbClr val="5E8AB4"/>
    </a:accent3>
    <a:accent4>
      <a:srgbClr val="29702A"/>
    </a:accent4>
    <a:accent5>
      <a:srgbClr val="00677F"/>
    </a:accent5>
    <a:accent6>
      <a:srgbClr val="51195D"/>
    </a:accent6>
    <a:hlink>
      <a:srgbClr val="CF7F00"/>
    </a:hlink>
    <a:folHlink>
      <a:srgbClr val="51195D"/>
    </a:folHlink>
  </a:clrScheme>
  <a:fontScheme name="Arial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AM Pitchbook template USL">
    <a:dk1>
      <a:srgbClr val="767171"/>
    </a:dk1>
    <a:lt1>
      <a:sysClr val="window" lastClr="FFFFFF"/>
    </a:lt1>
    <a:dk2>
      <a:srgbClr val="969696"/>
    </a:dk2>
    <a:lt2>
      <a:srgbClr val="CF7F00"/>
    </a:lt2>
    <a:accent1>
      <a:srgbClr val="002B49"/>
    </a:accent1>
    <a:accent2>
      <a:srgbClr val="0085CA"/>
    </a:accent2>
    <a:accent3>
      <a:srgbClr val="5E8AB4"/>
    </a:accent3>
    <a:accent4>
      <a:srgbClr val="29702A"/>
    </a:accent4>
    <a:accent5>
      <a:srgbClr val="00677F"/>
    </a:accent5>
    <a:accent6>
      <a:srgbClr val="51195D"/>
    </a:accent6>
    <a:hlink>
      <a:srgbClr val="CF7F00"/>
    </a:hlink>
    <a:folHlink>
      <a:srgbClr val="51195D"/>
    </a:folHlink>
  </a:clrScheme>
  <a:fontScheme name="Arial_Arial">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2.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3.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openxmlformats.org/officeDocument/2006/relationships/comments" Target="../comments4.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trlProp" Target="../ctrlProps/ctrlProp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9.xml"/><Relationship Id="rId1" Type="http://schemas.openxmlformats.org/officeDocument/2006/relationships/printerSettings" Target="../printerSettings/printerSettings20.bin"/><Relationship Id="rId4" Type="http://schemas.openxmlformats.org/officeDocument/2006/relationships/ctrlProp" Target="../ctrlProps/ctrlProp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42"/>
  <sheetViews>
    <sheetView topLeftCell="E1" workbookViewId="0">
      <selection activeCell="E28" sqref="E28"/>
    </sheetView>
  </sheetViews>
  <sheetFormatPr defaultRowHeight="11.25"/>
  <cols>
    <col min="1" max="1" width="1.7109375" style="3" customWidth="1"/>
    <col min="2" max="3" width="11.85546875" style="3" customWidth="1"/>
    <col min="4" max="4" width="28.28515625" style="3" customWidth="1"/>
    <col min="5" max="5" width="29" style="3" customWidth="1"/>
    <col min="6" max="6" width="80.28515625" style="3" bestFit="1" customWidth="1"/>
    <col min="7" max="16384" width="9.140625" style="3"/>
  </cols>
  <sheetData>
    <row r="1" spans="1:11">
      <c r="B1" s="66" t="s">
        <v>8</v>
      </c>
      <c r="C1" s="67"/>
      <c r="D1" s="67"/>
      <c r="E1" s="67"/>
      <c r="F1" s="67"/>
    </row>
    <row r="2" spans="1:11">
      <c r="B2" s="67"/>
      <c r="C2" s="67"/>
      <c r="D2" s="67"/>
      <c r="E2" s="67"/>
      <c r="F2" s="67"/>
    </row>
    <row r="3" spans="1:11">
      <c r="B3" s="68">
        <v>2</v>
      </c>
      <c r="C3" s="68">
        <f>B3+1</f>
        <v>3</v>
      </c>
      <c r="D3" s="68">
        <f>C3+1</f>
        <v>4</v>
      </c>
      <c r="E3" s="68">
        <f>D3+1</f>
        <v>5</v>
      </c>
      <c r="F3" s="68">
        <f>E3+1</f>
        <v>6</v>
      </c>
    </row>
    <row r="4" spans="1:11">
      <c r="B4" s="69" t="s">
        <v>9</v>
      </c>
      <c r="C4" s="69" t="s">
        <v>10</v>
      </c>
      <c r="D4" s="69" t="s">
        <v>11</v>
      </c>
      <c r="E4" s="70" t="s">
        <v>507</v>
      </c>
      <c r="F4" s="70" t="s">
        <v>508</v>
      </c>
    </row>
    <row r="5" spans="1:11">
      <c r="A5" s="4" t="s">
        <v>509</v>
      </c>
      <c r="B5" s="71">
        <v>1</v>
      </c>
      <c r="C5" s="71" t="s">
        <v>130</v>
      </c>
      <c r="D5" s="77" t="s">
        <v>34</v>
      </c>
      <c r="E5" s="72"/>
      <c r="F5" s="73" t="s">
        <v>320</v>
      </c>
      <c r="G5" s="3" t="s">
        <v>132</v>
      </c>
      <c r="K5" s="3" t="s">
        <v>132</v>
      </c>
    </row>
    <row r="6" spans="1:11">
      <c r="A6" s="4" t="s">
        <v>509</v>
      </c>
      <c r="B6" s="74">
        <f t="shared" ref="B6:B41" si="0">B5+1</f>
        <v>2</v>
      </c>
      <c r="C6" s="74" t="s">
        <v>130</v>
      </c>
      <c r="D6" s="74"/>
      <c r="E6" s="75"/>
      <c r="F6" s="76" t="s">
        <v>321</v>
      </c>
      <c r="G6" s="3" t="s">
        <v>132</v>
      </c>
    </row>
    <row r="7" spans="1:11">
      <c r="A7" s="4" t="s">
        <v>509</v>
      </c>
      <c r="B7" s="71">
        <f t="shared" si="0"/>
        <v>3</v>
      </c>
      <c r="C7" s="71" t="s">
        <v>130</v>
      </c>
      <c r="D7" s="71"/>
      <c r="E7" s="72"/>
      <c r="F7" s="73" t="s">
        <v>322</v>
      </c>
      <c r="G7" s="3" t="s">
        <v>132</v>
      </c>
    </row>
    <row r="8" spans="1:11" ht="10.5" customHeight="1">
      <c r="A8" s="4" t="s">
        <v>509</v>
      </c>
      <c r="B8" s="74">
        <f t="shared" si="0"/>
        <v>4</v>
      </c>
      <c r="C8" s="74" t="s">
        <v>130</v>
      </c>
      <c r="D8" s="74"/>
      <c r="E8" s="75"/>
      <c r="F8" s="76" t="s">
        <v>323</v>
      </c>
      <c r="G8" s="3" t="s">
        <v>132</v>
      </c>
    </row>
    <row r="9" spans="1:11">
      <c r="A9" s="4"/>
      <c r="B9" s="71">
        <f t="shared" si="0"/>
        <v>5</v>
      </c>
      <c r="C9" s="71" t="s">
        <v>129</v>
      </c>
      <c r="D9" s="77" t="s">
        <v>35</v>
      </c>
      <c r="E9" s="72"/>
      <c r="F9" s="73" t="s">
        <v>35</v>
      </c>
    </row>
    <row r="10" spans="1:11">
      <c r="A10" s="4" t="s">
        <v>509</v>
      </c>
      <c r="B10" s="74">
        <f t="shared" si="0"/>
        <v>6</v>
      </c>
      <c r="C10" s="74" t="s">
        <v>131</v>
      </c>
      <c r="D10" s="79" t="s">
        <v>35</v>
      </c>
      <c r="E10" s="75"/>
      <c r="F10" s="76" t="s">
        <v>35</v>
      </c>
      <c r="G10" s="3" t="s">
        <v>132</v>
      </c>
    </row>
    <row r="11" spans="1:11">
      <c r="A11" s="4" t="s">
        <v>509</v>
      </c>
      <c r="B11" s="71">
        <f t="shared" si="0"/>
        <v>7</v>
      </c>
      <c r="C11" s="71" t="s">
        <v>131</v>
      </c>
      <c r="D11" s="71"/>
      <c r="E11" s="72"/>
      <c r="F11" s="73" t="s">
        <v>335</v>
      </c>
      <c r="G11" s="3" t="s">
        <v>132</v>
      </c>
    </row>
    <row r="12" spans="1:11">
      <c r="A12" s="4" t="s">
        <v>509</v>
      </c>
      <c r="B12" s="74">
        <f t="shared" si="0"/>
        <v>8</v>
      </c>
      <c r="C12" s="74" t="s">
        <v>130</v>
      </c>
      <c r="D12" s="74"/>
      <c r="E12" s="75"/>
      <c r="F12" s="76" t="s">
        <v>324</v>
      </c>
      <c r="G12" s="3" t="s">
        <v>132</v>
      </c>
    </row>
    <row r="13" spans="1:11">
      <c r="A13" s="4" t="s">
        <v>509</v>
      </c>
      <c r="B13" s="71">
        <f t="shared" si="0"/>
        <v>9</v>
      </c>
      <c r="C13" s="71" t="s">
        <v>130</v>
      </c>
      <c r="D13" s="71"/>
      <c r="E13" s="72"/>
      <c r="F13" s="73" t="s">
        <v>325</v>
      </c>
      <c r="G13" s="3" t="s">
        <v>132</v>
      </c>
    </row>
    <row r="14" spans="1:11">
      <c r="A14" s="4" t="s">
        <v>509</v>
      </c>
      <c r="B14" s="74">
        <f t="shared" si="0"/>
        <v>10</v>
      </c>
      <c r="C14" s="74" t="s">
        <v>130</v>
      </c>
      <c r="D14" s="74"/>
      <c r="E14" s="75"/>
      <c r="F14" s="76" t="s">
        <v>326</v>
      </c>
      <c r="G14" s="3" t="s">
        <v>132</v>
      </c>
    </row>
    <row r="15" spans="1:11">
      <c r="A15" s="4"/>
      <c r="B15" s="71">
        <f t="shared" si="0"/>
        <v>11</v>
      </c>
      <c r="C15" s="71" t="s">
        <v>437</v>
      </c>
      <c r="D15" s="77" t="s">
        <v>36</v>
      </c>
      <c r="E15" s="72" t="s">
        <v>36</v>
      </c>
      <c r="F15" s="73" t="s">
        <v>36</v>
      </c>
    </row>
    <row r="16" spans="1:11">
      <c r="A16" s="4" t="s">
        <v>509</v>
      </c>
      <c r="B16" s="74">
        <f t="shared" si="0"/>
        <v>12</v>
      </c>
      <c r="C16" s="74" t="s">
        <v>130</v>
      </c>
      <c r="D16" s="74"/>
      <c r="E16" s="75"/>
      <c r="F16" s="76" t="s">
        <v>327</v>
      </c>
      <c r="G16" s="3" t="s">
        <v>132</v>
      </c>
    </row>
    <row r="17" spans="1:7">
      <c r="A17" s="4" t="s">
        <v>509</v>
      </c>
      <c r="B17" s="71">
        <f t="shared" si="0"/>
        <v>13</v>
      </c>
      <c r="C17" s="71" t="s">
        <v>130</v>
      </c>
      <c r="D17" s="82" t="s">
        <v>128</v>
      </c>
      <c r="E17" s="83" t="s">
        <v>128</v>
      </c>
      <c r="F17" s="84" t="s">
        <v>128</v>
      </c>
      <c r="G17" s="3" t="s">
        <v>781</v>
      </c>
    </row>
    <row r="18" spans="1:7" ht="11.25" customHeight="1">
      <c r="A18" s="4" t="s">
        <v>509</v>
      </c>
      <c r="B18" s="74">
        <f t="shared" si="0"/>
        <v>14</v>
      </c>
      <c r="C18" s="74" t="s">
        <v>130</v>
      </c>
      <c r="D18" s="79" t="s">
        <v>94</v>
      </c>
      <c r="E18" s="75" t="s">
        <v>94</v>
      </c>
      <c r="F18" s="80" t="s">
        <v>94</v>
      </c>
    </row>
    <row r="19" spans="1:7">
      <c r="A19" s="4" t="s">
        <v>509</v>
      </c>
      <c r="B19" s="71">
        <f t="shared" si="0"/>
        <v>15</v>
      </c>
      <c r="C19" s="71" t="s">
        <v>130</v>
      </c>
      <c r="D19" s="85" t="s">
        <v>38</v>
      </c>
      <c r="E19" s="86" t="s">
        <v>235</v>
      </c>
      <c r="F19" s="87" t="s">
        <v>235</v>
      </c>
    </row>
    <row r="20" spans="1:7">
      <c r="A20" s="4" t="s">
        <v>509</v>
      </c>
      <c r="B20" s="74">
        <f>B19+1</f>
        <v>16</v>
      </c>
      <c r="C20" s="74" t="s">
        <v>131</v>
      </c>
      <c r="D20" s="79" t="s">
        <v>38</v>
      </c>
      <c r="E20" s="75" t="s">
        <v>236</v>
      </c>
      <c r="F20" s="80" t="s">
        <v>236</v>
      </c>
    </row>
    <row r="21" spans="1:7">
      <c r="A21" s="4" t="s">
        <v>509</v>
      </c>
      <c r="B21" s="71">
        <f t="shared" si="0"/>
        <v>17</v>
      </c>
      <c r="C21" s="71" t="s">
        <v>131</v>
      </c>
      <c r="D21" s="77" t="s">
        <v>38</v>
      </c>
      <c r="E21" s="72" t="s">
        <v>237</v>
      </c>
      <c r="F21" s="78" t="s">
        <v>237</v>
      </c>
    </row>
    <row r="22" spans="1:7">
      <c r="A22" s="4" t="s">
        <v>509</v>
      </c>
      <c r="B22" s="74">
        <f t="shared" si="0"/>
        <v>18</v>
      </c>
      <c r="C22" s="74" t="s">
        <v>131</v>
      </c>
      <c r="D22" s="79" t="s">
        <v>38</v>
      </c>
      <c r="E22" s="75" t="s">
        <v>238</v>
      </c>
      <c r="F22" s="80" t="s">
        <v>238</v>
      </c>
    </row>
    <row r="23" spans="1:7">
      <c r="A23" s="4" t="s">
        <v>509</v>
      </c>
      <c r="B23" s="71">
        <f t="shared" si="0"/>
        <v>19</v>
      </c>
      <c r="C23" s="71" t="s">
        <v>131</v>
      </c>
      <c r="D23" s="77"/>
      <c r="E23" s="72"/>
      <c r="F23" s="73" t="s">
        <v>328</v>
      </c>
    </row>
    <row r="24" spans="1:7">
      <c r="A24" s="4"/>
      <c r="B24" s="74">
        <f t="shared" si="0"/>
        <v>20</v>
      </c>
      <c r="C24" s="74" t="s">
        <v>437</v>
      </c>
      <c r="D24" s="79" t="s">
        <v>44</v>
      </c>
      <c r="E24" s="79" t="s">
        <v>44</v>
      </c>
      <c r="F24" s="76" t="s">
        <v>44</v>
      </c>
    </row>
    <row r="25" spans="1:7">
      <c r="A25" s="4" t="s">
        <v>509</v>
      </c>
      <c r="B25" s="71">
        <f t="shared" si="0"/>
        <v>21</v>
      </c>
      <c r="C25" s="71" t="s">
        <v>131</v>
      </c>
      <c r="D25" s="77" t="s">
        <v>45</v>
      </c>
      <c r="E25" s="77" t="s">
        <v>45</v>
      </c>
      <c r="F25" s="73" t="s">
        <v>45</v>
      </c>
    </row>
    <row r="26" spans="1:7">
      <c r="A26" s="4" t="s">
        <v>509</v>
      </c>
      <c r="B26" s="74">
        <f t="shared" si="0"/>
        <v>22</v>
      </c>
      <c r="C26" s="74" t="s">
        <v>131</v>
      </c>
      <c r="D26" s="79"/>
      <c r="E26" s="75"/>
      <c r="F26" s="76" t="s">
        <v>329</v>
      </c>
    </row>
    <row r="27" spans="1:7">
      <c r="A27" s="4" t="s">
        <v>509</v>
      </c>
      <c r="B27" s="71">
        <f t="shared" si="0"/>
        <v>23</v>
      </c>
      <c r="C27" s="71" t="s">
        <v>131</v>
      </c>
      <c r="D27" s="77" t="s">
        <v>46</v>
      </c>
      <c r="E27" s="77" t="s">
        <v>46</v>
      </c>
      <c r="F27" s="73" t="s">
        <v>46</v>
      </c>
    </row>
    <row r="28" spans="1:7">
      <c r="A28" s="4" t="s">
        <v>509</v>
      </c>
      <c r="B28" s="74">
        <f t="shared" ref="B28:B36" si="1">B27+1</f>
        <v>24</v>
      </c>
      <c r="C28" s="74" t="s">
        <v>131</v>
      </c>
      <c r="D28" s="79" t="s">
        <v>42</v>
      </c>
      <c r="E28" s="75" t="s">
        <v>47</v>
      </c>
      <c r="F28" s="80" t="s">
        <v>47</v>
      </c>
    </row>
    <row r="29" spans="1:7">
      <c r="A29" s="4" t="s">
        <v>509</v>
      </c>
      <c r="B29" s="71">
        <f t="shared" si="1"/>
        <v>25</v>
      </c>
      <c r="C29" s="71" t="s">
        <v>131</v>
      </c>
      <c r="D29" s="77" t="s">
        <v>46</v>
      </c>
      <c r="E29" s="72" t="s">
        <v>455</v>
      </c>
      <c r="F29" s="78" t="s">
        <v>455</v>
      </c>
    </row>
    <row r="30" spans="1:7">
      <c r="A30" s="4" t="s">
        <v>509</v>
      </c>
      <c r="B30" s="74">
        <f t="shared" si="1"/>
        <v>26</v>
      </c>
      <c r="C30" s="74" t="s">
        <v>131</v>
      </c>
      <c r="D30" s="79" t="s">
        <v>42</v>
      </c>
      <c r="E30" s="75" t="s">
        <v>48</v>
      </c>
      <c r="F30" s="80" t="s">
        <v>48</v>
      </c>
    </row>
    <row r="31" spans="1:7">
      <c r="A31" s="4" t="s">
        <v>509</v>
      </c>
      <c r="B31" s="71">
        <f t="shared" si="1"/>
        <v>27</v>
      </c>
      <c r="C31" s="71" t="s">
        <v>131</v>
      </c>
      <c r="D31" s="77" t="s">
        <v>46</v>
      </c>
      <c r="E31" s="72" t="s">
        <v>456</v>
      </c>
      <c r="F31" s="78" t="s">
        <v>456</v>
      </c>
    </row>
    <row r="32" spans="1:7">
      <c r="A32" s="4" t="s">
        <v>509</v>
      </c>
      <c r="B32" s="74">
        <f t="shared" si="1"/>
        <v>28</v>
      </c>
      <c r="C32" s="74" t="s">
        <v>131</v>
      </c>
      <c r="D32" s="79" t="s">
        <v>42</v>
      </c>
      <c r="E32" s="75" t="s">
        <v>49</v>
      </c>
      <c r="F32" s="80" t="s">
        <v>49</v>
      </c>
    </row>
    <row r="33" spans="1:6">
      <c r="A33" s="4" t="s">
        <v>509</v>
      </c>
      <c r="B33" s="71">
        <f t="shared" si="1"/>
        <v>29</v>
      </c>
      <c r="C33" s="71" t="s">
        <v>131</v>
      </c>
      <c r="D33" s="77" t="s">
        <v>46</v>
      </c>
      <c r="E33" s="72" t="s">
        <v>457</v>
      </c>
      <c r="F33" s="78" t="s">
        <v>457</v>
      </c>
    </row>
    <row r="34" spans="1:6">
      <c r="A34" s="4" t="s">
        <v>509</v>
      </c>
      <c r="B34" s="74">
        <f t="shared" si="1"/>
        <v>30</v>
      </c>
      <c r="C34" s="74" t="s">
        <v>131</v>
      </c>
      <c r="D34" s="79" t="s">
        <v>42</v>
      </c>
      <c r="E34" s="75" t="s">
        <v>50</v>
      </c>
      <c r="F34" s="80" t="s">
        <v>50</v>
      </c>
    </row>
    <row r="35" spans="1:6">
      <c r="A35" s="4" t="s">
        <v>509</v>
      </c>
      <c r="B35" s="71">
        <f t="shared" si="1"/>
        <v>31</v>
      </c>
      <c r="C35" s="71" t="s">
        <v>131</v>
      </c>
      <c r="D35" s="77" t="s">
        <v>46</v>
      </c>
      <c r="E35" s="72" t="s">
        <v>458</v>
      </c>
      <c r="F35" s="78" t="s">
        <v>458</v>
      </c>
    </row>
    <row r="36" spans="1:6">
      <c r="A36" s="4" t="s">
        <v>509</v>
      </c>
      <c r="B36" s="74">
        <f t="shared" si="1"/>
        <v>32</v>
      </c>
      <c r="C36" s="74" t="s">
        <v>130</v>
      </c>
      <c r="D36" s="79"/>
      <c r="E36" s="75"/>
      <c r="F36" s="76" t="s">
        <v>330</v>
      </c>
    </row>
    <row r="37" spans="1:6">
      <c r="A37" s="4" t="s">
        <v>509</v>
      </c>
      <c r="B37" s="71">
        <f t="shared" si="0"/>
        <v>33</v>
      </c>
      <c r="C37" s="71" t="s">
        <v>130</v>
      </c>
      <c r="D37" s="77" t="s">
        <v>43</v>
      </c>
      <c r="E37" s="77" t="s">
        <v>43</v>
      </c>
      <c r="F37" s="73" t="s">
        <v>43</v>
      </c>
    </row>
    <row r="38" spans="1:6">
      <c r="A38" s="4" t="s">
        <v>509</v>
      </c>
      <c r="B38" s="74">
        <f t="shared" si="0"/>
        <v>34</v>
      </c>
      <c r="C38" s="74" t="s">
        <v>130</v>
      </c>
      <c r="D38" s="79"/>
      <c r="E38" s="75"/>
      <c r="F38" s="76" t="s">
        <v>331</v>
      </c>
    </row>
    <row r="39" spans="1:6">
      <c r="A39" s="4" t="s">
        <v>509</v>
      </c>
      <c r="B39" s="71">
        <f t="shared" si="0"/>
        <v>35</v>
      </c>
      <c r="C39" s="71" t="s">
        <v>130</v>
      </c>
      <c r="D39" s="77"/>
      <c r="E39" s="72"/>
      <c r="F39" s="73" t="s">
        <v>332</v>
      </c>
    </row>
    <row r="40" spans="1:6">
      <c r="A40" s="4"/>
      <c r="B40" s="74">
        <f t="shared" si="0"/>
        <v>36</v>
      </c>
      <c r="C40" s="74" t="s">
        <v>437</v>
      </c>
      <c r="D40" s="79"/>
      <c r="E40" s="75"/>
      <c r="F40" s="76" t="s">
        <v>333</v>
      </c>
    </row>
    <row r="41" spans="1:6">
      <c r="A41" s="4" t="s">
        <v>509</v>
      </c>
      <c r="B41" s="92">
        <f t="shared" si="0"/>
        <v>37</v>
      </c>
      <c r="C41" s="92" t="s">
        <v>130</v>
      </c>
      <c r="D41" s="93"/>
      <c r="E41" s="94"/>
      <c r="F41" s="95" t="s">
        <v>334</v>
      </c>
    </row>
    <row r="42" spans="1:6">
      <c r="A42" s="4"/>
      <c r="B42" s="97" t="s">
        <v>16</v>
      </c>
      <c r="C42" s="96"/>
      <c r="D42" s="97"/>
      <c r="E42" s="96"/>
      <c r="F42" s="96"/>
    </row>
  </sheetData>
  <dataConsolidate/>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546-3DB0-4291-8C64-65397C7F2AE7}">
  <sheetPr codeName="Sheet7"/>
  <dimension ref="A1:EI87"/>
  <sheetViews>
    <sheetView workbookViewId="0">
      <selection activeCell="J26" sqref="J26"/>
    </sheetView>
  </sheetViews>
  <sheetFormatPr defaultRowHeight="11.25"/>
  <cols>
    <col min="1" max="1" width="10.85546875" style="3" customWidth="1"/>
    <col min="2" max="2" width="10.5703125" style="3" customWidth="1"/>
    <col min="3" max="3" width="19.28515625" style="3" customWidth="1"/>
    <col min="4" max="4" width="10.42578125" style="3" bestFit="1" customWidth="1"/>
    <col min="5" max="5" width="12.28515625" style="3" customWidth="1"/>
    <col min="6" max="8" width="11.42578125" style="3" bestFit="1" customWidth="1"/>
    <col min="9" max="9" width="9.140625" style="3"/>
    <col min="10" max="10" width="11.7109375" style="3" customWidth="1"/>
    <col min="11" max="11" width="9.140625" style="3"/>
    <col min="12" max="12" width="21.85546875" style="3" customWidth="1"/>
    <col min="13" max="13" width="9.140625" style="3"/>
    <col min="14" max="14" width="11.5703125" style="3" customWidth="1"/>
    <col min="15" max="114" width="9.140625" style="3"/>
    <col min="115" max="115" width="28" style="3" customWidth="1"/>
    <col min="116" max="136" width="9.140625" style="3"/>
    <col min="137" max="137" width="9.140625" style="138"/>
    <col min="138" max="138" width="23.28515625" style="3" customWidth="1"/>
    <col min="139" max="139" width="18.5703125" style="3" customWidth="1"/>
    <col min="140" max="16384" width="9.140625" style="3"/>
  </cols>
  <sheetData>
    <row r="1" spans="1:139" s="4" customFormat="1">
      <c r="A1" s="4" t="s">
        <v>183</v>
      </c>
      <c r="B1" s="4" t="s">
        <v>171</v>
      </c>
      <c r="C1" s="4" t="s">
        <v>165</v>
      </c>
      <c r="D1" s="4" t="s">
        <v>345</v>
      </c>
      <c r="E1" s="4" t="s">
        <v>95</v>
      </c>
      <c r="F1" s="4" t="s">
        <v>182</v>
      </c>
      <c r="G1" s="4" t="s">
        <v>179</v>
      </c>
      <c r="H1" s="4" t="s">
        <v>190</v>
      </c>
      <c r="I1" s="4" t="s">
        <v>163</v>
      </c>
      <c r="J1" s="4" t="s">
        <v>96</v>
      </c>
      <c r="K1" s="4" t="s">
        <v>178</v>
      </c>
      <c r="L1" s="4" t="s">
        <v>172</v>
      </c>
      <c r="M1" s="4" t="s">
        <v>180</v>
      </c>
      <c r="N1" s="4" t="s">
        <v>134</v>
      </c>
      <c r="O1" s="4" t="s">
        <v>127</v>
      </c>
      <c r="P1" s="4" t="s">
        <v>162</v>
      </c>
      <c r="Q1" s="4" t="s">
        <v>168</v>
      </c>
      <c r="R1" s="4" t="s">
        <v>186</v>
      </c>
      <c r="S1" s="4" t="s">
        <v>169</v>
      </c>
      <c r="T1" s="4" t="s">
        <v>97</v>
      </c>
      <c r="U1" s="4" t="s">
        <v>161</v>
      </c>
      <c r="V1" s="4" t="s">
        <v>173</v>
      </c>
      <c r="W1" s="4" t="s">
        <v>98</v>
      </c>
      <c r="X1" s="4" t="s">
        <v>185</v>
      </c>
      <c r="Y1" s="4" t="s">
        <v>187</v>
      </c>
      <c r="Z1" s="4" t="s">
        <v>176</v>
      </c>
      <c r="AA1" s="4" t="s">
        <v>184</v>
      </c>
      <c r="AB1" s="4" t="s">
        <v>177</v>
      </c>
      <c r="AC1" s="4" t="s">
        <v>346</v>
      </c>
      <c r="AD1" s="4" t="s">
        <v>347</v>
      </c>
      <c r="AE1" s="4" t="s">
        <v>348</v>
      </c>
      <c r="AF1" s="4" t="s">
        <v>349</v>
      </c>
      <c r="AG1" s="4" t="s">
        <v>350</v>
      </c>
      <c r="AH1" s="4" t="s">
        <v>351</v>
      </c>
      <c r="AI1" s="4" t="s">
        <v>352</v>
      </c>
      <c r="AJ1" s="4" t="s">
        <v>353</v>
      </c>
      <c r="AK1" s="4" t="s">
        <v>354</v>
      </c>
      <c r="AL1" s="4" t="s">
        <v>355</v>
      </c>
      <c r="AM1" s="4" t="s">
        <v>356</v>
      </c>
      <c r="AN1" s="4" t="s">
        <v>357</v>
      </c>
      <c r="AO1" s="4" t="s">
        <v>358</v>
      </c>
      <c r="AP1" s="4" t="s">
        <v>359</v>
      </c>
      <c r="AQ1" s="4" t="s">
        <v>360</v>
      </c>
      <c r="AR1" s="4" t="s">
        <v>361</v>
      </c>
      <c r="AS1" s="4" t="s">
        <v>362</v>
      </c>
      <c r="AT1" s="4" t="s">
        <v>363</v>
      </c>
      <c r="AU1" s="4" t="s">
        <v>364</v>
      </c>
      <c r="AV1" s="4" t="s">
        <v>365</v>
      </c>
      <c r="AW1" s="4" t="s">
        <v>366</v>
      </c>
      <c r="AX1" s="4" t="s">
        <v>93</v>
      </c>
      <c r="AY1" s="4" t="s">
        <v>135</v>
      </c>
      <c r="AZ1" s="4" t="s">
        <v>136</v>
      </c>
      <c r="BA1" s="4" t="s">
        <v>37</v>
      </c>
      <c r="BB1" s="4" t="s">
        <v>100</v>
      </c>
      <c r="BC1" s="4" t="s">
        <v>101</v>
      </c>
      <c r="BD1" s="4" t="s">
        <v>367</v>
      </c>
      <c r="BE1" s="4" t="s">
        <v>102</v>
      </c>
      <c r="BF1" s="4" t="s">
        <v>103</v>
      </c>
      <c r="BG1" s="4" t="s">
        <v>104</v>
      </c>
      <c r="BH1" s="4" t="s">
        <v>105</v>
      </c>
      <c r="BI1" s="4" t="s">
        <v>106</v>
      </c>
      <c r="BJ1" s="4" t="s">
        <v>368</v>
      </c>
      <c r="BK1" s="4" t="s">
        <v>369</v>
      </c>
      <c r="BL1" s="4" t="s">
        <v>370</v>
      </c>
      <c r="BM1" s="4" t="s">
        <v>371</v>
      </c>
      <c r="BN1" s="4" t="s">
        <v>372</v>
      </c>
      <c r="BO1" s="4" t="s">
        <v>373</v>
      </c>
      <c r="BP1" s="4" t="s">
        <v>374</v>
      </c>
      <c r="BQ1" s="4" t="s">
        <v>375</v>
      </c>
      <c r="BR1" s="4" t="s">
        <v>376</v>
      </c>
      <c r="BS1" s="4" t="s">
        <v>377</v>
      </c>
      <c r="BT1" s="4" t="s">
        <v>378</v>
      </c>
      <c r="BU1" s="4" t="s">
        <v>379</v>
      </c>
      <c r="BV1" s="4" t="s">
        <v>380</v>
      </c>
      <c r="BW1" s="4" t="s">
        <v>381</v>
      </c>
      <c r="BX1" s="4" t="s">
        <v>382</v>
      </c>
      <c r="BY1" s="4" t="s">
        <v>112</v>
      </c>
      <c r="BZ1" s="4" t="s">
        <v>113</v>
      </c>
      <c r="CA1" s="4" t="s">
        <v>114</v>
      </c>
      <c r="CB1" s="4" t="s">
        <v>383</v>
      </c>
      <c r="CC1" s="4" t="s">
        <v>384</v>
      </c>
      <c r="CD1" s="4" t="s">
        <v>385</v>
      </c>
      <c r="CE1" s="4" t="s">
        <v>386</v>
      </c>
      <c r="CF1" s="4" t="s">
        <v>387</v>
      </c>
      <c r="CG1" s="4" t="s">
        <v>388</v>
      </c>
      <c r="CH1" s="4" t="s">
        <v>389</v>
      </c>
      <c r="CI1" s="4" t="s">
        <v>390</v>
      </c>
      <c r="CJ1" s="4" t="s">
        <v>391</v>
      </c>
      <c r="CK1" s="4" t="s">
        <v>392</v>
      </c>
      <c r="CL1" s="4" t="s">
        <v>393</v>
      </c>
      <c r="CM1" s="4" t="s">
        <v>394</v>
      </c>
      <c r="CN1" s="4" t="s">
        <v>395</v>
      </c>
      <c r="CO1" s="4" t="s">
        <v>396</v>
      </c>
      <c r="CP1" s="4" t="s">
        <v>397</v>
      </c>
      <c r="CQ1" s="4" t="s">
        <v>398</v>
      </c>
      <c r="CR1" s="4" t="s">
        <v>399</v>
      </c>
      <c r="CS1" s="4" t="s">
        <v>400</v>
      </c>
      <c r="CT1" s="4" t="s">
        <v>401</v>
      </c>
      <c r="CU1" s="4" t="s">
        <v>402</v>
      </c>
      <c r="CV1" s="4" t="s">
        <v>403</v>
      </c>
      <c r="CW1" s="4" t="s">
        <v>404</v>
      </c>
      <c r="CX1" s="4" t="s">
        <v>405</v>
      </c>
      <c r="CY1" s="4" t="s">
        <v>406</v>
      </c>
      <c r="CZ1" s="4" t="s">
        <v>407</v>
      </c>
      <c r="DA1" s="4" t="s">
        <v>408</v>
      </c>
      <c r="DB1" s="4" t="s">
        <v>409</v>
      </c>
      <c r="DC1" s="4" t="s">
        <v>410</v>
      </c>
      <c r="DD1" s="4" t="s">
        <v>411</v>
      </c>
      <c r="DE1" s="4" t="s">
        <v>412</v>
      </c>
      <c r="DF1" s="4" t="s">
        <v>413</v>
      </c>
      <c r="DG1" s="4" t="s">
        <v>414</v>
      </c>
      <c r="DH1" s="4" t="s">
        <v>166</v>
      </c>
      <c r="DI1" s="4" t="s">
        <v>167</v>
      </c>
      <c r="DJ1" s="4" t="s">
        <v>188</v>
      </c>
      <c r="DK1" s="4" t="s">
        <v>189</v>
      </c>
      <c r="DL1" s="4" t="s">
        <v>170</v>
      </c>
      <c r="DM1" s="4" t="s">
        <v>415</v>
      </c>
      <c r="DN1" s="4" t="s">
        <v>198</v>
      </c>
      <c r="DO1" s="4" t="s">
        <v>197</v>
      </c>
      <c r="DP1" s="4" t="s">
        <v>140</v>
      </c>
      <c r="DQ1" s="4" t="s">
        <v>141</v>
      </c>
      <c r="DR1" s="4" t="s">
        <v>142</v>
      </c>
      <c r="DS1" s="4" t="s">
        <v>195</v>
      </c>
      <c r="DT1" s="4" t="s">
        <v>194</v>
      </c>
      <c r="DU1" s="4" t="s">
        <v>193</v>
      </c>
      <c r="DV1" s="4" t="s">
        <v>199</v>
      </c>
      <c r="DW1" s="4" t="s">
        <v>191</v>
      </c>
      <c r="DX1" s="4" t="s">
        <v>192</v>
      </c>
      <c r="DY1" s="4" t="s">
        <v>196</v>
      </c>
      <c r="DZ1" s="4" t="s">
        <v>200</v>
      </c>
      <c r="EA1" s="4" t="s">
        <v>175</v>
      </c>
      <c r="EB1" s="4" t="s">
        <v>181</v>
      </c>
      <c r="EC1" s="4" t="s">
        <v>92</v>
      </c>
      <c r="ED1" s="4" t="s">
        <v>251</v>
      </c>
      <c r="EE1" s="4" t="s">
        <v>496</v>
      </c>
      <c r="EF1" s="4" t="s">
        <v>497</v>
      </c>
      <c r="EG1" s="153" t="s">
        <v>694</v>
      </c>
      <c r="EH1" s="4" t="s">
        <v>717</v>
      </c>
      <c r="EI1" s="4" t="s">
        <v>718</v>
      </c>
    </row>
    <row r="2" spans="1:139" s="25" customFormat="1">
      <c r="A2" s="25">
        <v>0</v>
      </c>
      <c r="B2" s="25">
        <v>0</v>
      </c>
      <c r="C2" s="25" t="s">
        <v>670</v>
      </c>
      <c r="D2" s="25">
        <v>32492011</v>
      </c>
      <c r="E2" s="25">
        <v>20</v>
      </c>
      <c r="F2" s="25">
        <v>2011</v>
      </c>
      <c r="G2" s="25">
        <v>0</v>
      </c>
      <c r="H2" s="25">
        <v>0</v>
      </c>
      <c r="I2" s="25">
        <v>0</v>
      </c>
      <c r="J2" s="25">
        <v>8679.2289049999999</v>
      </c>
      <c r="K2" s="25">
        <v>0</v>
      </c>
      <c r="L2" s="25">
        <v>0</v>
      </c>
      <c r="M2" s="25">
        <v>0.152128055784988</v>
      </c>
      <c r="N2" s="25">
        <v>90000</v>
      </c>
      <c r="O2" s="25">
        <v>96435.876722222194</v>
      </c>
      <c r="P2" s="25">
        <v>1356.1549371633801</v>
      </c>
      <c r="Q2" s="25">
        <v>4711.5122082585303</v>
      </c>
      <c r="R2" s="25">
        <v>10036.514721723501</v>
      </c>
      <c r="S2" s="25">
        <v>3810.64434470377</v>
      </c>
      <c r="T2" s="25">
        <v>6854.1488330341099</v>
      </c>
      <c r="U2" s="25">
        <v>743.65062836624804</v>
      </c>
      <c r="V2" s="25">
        <v>1733.36983842011</v>
      </c>
      <c r="W2" s="25">
        <v>2103.1640933572698</v>
      </c>
      <c r="X2" s="25">
        <v>8452.0222621184894</v>
      </c>
      <c r="Y2" s="25">
        <v>1519.30556552962</v>
      </c>
      <c r="Z2" s="25">
        <v>0</v>
      </c>
      <c r="AA2" s="25">
        <v>0</v>
      </c>
      <c r="AB2" s="25">
        <v>-382.80610412926399</v>
      </c>
      <c r="AC2" s="25">
        <v>8.9759033741551725E-2</v>
      </c>
      <c r="AD2" s="25">
        <v>0.35588599052762143</v>
      </c>
      <c r="AE2" s="25">
        <v>0.13512209913148984</v>
      </c>
      <c r="AF2" s="25">
        <v>0.15625292891884848</v>
      </c>
      <c r="AG2" s="25">
        <v>1.2364082769379496</v>
      </c>
      <c r="AH2" s="25">
        <v>0.4694370843755864</v>
      </c>
      <c r="AI2" s="25">
        <v>2.5081487431893952</v>
      </c>
      <c r="AJ2" s="25">
        <v>0.7815324917366262</v>
      </c>
      <c r="AK2" s="25">
        <v>0.29673073296972208</v>
      </c>
      <c r="AL2" s="25">
        <v>0.3679009544710059</v>
      </c>
      <c r="AM2" s="25">
        <v>0.2</v>
      </c>
      <c r="AN2" s="25">
        <v>0.46666666666666667</v>
      </c>
      <c r="AO2" s="25">
        <v>0.73333333333333328</v>
      </c>
      <c r="AP2" s="25">
        <v>0.66666666666666663</v>
      </c>
      <c r="AQ2" s="25">
        <v>0.2</v>
      </c>
      <c r="AR2" s="25">
        <v>0.33333333333333331</v>
      </c>
      <c r="AS2" s="25">
        <v>0.26666666666666672</v>
      </c>
      <c r="AT2" s="25">
        <v>0.33333333333333331</v>
      </c>
      <c r="AU2" s="25">
        <v>0.46666666666666667</v>
      </c>
      <c r="AV2" s="25">
        <v>0.8</v>
      </c>
      <c r="AW2" s="25">
        <v>0.44666666666666666</v>
      </c>
      <c r="AX2" s="25">
        <v>31.273801201085</v>
      </c>
      <c r="AY2" s="25">
        <v>92.306135515191784</v>
      </c>
      <c r="AZ2" s="25">
        <v>111.99857382372998</v>
      </c>
      <c r="BA2" s="25">
        <v>11.581362892546807</v>
      </c>
      <c r="BB2" s="25">
        <v>0.118697139144068</v>
      </c>
      <c r="BC2" s="25">
        <v>0.118697139144068</v>
      </c>
      <c r="BD2" s="25">
        <v>0.73333333333333328</v>
      </c>
      <c r="BE2" s="25">
        <v>1825.08007181329</v>
      </c>
      <c r="BF2" s="25">
        <v>1067.3119999999999</v>
      </c>
      <c r="BG2" s="25">
        <v>4484.9679999999998</v>
      </c>
      <c r="BH2" s="25">
        <v>0</v>
      </c>
      <c r="BI2" s="25">
        <v>12276.888999999999</v>
      </c>
      <c r="BJ2" s="25">
        <v>0.1063428918895381</v>
      </c>
      <c r="BK2" s="25">
        <v>0.70249989483053188</v>
      </c>
      <c r="BL2" s="25">
        <v>0.21028136160366542</v>
      </c>
      <c r="BM2" s="25">
        <v>0.12297313640214447</v>
      </c>
      <c r="BN2" s="25">
        <v>0</v>
      </c>
      <c r="BO2" s="25">
        <v>0.51674728816246152</v>
      </c>
      <c r="BP2" s="25">
        <v>0.44686508457886537</v>
      </c>
      <c r="BQ2" s="25">
        <v>0.66666666666666663</v>
      </c>
      <c r="BR2" s="25">
        <v>0.73333333333333328</v>
      </c>
      <c r="BS2" s="25">
        <v>0.66666666666666663</v>
      </c>
      <c r="BT2" s="25">
        <v>0.8</v>
      </c>
      <c r="BU2" s="25">
        <v>1</v>
      </c>
      <c r="BV2" s="25">
        <v>0.8666666666666667</v>
      </c>
      <c r="BW2" s="25">
        <v>0.73333333333333328</v>
      </c>
      <c r="BX2" s="25">
        <v>0.78095238095238084</v>
      </c>
      <c r="BY2" s="25">
        <v>1516.9860000000001</v>
      </c>
      <c r="BZ2" s="25">
        <v>0</v>
      </c>
      <c r="CA2" s="25">
        <v>0.17478349938738022</v>
      </c>
      <c r="CB2" s="25">
        <v>373.85637342908831</v>
      </c>
      <c r="CC2" s="25">
        <v>23.215409771919386</v>
      </c>
      <c r="CD2" s="25">
        <v>3.9542333558090315</v>
      </c>
      <c r="CE2" s="25">
        <v>0.70695669766176106</v>
      </c>
      <c r="CF2" s="25">
        <v>0.86476522434767833</v>
      </c>
      <c r="CG2" s="25">
        <v>5.712628915417997</v>
      </c>
      <c r="CH2" s="25">
        <v>0.19971472781660782</v>
      </c>
      <c r="CI2" s="25">
        <v>11.671110833413401</v>
      </c>
      <c r="CJ2" s="25">
        <v>0.34313444229161283</v>
      </c>
      <c r="CK2" s="25">
        <v>1.8421323178971487</v>
      </c>
      <c r="CL2" s="25">
        <v>6.6666666666666666E-2</v>
      </c>
      <c r="CM2" s="25">
        <v>0.8</v>
      </c>
      <c r="CN2" s="25">
        <v>0.66666666666666663</v>
      </c>
      <c r="CO2" s="25">
        <v>0.4</v>
      </c>
      <c r="CP2" s="25">
        <v>0.53333333333333333</v>
      </c>
      <c r="CQ2" s="25">
        <v>0.93333333333333335</v>
      </c>
      <c r="CR2" s="25">
        <v>0.13333333333333333</v>
      </c>
      <c r="CS2" s="25">
        <v>0.73333333333333328</v>
      </c>
      <c r="CT2" s="25">
        <v>0.4</v>
      </c>
      <c r="CU2" s="25">
        <v>0.51851851851851849</v>
      </c>
      <c r="CV2" s="25">
        <v>5.5630825384175893</v>
      </c>
      <c r="CW2" s="25">
        <v>0.84212722209479129</v>
      </c>
      <c r="CX2" s="25">
        <v>6.6059882550517983</v>
      </c>
      <c r="CY2" s="25">
        <v>1.2312190725450949</v>
      </c>
      <c r="CZ2" s="25">
        <v>-3.8141338377225768E-2</v>
      </c>
      <c r="DA2" s="25">
        <v>0.33333333333333337</v>
      </c>
      <c r="DB2" s="25">
        <v>0.33333333333333337</v>
      </c>
      <c r="DC2" s="25">
        <v>0.26666666666666672</v>
      </c>
      <c r="DD2" s="25">
        <v>0.26666666666666666</v>
      </c>
      <c r="DE2" s="25">
        <v>0.93333333333333335</v>
      </c>
      <c r="DF2" s="25">
        <v>0.42666666666666675</v>
      </c>
      <c r="DG2" s="25">
        <v>0.54320105820105824</v>
      </c>
      <c r="DH2" s="25">
        <v>0</v>
      </c>
      <c r="DI2" s="25">
        <v>0</v>
      </c>
      <c r="DJ2" s="25">
        <v>0</v>
      </c>
      <c r="DK2" s="154">
        <v>44833.691041666665</v>
      </c>
      <c r="DL2" s="25">
        <v>2021</v>
      </c>
      <c r="DM2" s="25">
        <v>32492011</v>
      </c>
      <c r="DN2" s="25">
        <v>23.778709328767125</v>
      </c>
      <c r="DO2" s="25">
        <v>18.778489953518108</v>
      </c>
      <c r="DP2" s="25">
        <v>26.938795591028924</v>
      </c>
      <c r="DQ2" s="25">
        <v>100.34916705811902</v>
      </c>
      <c r="DR2" s="25">
        <v>50.949169629512816</v>
      </c>
      <c r="DS2" s="25">
        <v>103.08083834009823</v>
      </c>
      <c r="DT2" s="25">
        <v>0</v>
      </c>
      <c r="DU2" s="25">
        <v>776.62136839221364</v>
      </c>
      <c r="DV2" s="25">
        <v>879.70220673231188</v>
      </c>
      <c r="DW2" s="25">
        <v>0.7203760644542867</v>
      </c>
      <c r="DX2" s="25">
        <v>6225.8703770197308</v>
      </c>
      <c r="DY2" s="25">
        <v>2.5762317630227285</v>
      </c>
      <c r="DZ2" s="25">
        <v>0.1920669779090137</v>
      </c>
      <c r="EA2" s="25" t="b">
        <v>0</v>
      </c>
      <c r="EB2" s="25" t="s">
        <v>670</v>
      </c>
      <c r="EC2" s="25">
        <v>3.7108411766950899E-2</v>
      </c>
      <c r="ED2" s="25">
        <v>0.51674728816246152</v>
      </c>
      <c r="EE2" s="25" t="s">
        <v>663</v>
      </c>
      <c r="EF2" s="25" t="s">
        <v>502</v>
      </c>
      <c r="EG2" s="137" t="s">
        <v>695</v>
      </c>
      <c r="EH2" s="25" t="s">
        <v>696</v>
      </c>
      <c r="EI2" s="25" t="s">
        <v>696</v>
      </c>
    </row>
    <row r="3" spans="1:139">
      <c r="A3" s="7">
        <v>0</v>
      </c>
      <c r="B3" s="7">
        <v>0</v>
      </c>
      <c r="C3" s="7" t="s">
        <v>661</v>
      </c>
      <c r="D3" s="7">
        <v>32542000</v>
      </c>
      <c r="E3" s="7">
        <v>20</v>
      </c>
      <c r="F3" s="7">
        <v>2000</v>
      </c>
      <c r="G3" s="7">
        <v>0</v>
      </c>
      <c r="H3" s="7">
        <v>0</v>
      </c>
      <c r="I3" s="7">
        <v>0</v>
      </c>
      <c r="J3" s="7">
        <v>8691</v>
      </c>
      <c r="K3" s="7">
        <v>0</v>
      </c>
      <c r="L3" s="7">
        <v>0</v>
      </c>
      <c r="M3" s="7">
        <v>0.18053158439765274</v>
      </c>
      <c r="N3" s="7">
        <v>19000</v>
      </c>
      <c r="O3" s="7">
        <v>457421.05263157893</v>
      </c>
      <c r="P3" s="7">
        <v>859</v>
      </c>
      <c r="Q3" s="7">
        <v>2385</v>
      </c>
      <c r="R3" s="7">
        <v>12372</v>
      </c>
      <c r="S3" s="7">
        <v>3075</v>
      </c>
      <c r="T3" s="7">
        <v>5692</v>
      </c>
      <c r="U3" s="7">
        <v>575</v>
      </c>
      <c r="V3" s="7">
        <v>871</v>
      </c>
      <c r="W3" s="7">
        <v>1049</v>
      </c>
      <c r="X3" s="7">
        <v>9803</v>
      </c>
      <c r="Y3" s="7">
        <v>2563</v>
      </c>
      <c r="Z3" s="7">
        <v>0</v>
      </c>
      <c r="AA3" s="7">
        <v>0</v>
      </c>
      <c r="AB3" s="7">
        <v>3190</v>
      </c>
      <c r="AC3" s="7">
        <v>-5.5771096023278371E-2</v>
      </c>
      <c r="AD3" s="7">
        <v>0.27934959349593497</v>
      </c>
      <c r="AE3" s="7">
        <v>6.9430973165211768E-2</v>
      </c>
      <c r="AF3" s="7">
        <v>9.8837878264871712E-2</v>
      </c>
      <c r="AG3" s="7">
        <v>0.775609756097561</v>
      </c>
      <c r="AH3" s="7">
        <v>0.19277400581959264</v>
      </c>
      <c r="AI3" s="7">
        <v>1.1997658993367148</v>
      </c>
      <c r="AJ3" s="7">
        <v>0.49235772357723578</v>
      </c>
      <c r="AK3" s="7">
        <v>0.12237310054962819</v>
      </c>
      <c r="AL3" s="7">
        <v>0.36519916142557651</v>
      </c>
      <c r="AM3" s="7">
        <v>0.8666666666666667</v>
      </c>
      <c r="AN3" s="7">
        <v>0.2</v>
      </c>
      <c r="AO3" s="7">
        <v>0.13333333333333333</v>
      </c>
      <c r="AP3" s="7">
        <v>6.6666666666666666E-2</v>
      </c>
      <c r="AQ3" s="7">
        <v>0.8666666666666667</v>
      </c>
      <c r="AR3" s="7">
        <v>0.73333333333333328</v>
      </c>
      <c r="AS3" s="7">
        <v>0.73333333333333339</v>
      </c>
      <c r="AT3" s="7">
        <v>0.8666666666666667</v>
      </c>
      <c r="AU3" s="7">
        <v>0.73333333333333328</v>
      </c>
      <c r="AV3" s="7">
        <v>0.4</v>
      </c>
      <c r="AW3" s="7">
        <v>0.56000000000000005</v>
      </c>
      <c r="AX3" s="7">
        <v>24.148544471292102</v>
      </c>
      <c r="AY3" s="7">
        <v>55.852951510892481</v>
      </c>
      <c r="AZ3" s="7">
        <v>67.26721714687281</v>
      </c>
      <c r="BA3" s="7">
        <v>12.73427883531177</v>
      </c>
      <c r="BB3" s="7">
        <v>0.28477735588539871</v>
      </c>
      <c r="BC3" s="7">
        <v>0.28477735588539871</v>
      </c>
      <c r="BD3" s="7">
        <v>0</v>
      </c>
      <c r="BE3" s="7">
        <v>2999</v>
      </c>
      <c r="BF3" s="7">
        <v>1628</v>
      </c>
      <c r="BG3" s="7">
        <v>2147</v>
      </c>
      <c r="BH3" s="7">
        <v>0</v>
      </c>
      <c r="BI3" s="7">
        <v>2368</v>
      </c>
      <c r="BJ3" s="7">
        <v>0.13158745554477852</v>
      </c>
      <c r="BK3" s="7">
        <v>0.63519313304721026</v>
      </c>
      <c r="BL3" s="7">
        <v>0.34506961224254978</v>
      </c>
      <c r="BM3" s="7">
        <v>0.18732021631572893</v>
      </c>
      <c r="BN3" s="7">
        <v>0</v>
      </c>
      <c r="BO3" s="7">
        <v>0.24703716488321251</v>
      </c>
      <c r="BP3" s="7">
        <v>0.17353701907533139</v>
      </c>
      <c r="BQ3" s="7">
        <v>6.6666666666666666E-2</v>
      </c>
      <c r="BR3" s="7">
        <v>6.6666666666666666E-2</v>
      </c>
      <c r="BS3" s="7">
        <v>0.26666666666666666</v>
      </c>
      <c r="BT3" s="7">
        <v>0</v>
      </c>
      <c r="BU3" s="7">
        <v>1</v>
      </c>
      <c r="BV3" s="7">
        <v>0</v>
      </c>
      <c r="BW3" s="7">
        <v>6.6666666666666666E-2</v>
      </c>
      <c r="BX3" s="7">
        <v>0.2095238095238095</v>
      </c>
      <c r="BY3" s="7">
        <v>-690</v>
      </c>
      <c r="BZ3" s="7">
        <v>0</v>
      </c>
      <c r="CA3" s="7">
        <v>-7.9392474974111144E-2</v>
      </c>
      <c r="CB3" s="7">
        <v>397</v>
      </c>
      <c r="CC3" s="7">
        <v>21.89168765743073</v>
      </c>
      <c r="CD3" s="7">
        <v>6.5350172215843854</v>
      </c>
      <c r="CE3" s="7">
        <v>3.670185810810811</v>
      </c>
      <c r="CF3" s="7">
        <v>0.70247332686711927</v>
      </c>
      <c r="CG3" s="7">
        <v>3.3909481076863051</v>
      </c>
      <c r="CH3" s="7">
        <v>0.10021861696007364</v>
      </c>
      <c r="CI3" s="7">
        <v>15.114782608695652</v>
      </c>
      <c r="CJ3" s="7">
        <v>0.17420319871131054</v>
      </c>
      <c r="CK3" s="7">
        <v>3.6440251572327043</v>
      </c>
      <c r="CL3" s="7">
        <v>0.26666666666666666</v>
      </c>
      <c r="CM3" s="7">
        <v>0.46666666666666667</v>
      </c>
      <c r="CN3" s="7">
        <v>0.8</v>
      </c>
      <c r="CO3" s="7">
        <v>0.8666666666666667</v>
      </c>
      <c r="CP3" s="7">
        <v>0.33333333333333331</v>
      </c>
      <c r="CQ3" s="7">
        <v>0.26666666666666672</v>
      </c>
      <c r="CR3" s="7">
        <v>0.4</v>
      </c>
      <c r="CS3" s="7">
        <v>0.53333333333333333</v>
      </c>
      <c r="CT3" s="7">
        <v>0.53333333333333333</v>
      </c>
      <c r="CU3" s="7">
        <v>0.49629629629629629</v>
      </c>
      <c r="CV3" s="7">
        <v>3.8248146703082324</v>
      </c>
      <c r="CW3" s="7">
        <v>0.79235370190753318</v>
      </c>
      <c r="CX3" s="7">
        <v>4.8271556769410848</v>
      </c>
      <c r="CY3" s="7">
        <v>0.19149280284651463</v>
      </c>
      <c r="CZ3" s="7">
        <v>0.25784028451341739</v>
      </c>
      <c r="DA3" s="7">
        <v>0.93333333333333335</v>
      </c>
      <c r="DB3" s="7">
        <v>0.93333333333333335</v>
      </c>
      <c r="DC3" s="7">
        <v>0.93333333333333335</v>
      </c>
      <c r="DD3" s="7">
        <v>0.53333333333333333</v>
      </c>
      <c r="DE3" s="7">
        <v>0.66666666666666663</v>
      </c>
      <c r="DF3" s="7">
        <v>0.79999999999999993</v>
      </c>
      <c r="DG3" s="7">
        <v>0.51645502645502639</v>
      </c>
      <c r="DH3" s="7">
        <v>0</v>
      </c>
      <c r="DI3" s="7">
        <v>0</v>
      </c>
      <c r="DJ3" s="7">
        <v>0</v>
      </c>
      <c r="DK3" s="155">
        <v>44833.691041666665</v>
      </c>
      <c r="DL3" s="7">
        <v>2020</v>
      </c>
      <c r="DM3" s="7">
        <v>32542000</v>
      </c>
      <c r="DN3" s="7">
        <v>23.81095890410959</v>
      </c>
      <c r="DO3" s="7">
        <v>15.594520547945205</v>
      </c>
      <c r="DP3" s="7">
        <v>26.938795591028924</v>
      </c>
      <c r="DQ3" s="7">
        <v>100.34916705811902</v>
      </c>
      <c r="DR3" s="7">
        <v>50.949169629512816</v>
      </c>
      <c r="DS3" s="7">
        <v>0</v>
      </c>
      <c r="DT3" s="7">
        <v>515.89714765702308</v>
      </c>
      <c r="DU3" s="7">
        <v>76.472127311816578</v>
      </c>
      <c r="DV3" s="7">
        <v>592.3692749688397</v>
      </c>
      <c r="DW3" s="7">
        <v>0.2309347101215446</v>
      </c>
      <c r="DX3" s="7">
        <v>9297</v>
      </c>
      <c r="DY3" s="7">
        <v>0.30027972027972027</v>
      </c>
      <c r="DZ3" s="7">
        <v>0.23742255509773136</v>
      </c>
      <c r="EA3" s="7" t="b">
        <v>1</v>
      </c>
      <c r="EB3" s="7" t="s">
        <v>661</v>
      </c>
      <c r="EC3" s="7">
        <v>0.1418963520377603</v>
      </c>
      <c r="ED3" s="7">
        <v>0.24703716488321251</v>
      </c>
      <c r="EE3" s="7" t="s">
        <v>663</v>
      </c>
      <c r="EF3" s="7" t="s">
        <v>499</v>
      </c>
      <c r="EG3" s="137" t="s">
        <v>697</v>
      </c>
      <c r="EH3" s="3" t="s">
        <v>498</v>
      </c>
      <c r="EI3" s="3" t="s">
        <v>498</v>
      </c>
    </row>
    <row r="4" spans="1:139" s="25" customFormat="1">
      <c r="A4" s="25">
        <v>0</v>
      </c>
      <c r="B4" s="25">
        <v>0</v>
      </c>
      <c r="C4" s="25" t="s">
        <v>662</v>
      </c>
      <c r="D4" s="25">
        <v>32642000</v>
      </c>
      <c r="E4" s="25">
        <v>20</v>
      </c>
      <c r="F4" s="25">
        <v>2000</v>
      </c>
      <c r="G4" s="25">
        <v>0</v>
      </c>
      <c r="H4" s="25">
        <v>0</v>
      </c>
      <c r="I4" s="25">
        <v>0</v>
      </c>
      <c r="J4" s="25">
        <v>11054.4</v>
      </c>
      <c r="K4" s="25">
        <v>0</v>
      </c>
      <c r="L4" s="25">
        <v>0</v>
      </c>
      <c r="M4" s="25">
        <v>0.14677413518598931</v>
      </c>
      <c r="N4" s="25">
        <v>18000</v>
      </c>
      <c r="O4" s="25">
        <v>614133.33333333337</v>
      </c>
      <c r="P4" s="25">
        <v>553.29999999999995</v>
      </c>
      <c r="Q4" s="25">
        <v>2885.9</v>
      </c>
      <c r="R4" s="25">
        <v>22304</v>
      </c>
      <c r="S4" s="25">
        <v>3287.4</v>
      </c>
      <c r="T4" s="25">
        <v>7984.8</v>
      </c>
      <c r="U4" s="25">
        <v>860.8</v>
      </c>
      <c r="V4" s="25">
        <v>1376.6</v>
      </c>
      <c r="W4" s="25">
        <v>1525.6</v>
      </c>
      <c r="X4" s="25">
        <v>14353.3</v>
      </c>
      <c r="Y4" s="25">
        <v>7876.1</v>
      </c>
      <c r="Z4" s="25">
        <v>0</v>
      </c>
      <c r="AA4" s="25">
        <v>0</v>
      </c>
      <c r="AB4" s="25">
        <v>5471.2</v>
      </c>
      <c r="AC4" s="25">
        <v>-1.8001255380200861E-2</v>
      </c>
      <c r="AD4" s="25">
        <v>0.16830930218409684</v>
      </c>
      <c r="AE4" s="25">
        <v>2.4807209469153511E-2</v>
      </c>
      <c r="AF4" s="25">
        <v>5.0052467795628885E-2</v>
      </c>
      <c r="AG4" s="25">
        <v>0.87786700736144063</v>
      </c>
      <c r="AH4" s="25">
        <v>0.12938934720229556</v>
      </c>
      <c r="AI4" s="25">
        <v>0.41738931704777743</v>
      </c>
      <c r="AJ4" s="25">
        <v>0.45911662712173756</v>
      </c>
      <c r="AK4" s="25">
        <v>6.7669476327116215E-2</v>
      </c>
      <c r="AL4" s="25">
        <v>0.47700890536747631</v>
      </c>
      <c r="AM4" s="25">
        <v>0.93333333333333335</v>
      </c>
      <c r="AN4" s="25">
        <v>0.93333333333333335</v>
      </c>
      <c r="AO4" s="25">
        <v>0.53333333333333333</v>
      </c>
      <c r="AP4" s="25">
        <v>0.53333333333333333</v>
      </c>
      <c r="AQ4" s="25">
        <v>0.93333333333333335</v>
      </c>
      <c r="AR4" s="25">
        <v>0.66666666666666663</v>
      </c>
      <c r="AS4" s="25">
        <v>0.8</v>
      </c>
      <c r="AT4" s="25">
        <v>0.93333333333333335</v>
      </c>
      <c r="AU4" s="25">
        <v>0.66666666666666663</v>
      </c>
      <c r="AV4" s="25">
        <v>0.19999999999999996</v>
      </c>
      <c r="AW4" s="25">
        <v>0.71333333333333337</v>
      </c>
      <c r="AX4" s="25">
        <v>28.4223476624692</v>
      </c>
      <c r="AY4" s="25">
        <v>62.926936178739595</v>
      </c>
      <c r="AZ4" s="25">
        <v>69.73800220418795</v>
      </c>
      <c r="BA4" s="25">
        <v>21.611281637020852</v>
      </c>
      <c r="BB4" s="25">
        <v>0.17345129541178175</v>
      </c>
      <c r="BC4" s="25">
        <v>0.17345129541178175</v>
      </c>
      <c r="BD4" s="25">
        <v>0.26666666666666666</v>
      </c>
      <c r="BE4" s="25">
        <v>3069.6</v>
      </c>
      <c r="BF4" s="25">
        <v>840.1</v>
      </c>
      <c r="BG4" s="25">
        <v>1528.5</v>
      </c>
      <c r="BH4" s="25">
        <v>0</v>
      </c>
      <c r="BI4" s="25">
        <v>2389.6</v>
      </c>
      <c r="BJ4" s="25">
        <v>3.7665889526542325E-2</v>
      </c>
      <c r="BK4" s="25">
        <v>0.10666446591587207</v>
      </c>
      <c r="BL4" s="25">
        <v>0.27768128528006947</v>
      </c>
      <c r="BM4" s="25">
        <v>7.5996888116948907E-2</v>
      </c>
      <c r="BN4" s="25">
        <v>0</v>
      </c>
      <c r="BO4" s="25">
        <v>0.13827073382544508</v>
      </c>
      <c r="BP4" s="25">
        <v>6.8530308464849352E-2</v>
      </c>
      <c r="BQ4" s="25">
        <v>0.73333333333333328</v>
      </c>
      <c r="BR4" s="25">
        <v>0.46666666666666667</v>
      </c>
      <c r="BS4" s="25">
        <v>0.13333333333333333</v>
      </c>
      <c r="BT4" s="25">
        <v>0.46666666666666667</v>
      </c>
      <c r="BU4" s="25">
        <v>1</v>
      </c>
      <c r="BV4" s="25">
        <v>0.26666666666666666</v>
      </c>
      <c r="BW4" s="25">
        <v>0.66666666666666663</v>
      </c>
      <c r="BX4" s="25">
        <v>0.53333333333333333</v>
      </c>
      <c r="BY4" s="25">
        <v>-401.5</v>
      </c>
      <c r="BZ4" s="25">
        <v>0</v>
      </c>
      <c r="CA4" s="25">
        <v>-3.6320379215515994E-2</v>
      </c>
      <c r="CB4" s="25">
        <v>711.79999999999973</v>
      </c>
      <c r="CC4" s="25">
        <v>15.530205113796015</v>
      </c>
      <c r="CD4" s="25">
        <v>5.8003777422635485</v>
      </c>
      <c r="CE4" s="25">
        <v>4.6260462002008707</v>
      </c>
      <c r="CF4" s="25">
        <v>0.49562410329985651</v>
      </c>
      <c r="CG4" s="25">
        <v>1.4035372836810096</v>
      </c>
      <c r="CH4" s="25">
        <v>0.12452959907367202</v>
      </c>
      <c r="CI4" s="25">
        <v>12.842007434944238</v>
      </c>
      <c r="CJ4" s="25">
        <v>0.13653386886669563</v>
      </c>
      <c r="CK4" s="25">
        <v>3.830486156831491</v>
      </c>
      <c r="CL4" s="25">
        <v>0.33333333333333331</v>
      </c>
      <c r="CM4" s="25">
        <v>0.73333333333333328</v>
      </c>
      <c r="CN4" s="25">
        <v>1</v>
      </c>
      <c r="CO4" s="25">
        <v>0.8</v>
      </c>
      <c r="CP4" s="25">
        <v>0.46666666666666667</v>
      </c>
      <c r="CQ4" s="25">
        <v>0.33333333333333337</v>
      </c>
      <c r="CR4" s="25">
        <v>0.46666666666666667</v>
      </c>
      <c r="CS4" s="25">
        <v>0.33333333333333331</v>
      </c>
      <c r="CT4" s="25">
        <v>0.66666666666666663</v>
      </c>
      <c r="CU4" s="25">
        <v>0.57037037037037031</v>
      </c>
      <c r="CV4" s="25">
        <v>1.8223867142367414</v>
      </c>
      <c r="CW4" s="25">
        <v>0.64353030846484938</v>
      </c>
      <c r="CX4" s="25">
        <v>2.831858407079646</v>
      </c>
      <c r="CY4" s="25">
        <v>0.10749727837908354</v>
      </c>
      <c r="CZ4" s="25">
        <v>0.2453012912482066</v>
      </c>
      <c r="DA4" s="25">
        <v>0.8666666666666667</v>
      </c>
      <c r="DB4" s="25">
        <v>0.8666666666666667</v>
      </c>
      <c r="DC4" s="25">
        <v>0.8666666666666667</v>
      </c>
      <c r="DD4" s="25">
        <v>0.4</v>
      </c>
      <c r="DE4" s="25">
        <v>1</v>
      </c>
      <c r="DF4" s="25">
        <v>0.8</v>
      </c>
      <c r="DG4" s="25">
        <v>0.65425925925925932</v>
      </c>
      <c r="DH4" s="25">
        <v>0</v>
      </c>
      <c r="DI4" s="25">
        <v>0</v>
      </c>
      <c r="DJ4" s="25">
        <v>0</v>
      </c>
      <c r="DK4" s="154">
        <v>44833.691041666665</v>
      </c>
      <c r="DL4" s="25">
        <v>2020</v>
      </c>
      <c r="DM4" s="25">
        <v>32642000</v>
      </c>
      <c r="DN4" s="25">
        <v>30.286027397260273</v>
      </c>
      <c r="DO4" s="25">
        <v>21.876164383561644</v>
      </c>
      <c r="DP4" s="25">
        <v>26.938795591028924</v>
      </c>
      <c r="DQ4" s="25">
        <v>100.34916705811902</v>
      </c>
      <c r="DR4" s="25">
        <v>50.949169629512816</v>
      </c>
      <c r="DS4" s="25">
        <v>44.930898680902416</v>
      </c>
      <c r="DT4" s="25">
        <v>669.65487431690087</v>
      </c>
      <c r="DU4" s="25">
        <v>262.02758997881091</v>
      </c>
      <c r="DV4" s="25">
        <v>976.6133629766141</v>
      </c>
      <c r="DW4" s="25">
        <v>8.0377144179295992E-2</v>
      </c>
      <c r="DX4" s="25">
        <v>19016.599999999999</v>
      </c>
      <c r="DY4" s="25">
        <v>8.7402290700533514E-2</v>
      </c>
      <c r="DZ4" s="25">
        <v>0.25953052430949086</v>
      </c>
      <c r="EA4" s="25" t="b">
        <v>0</v>
      </c>
      <c r="EB4" s="25" t="s">
        <v>662</v>
      </c>
      <c r="EC4" s="25">
        <v>0.12197142638872416</v>
      </c>
      <c r="ED4" s="25">
        <v>0.13827073382544508</v>
      </c>
      <c r="EE4" s="25" t="s">
        <v>663</v>
      </c>
      <c r="EF4" s="25" t="s">
        <v>499</v>
      </c>
      <c r="EG4" s="137" t="s">
        <v>697</v>
      </c>
      <c r="EH4" s="25" t="s">
        <v>698</v>
      </c>
      <c r="EI4" s="25" t="s">
        <v>698</v>
      </c>
    </row>
    <row r="5" spans="1:139">
      <c r="A5" s="7">
        <v>0</v>
      </c>
      <c r="B5" s="7">
        <v>0</v>
      </c>
      <c r="C5" s="7" t="s">
        <v>699</v>
      </c>
      <c r="D5" s="7">
        <v>48312000</v>
      </c>
      <c r="E5" s="7">
        <v>20</v>
      </c>
      <c r="F5" s="7">
        <v>2000</v>
      </c>
      <c r="G5" s="7">
        <v>0</v>
      </c>
      <c r="H5" s="7">
        <v>0</v>
      </c>
      <c r="I5" s="7">
        <v>0</v>
      </c>
      <c r="J5" s="7">
        <v>28377.324270000001</v>
      </c>
      <c r="K5" s="7">
        <v>0</v>
      </c>
      <c r="L5" s="7">
        <v>0</v>
      </c>
      <c r="M5" s="7">
        <v>0.32261636413967654</v>
      </c>
      <c r="N5" s="7">
        <v>102449</v>
      </c>
      <c r="O5" s="7">
        <v>276989.76339446945</v>
      </c>
      <c r="P5" s="7">
        <v>0</v>
      </c>
      <c r="Q5" s="7">
        <v>0</v>
      </c>
      <c r="R5" s="7">
        <v>0</v>
      </c>
      <c r="S5" s="7">
        <v>0</v>
      </c>
      <c r="T5" s="7">
        <v>8331.2870399999993</v>
      </c>
      <c r="U5" s="7">
        <v>1872.96849</v>
      </c>
      <c r="V5" s="7">
        <v>811.35783000000004</v>
      </c>
      <c r="W5" s="7">
        <v>1277.0749800000001</v>
      </c>
      <c r="X5" s="7">
        <v>0</v>
      </c>
      <c r="Y5" s="7">
        <v>0</v>
      </c>
      <c r="Z5" s="7">
        <v>0</v>
      </c>
      <c r="AA5" s="7">
        <v>0</v>
      </c>
      <c r="AB5" s="7">
        <v>0</v>
      </c>
      <c r="AC5" s="7" t="e">
        <v>#N/A</v>
      </c>
      <c r="AD5" s="7" t="e">
        <v>#N/A</v>
      </c>
      <c r="AE5" s="7" t="e">
        <v>#N/A</v>
      </c>
      <c r="AF5" s="7">
        <v>0</v>
      </c>
      <c r="AG5" s="7" t="e">
        <v>#N/A</v>
      </c>
      <c r="AH5" s="7" t="e">
        <v>#N/A</v>
      </c>
      <c r="AI5" s="7" t="e">
        <v>#N/A</v>
      </c>
      <c r="AJ5" s="7" t="e">
        <v>#N/A</v>
      </c>
      <c r="AK5" s="7" t="e">
        <v>#N/A</v>
      </c>
      <c r="AL5" s="7" t="e">
        <v>#N/A</v>
      </c>
      <c r="AM5" s="7">
        <v>0.33333333333333331</v>
      </c>
      <c r="AN5" s="7">
        <v>0.6</v>
      </c>
      <c r="AO5" s="7">
        <v>0.66666666666666663</v>
      </c>
      <c r="AP5" s="7">
        <v>0.8</v>
      </c>
      <c r="AQ5" s="7">
        <v>0.26666666666666666</v>
      </c>
      <c r="AR5" s="7">
        <v>0.26666666666666666</v>
      </c>
      <c r="AS5" s="7">
        <v>0.53333333333333333</v>
      </c>
      <c r="AT5" s="7">
        <v>0.46666666666666667</v>
      </c>
      <c r="AU5" s="7">
        <v>0.4</v>
      </c>
      <c r="AV5" s="7">
        <v>0.8666666666666667</v>
      </c>
      <c r="AW5" s="7">
        <v>0.52000000000000013</v>
      </c>
      <c r="AX5" s="7">
        <v>41.931624945624236</v>
      </c>
      <c r="AY5" s="7">
        <v>35.54620150862069</v>
      </c>
      <c r="AZ5" s="7">
        <v>55.949622844827594</v>
      </c>
      <c r="BA5" s="7">
        <v>21.528203609417339</v>
      </c>
      <c r="BB5" s="7">
        <v>0.18400759283426268</v>
      </c>
      <c r="BC5" s="7">
        <v>0.18400759283426268</v>
      </c>
      <c r="BD5" s="7">
        <v>0.8666666666666667</v>
      </c>
      <c r="BE5" s="7">
        <v>13925.50389</v>
      </c>
      <c r="BF5" s="7">
        <v>0</v>
      </c>
      <c r="BG5" s="7">
        <v>0</v>
      </c>
      <c r="BH5" s="7">
        <v>0</v>
      </c>
      <c r="BI5" s="7">
        <v>0</v>
      </c>
      <c r="BJ5" s="7" t="e">
        <v>#N/A</v>
      </c>
      <c r="BK5" s="7" t="e">
        <v>#N/A</v>
      </c>
      <c r="BL5" s="7">
        <v>0.49072646023648514</v>
      </c>
      <c r="BM5" s="7">
        <v>0</v>
      </c>
      <c r="BN5" s="7">
        <v>0</v>
      </c>
      <c r="BO5" s="7">
        <v>0</v>
      </c>
      <c r="BP5" s="7" t="e">
        <v>#N/A</v>
      </c>
      <c r="BQ5" s="7">
        <v>0.6</v>
      </c>
      <c r="BR5" s="7">
        <v>0.4</v>
      </c>
      <c r="BS5" s="7">
        <v>0.8</v>
      </c>
      <c r="BT5" s="7">
        <v>0.93333333333333335</v>
      </c>
      <c r="BU5" s="7">
        <v>1</v>
      </c>
      <c r="BV5" s="7">
        <v>0.46666666666666667</v>
      </c>
      <c r="BW5" s="7">
        <v>0.2</v>
      </c>
      <c r="BX5" s="7">
        <v>0.62857142857142867</v>
      </c>
      <c r="BY5" s="7">
        <v>0</v>
      </c>
      <c r="BZ5" s="7">
        <v>0</v>
      </c>
      <c r="CA5" s="7">
        <v>0</v>
      </c>
      <c r="CB5" s="7">
        <v>1407.25134</v>
      </c>
      <c r="CC5" s="7">
        <v>20.165071770334929</v>
      </c>
      <c r="CD5" s="7">
        <v>10.26832641770401</v>
      </c>
      <c r="CE5" s="7" t="e">
        <v>#N/A</v>
      </c>
      <c r="CF5" s="7" t="e">
        <v>#N/A</v>
      </c>
      <c r="CG5" s="7" t="e">
        <v>#N/A</v>
      </c>
      <c r="CH5" s="7">
        <v>2.8591766520346423E-2</v>
      </c>
      <c r="CI5" s="7">
        <v>15.150988615937688</v>
      </c>
      <c r="CJ5" s="7">
        <v>-2.8591766520346423E-2</v>
      </c>
      <c r="CK5" s="7" t="e">
        <v>#N/A</v>
      </c>
      <c r="CL5" s="7">
        <v>0.13333333333333333</v>
      </c>
      <c r="CM5" s="7">
        <v>0.53333333333333333</v>
      </c>
      <c r="CN5" s="7">
        <v>0.2</v>
      </c>
      <c r="CO5" s="7">
        <v>0.13333333333333333</v>
      </c>
      <c r="CP5" s="7">
        <v>0.2</v>
      </c>
      <c r="CQ5" s="7">
        <v>0.8</v>
      </c>
      <c r="CR5" s="7">
        <v>0</v>
      </c>
      <c r="CS5" s="7">
        <v>0.8666666666666667</v>
      </c>
      <c r="CT5" s="7">
        <v>0.2</v>
      </c>
      <c r="CU5" s="7">
        <v>0.34074074074074079</v>
      </c>
      <c r="CV5" s="7" t="e">
        <v>#N/A</v>
      </c>
      <c r="CW5" s="7" t="e">
        <v>#N/A</v>
      </c>
      <c r="CX5" s="7" t="e">
        <v>#N/A</v>
      </c>
      <c r="CY5" s="7" t="e">
        <v>#N/A</v>
      </c>
      <c r="CZ5" s="7" t="e">
        <v>#N/A</v>
      </c>
      <c r="DA5" s="7">
        <v>0.6</v>
      </c>
      <c r="DB5" s="7">
        <v>0.6</v>
      </c>
      <c r="DC5" s="7">
        <v>0.6</v>
      </c>
      <c r="DD5" s="7">
        <v>0.46666666666666667</v>
      </c>
      <c r="DE5" s="7">
        <v>0.73333333333333328</v>
      </c>
      <c r="DF5" s="7">
        <v>0.6</v>
      </c>
      <c r="DG5" s="7">
        <v>0.52232804232804242</v>
      </c>
      <c r="DH5" s="7">
        <v>0</v>
      </c>
      <c r="DI5" s="7">
        <v>0</v>
      </c>
      <c r="DJ5" s="7">
        <v>0</v>
      </c>
      <c r="DK5" s="155">
        <v>44833.691041666665</v>
      </c>
      <c r="DL5" s="7">
        <v>2019</v>
      </c>
      <c r="DM5" s="7">
        <v>48312000</v>
      </c>
      <c r="DN5" s="7">
        <v>77.746093890410961</v>
      </c>
      <c r="DO5" s="7">
        <v>22.825443945205478</v>
      </c>
      <c r="DP5" s="7">
        <v>26.938795591028924</v>
      </c>
      <c r="DQ5" s="7">
        <v>100.34916705811902</v>
      </c>
      <c r="DR5" s="7">
        <v>50.949169629512816</v>
      </c>
      <c r="DS5" s="7">
        <v>1165.6339186852767</v>
      </c>
      <c r="DT5" s="7">
        <v>1013.4393076331557</v>
      </c>
      <c r="DU5" s="7">
        <v>0</v>
      </c>
      <c r="DV5" s="7">
        <v>2179.0732263184327</v>
      </c>
      <c r="DW5" s="7" t="e">
        <v>#N/A</v>
      </c>
      <c r="DX5" s="7">
        <v>0</v>
      </c>
      <c r="DY5" s="7">
        <v>-999</v>
      </c>
      <c r="DZ5" s="7">
        <v>0.55007636472437982</v>
      </c>
      <c r="EA5" s="7" t="b">
        <v>0</v>
      </c>
      <c r="EB5" s="7" t="s">
        <v>699</v>
      </c>
      <c r="EC5" s="7">
        <v>4.840038394050894E-2</v>
      </c>
      <c r="ED5" s="7">
        <v>0</v>
      </c>
      <c r="EE5" s="7" t="s">
        <v>663</v>
      </c>
      <c r="EF5" s="7" t="s">
        <v>499</v>
      </c>
      <c r="EG5" s="137" t="s">
        <v>697</v>
      </c>
      <c r="EH5" s="3" t="s">
        <v>700</v>
      </c>
      <c r="EI5" s="3" t="s">
        <v>700</v>
      </c>
    </row>
    <row r="6" spans="1:139" s="25" customFormat="1">
      <c r="A6" s="25">
        <v>0</v>
      </c>
      <c r="B6" s="25">
        <v>0</v>
      </c>
      <c r="C6" s="25" t="s">
        <v>664</v>
      </c>
      <c r="D6" s="25">
        <v>32762040</v>
      </c>
      <c r="E6" s="25">
        <v>20</v>
      </c>
      <c r="F6" s="25">
        <v>2040</v>
      </c>
      <c r="G6" s="25">
        <v>0</v>
      </c>
      <c r="H6" s="25">
        <v>0</v>
      </c>
      <c r="I6" s="25">
        <v>0</v>
      </c>
      <c r="J6" s="25">
        <v>17626.599999999999</v>
      </c>
      <c r="K6" s="25">
        <v>0</v>
      </c>
      <c r="L6" s="25">
        <v>0</v>
      </c>
      <c r="M6" s="25">
        <v>0.17879795309361987</v>
      </c>
      <c r="N6" s="25">
        <v>40000</v>
      </c>
      <c r="O6" s="25">
        <v>440665</v>
      </c>
      <c r="P6" s="25">
        <v>1677.8</v>
      </c>
      <c r="Q6" s="25">
        <v>5121.3</v>
      </c>
      <c r="R6" s="25">
        <v>30806.7</v>
      </c>
      <c r="S6" s="25">
        <v>7491.5</v>
      </c>
      <c r="T6" s="25">
        <v>11496.7</v>
      </c>
      <c r="U6" s="25">
        <v>1615.1</v>
      </c>
      <c r="V6" s="25">
        <v>1426.3</v>
      </c>
      <c r="W6" s="25">
        <v>3247.7</v>
      </c>
      <c r="X6" s="25">
        <v>21912.6</v>
      </c>
      <c r="Y6" s="25">
        <v>8058.5</v>
      </c>
      <c r="Z6" s="25">
        <v>0</v>
      </c>
      <c r="AA6" s="25">
        <v>0</v>
      </c>
      <c r="AB6" s="25">
        <v>15982.1</v>
      </c>
      <c r="AC6" s="25">
        <v>-7.6937808983110811E-2</v>
      </c>
      <c r="AD6" s="25">
        <v>0.22396048855369419</v>
      </c>
      <c r="AE6" s="25">
        <v>5.4462178681910098E-2</v>
      </c>
      <c r="AF6" s="25">
        <v>9.5185685271124323E-2</v>
      </c>
      <c r="AG6" s="25">
        <v>0.68361476339851834</v>
      </c>
      <c r="AH6" s="25">
        <v>0.16623981146958292</v>
      </c>
      <c r="AI6" s="25">
        <v>0.9296395110752621</v>
      </c>
      <c r="AJ6" s="25">
        <v>0.49322565574317562</v>
      </c>
      <c r="AK6" s="25">
        <v>0.11994144130984494</v>
      </c>
      <c r="AL6" s="25">
        <v>0.27850350496944132</v>
      </c>
      <c r="AM6" s="25">
        <v>1</v>
      </c>
      <c r="AN6" s="25">
        <v>1</v>
      </c>
      <c r="AO6" s="25">
        <v>1</v>
      </c>
      <c r="AP6" s="25">
        <v>1</v>
      </c>
      <c r="AQ6" s="25">
        <v>1</v>
      </c>
      <c r="AR6" s="25">
        <v>1</v>
      </c>
      <c r="AS6" s="25">
        <v>0</v>
      </c>
      <c r="AT6" s="25">
        <v>1</v>
      </c>
      <c r="AU6" s="25">
        <v>1</v>
      </c>
      <c r="AV6" s="25">
        <v>0.93333333333333335</v>
      </c>
      <c r="AW6" s="25">
        <v>0.89333333333333331</v>
      </c>
      <c r="AX6" s="25">
        <v>33.444424903271198</v>
      </c>
      <c r="AY6" s="25">
        <v>45.282515852375028</v>
      </c>
      <c r="AZ6" s="25">
        <v>103.10876164464584</v>
      </c>
      <c r="BA6" s="25">
        <v>-24.381820888999613</v>
      </c>
      <c r="BB6" s="25">
        <v>0.21120919519362782</v>
      </c>
      <c r="BC6" s="25">
        <v>0.21120919519362782</v>
      </c>
      <c r="BD6" s="25">
        <v>0.66666666666666663</v>
      </c>
      <c r="BE6" s="25">
        <v>6129.9</v>
      </c>
      <c r="BF6" s="25">
        <v>2181.1999999999998</v>
      </c>
      <c r="BG6" s="25">
        <v>3128.2</v>
      </c>
      <c r="BH6" s="25">
        <v>0</v>
      </c>
      <c r="BI6" s="25">
        <v>3580.6</v>
      </c>
      <c r="BJ6" s="25">
        <v>7.0802779914758793E-2</v>
      </c>
      <c r="BK6" s="25">
        <v>0.2706707203573866</v>
      </c>
      <c r="BL6" s="25">
        <v>0.34776417459975267</v>
      </c>
      <c r="BM6" s="25">
        <v>0.12374479479877004</v>
      </c>
      <c r="BN6" s="25">
        <v>0</v>
      </c>
      <c r="BO6" s="25">
        <v>0.17747041403333599</v>
      </c>
      <c r="BP6" s="25">
        <v>0.10154284619904111</v>
      </c>
      <c r="BQ6" s="25">
        <v>0.8</v>
      </c>
      <c r="BR6" s="25">
        <v>1</v>
      </c>
      <c r="BS6" s="25">
        <v>0.33333333333333331</v>
      </c>
      <c r="BT6" s="25">
        <v>0.53333333333333333</v>
      </c>
      <c r="BU6" s="25">
        <v>1</v>
      </c>
      <c r="BV6" s="25">
        <v>0.6</v>
      </c>
      <c r="BW6" s="25">
        <v>0.8</v>
      </c>
      <c r="BX6" s="25">
        <v>0.72380952380952379</v>
      </c>
      <c r="BY6" s="25">
        <v>-2370.1999999999998</v>
      </c>
      <c r="BZ6" s="25">
        <v>0</v>
      </c>
      <c r="CA6" s="25">
        <v>-0.13446722567029376</v>
      </c>
      <c r="CB6" s="25">
        <v>-206.30000000000018</v>
      </c>
      <c r="CC6" s="25">
        <v>-85.44158991759565</v>
      </c>
      <c r="CD6" s="25">
        <v>8.060506204865737</v>
      </c>
      <c r="CE6" s="25">
        <v>4.9228062335921354</v>
      </c>
      <c r="CF6" s="25">
        <v>0.5721677427312889</v>
      </c>
      <c r="CG6" s="25">
        <v>2.1873301482906244</v>
      </c>
      <c r="CH6" s="25">
        <v>8.0917476994996199E-2</v>
      </c>
      <c r="CI6" s="25">
        <v>10.91362763915547</v>
      </c>
      <c r="CJ6" s="25">
        <v>0.20962636016021241</v>
      </c>
      <c r="CK6" s="25">
        <v>3.4418214125319739</v>
      </c>
      <c r="CL6" s="25">
        <v>0.2</v>
      </c>
      <c r="CM6" s="25">
        <v>0.33333333333333331</v>
      </c>
      <c r="CN6" s="25">
        <v>0.13333333333333333</v>
      </c>
      <c r="CO6" s="25">
        <v>0.6</v>
      </c>
      <c r="CP6" s="25">
        <v>1</v>
      </c>
      <c r="CQ6" s="25">
        <v>0.1333333333333333</v>
      </c>
      <c r="CR6" s="25">
        <v>0.2</v>
      </c>
      <c r="CS6" s="25">
        <v>1</v>
      </c>
      <c r="CT6" s="25">
        <v>6.6666666666666666E-2</v>
      </c>
      <c r="CU6" s="25">
        <v>0.40740740740740744</v>
      </c>
      <c r="CV6" s="25">
        <v>2.7191909164236518</v>
      </c>
      <c r="CW6" s="25">
        <v>0.71129332255645683</v>
      </c>
      <c r="CX6" s="25">
        <v>3.8228826704721723</v>
      </c>
      <c r="CY6" s="25">
        <v>0.11946842124580012</v>
      </c>
      <c r="CZ6" s="25">
        <v>0.51878649774237418</v>
      </c>
      <c r="DA6" s="25">
        <v>0</v>
      </c>
      <c r="DB6" s="25">
        <v>0</v>
      </c>
      <c r="DC6" s="25">
        <v>0</v>
      </c>
      <c r="DD6" s="25">
        <v>0.93333333333333335</v>
      </c>
      <c r="DE6" s="25">
        <v>0.4</v>
      </c>
      <c r="DF6" s="25">
        <v>0.26666666666666672</v>
      </c>
      <c r="DG6" s="25">
        <v>0.57280423280423276</v>
      </c>
      <c r="DH6" s="25">
        <v>0</v>
      </c>
      <c r="DI6" s="25">
        <v>0</v>
      </c>
      <c r="DJ6" s="25">
        <v>0</v>
      </c>
      <c r="DK6" s="154">
        <v>44833.691041666665</v>
      </c>
      <c r="DL6" s="25">
        <v>2020</v>
      </c>
      <c r="DM6" s="25">
        <v>32762040</v>
      </c>
      <c r="DN6" s="25">
        <v>48.292054794520546</v>
      </c>
      <c r="DO6" s="25">
        <v>31.497808219178083</v>
      </c>
      <c r="DP6" s="25">
        <v>26.938795591028924</v>
      </c>
      <c r="DQ6" s="25">
        <v>100.34916705811902</v>
      </c>
      <c r="DR6" s="25">
        <v>50.949169629512816</v>
      </c>
      <c r="DS6" s="25">
        <v>314.17020721964292</v>
      </c>
      <c r="DT6" s="25">
        <v>0</v>
      </c>
      <c r="DU6" s="25">
        <v>0</v>
      </c>
      <c r="DV6" s="25">
        <v>314.17020721964292</v>
      </c>
      <c r="DW6" s="25">
        <v>0.13416998353005763</v>
      </c>
      <c r="DX6" s="25">
        <v>23315.200000000001</v>
      </c>
      <c r="DY6" s="25">
        <v>0.15496111358795264</v>
      </c>
      <c r="DZ6" s="25">
        <v>4.9954716449037692E-2</v>
      </c>
      <c r="EA6" s="25" t="b">
        <v>0</v>
      </c>
      <c r="EB6" s="25" t="s">
        <v>664</v>
      </c>
      <c r="EC6" s="25">
        <v>4.111257829635373E-2</v>
      </c>
      <c r="ED6" s="25">
        <v>0.17747041403333599</v>
      </c>
      <c r="EE6" s="25" t="s">
        <v>663</v>
      </c>
      <c r="EF6" s="25" t="s">
        <v>500</v>
      </c>
      <c r="EG6" s="137" t="s">
        <v>697</v>
      </c>
      <c r="EH6" s="25" t="s">
        <v>701</v>
      </c>
      <c r="EI6" s="25" t="s">
        <v>701</v>
      </c>
    </row>
    <row r="7" spans="1:139">
      <c r="A7" s="7">
        <v>0</v>
      </c>
      <c r="B7" s="7">
        <v>0</v>
      </c>
      <c r="C7" s="7" t="s">
        <v>665</v>
      </c>
      <c r="D7" s="7">
        <v>32772000</v>
      </c>
      <c r="E7" s="7">
        <v>20</v>
      </c>
      <c r="F7" s="7">
        <v>2000</v>
      </c>
      <c r="G7" s="7">
        <v>0</v>
      </c>
      <c r="H7" s="7">
        <v>0</v>
      </c>
      <c r="I7" s="7">
        <v>0</v>
      </c>
      <c r="J7" s="7">
        <v>2053.9029999999998</v>
      </c>
      <c r="K7" s="7">
        <v>0</v>
      </c>
      <c r="L7" s="7">
        <v>0</v>
      </c>
      <c r="M7" s="7">
        <v>0.15793150893688748</v>
      </c>
      <c r="N7" s="7">
        <v>5441</v>
      </c>
      <c r="O7" s="7">
        <v>377486.30766403233</v>
      </c>
      <c r="P7" s="7">
        <v>37.771000000000001</v>
      </c>
      <c r="Q7" s="7">
        <v>560.93399999999997</v>
      </c>
      <c r="R7" s="7">
        <v>2188.4520000000002</v>
      </c>
      <c r="S7" s="7">
        <v>300.27699999999999</v>
      </c>
      <c r="T7" s="7">
        <v>1588.133</v>
      </c>
      <c r="U7" s="7">
        <v>170.96899999999999</v>
      </c>
      <c r="V7" s="7">
        <v>248.17</v>
      </c>
      <c r="W7" s="7">
        <v>171.00899999999999</v>
      </c>
      <c r="X7" s="7">
        <v>744.89800000000002</v>
      </c>
      <c r="Y7" s="7">
        <v>1443.5540000000001</v>
      </c>
      <c r="Z7" s="7">
        <v>0</v>
      </c>
      <c r="AA7" s="7">
        <v>0</v>
      </c>
      <c r="AB7" s="7">
        <v>614.17100000000005</v>
      </c>
      <c r="AC7" s="7">
        <v>0.11910565093499878</v>
      </c>
      <c r="AD7" s="7">
        <v>0.12578718982805875</v>
      </c>
      <c r="AE7" s="7">
        <v>1.7259231639533332E-2</v>
      </c>
      <c r="AF7" s="7">
        <v>1.8389865538927595E-2</v>
      </c>
      <c r="AG7" s="7">
        <v>1.8680551624000505</v>
      </c>
      <c r="AH7" s="7">
        <v>0.25631542295650073</v>
      </c>
      <c r="AI7" s="7">
        <v>0.20801230851080041</v>
      </c>
      <c r="AJ7" s="7">
        <v>1.041584936575229</v>
      </c>
      <c r="AK7" s="7">
        <v>0.14291563168851773</v>
      </c>
      <c r="AL7" s="7">
        <v>0.44242281623149959</v>
      </c>
      <c r="AM7" s="7">
        <v>0.66666666666666663</v>
      </c>
      <c r="AN7" s="7">
        <v>0.73333333333333328</v>
      </c>
      <c r="AO7" s="7">
        <v>0.93333333333333335</v>
      </c>
      <c r="AP7" s="7">
        <v>0.93333333333333335</v>
      </c>
      <c r="AQ7" s="7">
        <v>0.6</v>
      </c>
      <c r="AR7" s="7">
        <v>0.93333333333333335</v>
      </c>
      <c r="AS7" s="7">
        <v>6.6666666666666652E-2</v>
      </c>
      <c r="AT7" s="7">
        <v>0.73333333333333328</v>
      </c>
      <c r="AU7" s="7">
        <v>0.93333333333333335</v>
      </c>
      <c r="AV7" s="7">
        <v>0.6</v>
      </c>
      <c r="AW7" s="7">
        <v>0.71333333333333326</v>
      </c>
      <c r="AX7" s="7">
        <v>30.382975729623102</v>
      </c>
      <c r="AY7" s="7">
        <v>57.036816186049904</v>
      </c>
      <c r="AZ7" s="7">
        <v>39.302933066688993</v>
      </c>
      <c r="BA7" s="7">
        <v>48.116858848984009</v>
      </c>
      <c r="BB7" s="7">
        <v>-1.8774012209924228E-3</v>
      </c>
      <c r="BC7" s="7">
        <v>-1.8774012209924228E-3</v>
      </c>
      <c r="BD7" s="7">
        <v>0.13333333333333333</v>
      </c>
      <c r="BE7" s="7">
        <v>465.77</v>
      </c>
      <c r="BF7" s="7">
        <v>-80.406999999999996</v>
      </c>
      <c r="BG7" s="7">
        <v>-55.944000000000003</v>
      </c>
      <c r="BH7" s="7">
        <v>0</v>
      </c>
      <c r="BI7" s="7">
        <v>377.42099999999999</v>
      </c>
      <c r="BJ7" s="7">
        <v>-3.674149581530689E-2</v>
      </c>
      <c r="BK7" s="7">
        <v>-5.5700721968142512E-2</v>
      </c>
      <c r="BL7" s="7">
        <v>0.22677312414461639</v>
      </c>
      <c r="BM7" s="7">
        <v>-3.9148392110046094E-2</v>
      </c>
      <c r="BN7" s="7">
        <v>0</v>
      </c>
      <c r="BO7" s="7">
        <v>-2.7237897797510402E-2</v>
      </c>
      <c r="BP7" s="7">
        <v>-2.5563274862779716E-2</v>
      </c>
      <c r="BQ7" s="7">
        <v>0.8666666666666667</v>
      </c>
      <c r="BR7" s="7">
        <v>0.93333333333333335</v>
      </c>
      <c r="BS7" s="7">
        <v>0.2</v>
      </c>
      <c r="BT7" s="7">
        <v>0.73333333333333328</v>
      </c>
      <c r="BU7" s="7">
        <v>1</v>
      </c>
      <c r="BV7" s="7">
        <v>1</v>
      </c>
      <c r="BW7" s="7">
        <v>1</v>
      </c>
      <c r="BX7" s="7">
        <v>0.81904761904761902</v>
      </c>
      <c r="BY7" s="7">
        <v>260.65699999999998</v>
      </c>
      <c r="BZ7" s="7">
        <v>0</v>
      </c>
      <c r="CA7" s="7">
        <v>0.1269081353890617</v>
      </c>
      <c r="CB7" s="7">
        <v>248.13000000000002</v>
      </c>
      <c r="CC7" s="7">
        <v>8.277527908757504</v>
      </c>
      <c r="CD7" s="7">
        <v>6.3993754281339408</v>
      </c>
      <c r="CE7" s="7">
        <v>5.441941492391785</v>
      </c>
      <c r="CF7" s="7">
        <v>0.9385186424011126</v>
      </c>
      <c r="CG7" s="7">
        <v>1.4228099537668835</v>
      </c>
      <c r="CH7" s="7">
        <v>0.12082849092678671</v>
      </c>
      <c r="CI7" s="7">
        <v>12.013306505857786</v>
      </c>
      <c r="CJ7" s="7">
        <v>0.15227788264586986</v>
      </c>
      <c r="CK7" s="7">
        <v>3.661576941315734</v>
      </c>
      <c r="CL7" s="7">
        <v>0.93333333333333335</v>
      </c>
      <c r="CM7" s="7">
        <v>6.6666666666666666E-2</v>
      </c>
      <c r="CN7" s="7">
        <v>6.6666666666666666E-2</v>
      </c>
      <c r="CO7" s="7">
        <v>0.73333333333333328</v>
      </c>
      <c r="CP7" s="7">
        <v>0.8666666666666667</v>
      </c>
      <c r="CQ7" s="7">
        <v>0</v>
      </c>
      <c r="CR7" s="7">
        <v>0.33333333333333331</v>
      </c>
      <c r="CS7" s="7">
        <v>0.93333333333333335</v>
      </c>
      <c r="CT7" s="7">
        <v>0.13333333333333333</v>
      </c>
      <c r="CU7" s="7">
        <v>0.45185185185185195</v>
      </c>
      <c r="CV7" s="7">
        <v>0.51601671984560327</v>
      </c>
      <c r="CW7" s="7">
        <v>0.34037666807405415</v>
      </c>
      <c r="CX7" s="7">
        <v>1.5160167198456034</v>
      </c>
      <c r="CY7" s="7">
        <v>0.17246025958074473</v>
      </c>
      <c r="CZ7" s="7">
        <v>0.28064175042450096</v>
      </c>
      <c r="DA7" s="7">
        <v>6.6666666666666652E-2</v>
      </c>
      <c r="DB7" s="7">
        <v>6.6666666666666652E-2</v>
      </c>
      <c r="DC7" s="7">
        <v>6.6666666666666652E-2</v>
      </c>
      <c r="DD7" s="7">
        <v>1</v>
      </c>
      <c r="DE7" s="7">
        <v>6.6666666666666666E-2</v>
      </c>
      <c r="DF7" s="7">
        <v>0.2533333333333333</v>
      </c>
      <c r="DG7" s="7">
        <v>0.55939153439153433</v>
      </c>
      <c r="DH7" s="7">
        <v>0</v>
      </c>
      <c r="DI7" s="7">
        <v>0</v>
      </c>
      <c r="DJ7" s="7">
        <v>0</v>
      </c>
      <c r="DK7" s="155">
        <v>44833.691041666665</v>
      </c>
      <c r="DL7" s="7">
        <v>2020</v>
      </c>
      <c r="DM7" s="7">
        <v>32772000</v>
      </c>
      <c r="DN7" s="7">
        <v>5.6271315068493148</v>
      </c>
      <c r="DO7" s="7">
        <v>4.3510493150684937</v>
      </c>
      <c r="DP7" s="7">
        <v>26.938795591028924</v>
      </c>
      <c r="DQ7" s="7">
        <v>100.34916705811902</v>
      </c>
      <c r="DR7" s="7">
        <v>50.949169629512816</v>
      </c>
      <c r="DS7" s="7">
        <v>19.380854573147936</v>
      </c>
      <c r="DT7" s="7">
        <v>265.61517459592261</v>
      </c>
      <c r="DU7" s="7">
        <v>26.487650380199771</v>
      </c>
      <c r="DV7" s="7">
        <v>311.48367954927033</v>
      </c>
      <c r="DW7" s="7">
        <v>-2.9628609636289008E-2</v>
      </c>
      <c r="DX7" s="7">
        <v>1888.1750000000002</v>
      </c>
      <c r="DY7" s="7">
        <v>-999</v>
      </c>
      <c r="DZ7" s="7">
        <v>0.52780604111048468</v>
      </c>
      <c r="EA7" s="7" t="b">
        <v>0</v>
      </c>
      <c r="EB7" s="7" t="s">
        <v>702</v>
      </c>
      <c r="EC7" s="7">
        <v>-4.301598938652107E-2</v>
      </c>
      <c r="ED7" s="7">
        <v>-2.7237897797510402E-2</v>
      </c>
      <c r="EE7" s="7" t="s">
        <v>663</v>
      </c>
      <c r="EF7" s="7" t="s">
        <v>499</v>
      </c>
      <c r="EG7" s="137" t="s">
        <v>697</v>
      </c>
      <c r="EH7" s="3" t="s">
        <v>703</v>
      </c>
      <c r="EI7" s="3" t="s">
        <v>704</v>
      </c>
    </row>
    <row r="8" spans="1:139" s="25" customFormat="1">
      <c r="A8" s="25">
        <v>0</v>
      </c>
      <c r="B8" s="25">
        <v>0</v>
      </c>
      <c r="C8" s="25" t="s">
        <v>667</v>
      </c>
      <c r="D8" s="25">
        <v>32782060</v>
      </c>
      <c r="E8" s="25">
        <v>20</v>
      </c>
      <c r="F8" s="25">
        <v>2060</v>
      </c>
      <c r="G8" s="25">
        <v>0</v>
      </c>
      <c r="H8" s="25">
        <v>0</v>
      </c>
      <c r="I8" s="25">
        <v>0</v>
      </c>
      <c r="J8" s="25">
        <v>8971.3369999999995</v>
      </c>
      <c r="K8" s="25">
        <v>0</v>
      </c>
      <c r="L8" s="25">
        <v>0</v>
      </c>
      <c r="M8" s="25">
        <v>0.223082802485293</v>
      </c>
      <c r="N8" s="25">
        <v>15200</v>
      </c>
      <c r="O8" s="25">
        <v>590219.53947368404</v>
      </c>
      <c r="P8" s="25">
        <v>329.26600000000002</v>
      </c>
      <c r="Q8" s="25">
        <v>2246.2060000000001</v>
      </c>
      <c r="R8" s="25">
        <v>10412.231</v>
      </c>
      <c r="S8" s="25">
        <v>2493.3130000000001</v>
      </c>
      <c r="T8" s="25">
        <v>4922.7389999999996</v>
      </c>
      <c r="U8" s="25">
        <v>671.46400000000006</v>
      </c>
      <c r="V8" s="25">
        <v>988.51099999999997</v>
      </c>
      <c r="W8" s="25">
        <v>692.33799999999997</v>
      </c>
      <c r="X8" s="25">
        <v>7655.0020000000004</v>
      </c>
      <c r="Y8" s="25">
        <v>2757.2289999999998</v>
      </c>
      <c r="Z8" s="25">
        <v>0</v>
      </c>
      <c r="AA8" s="25">
        <v>0</v>
      </c>
      <c r="AB8" s="25">
        <v>2719.9360000000001</v>
      </c>
      <c r="AC8" s="25">
        <v>-2.3732377816051139E-2</v>
      </c>
      <c r="AD8" s="25">
        <v>0.13205963310663363</v>
      </c>
      <c r="AE8" s="25">
        <v>3.1623001833132595E-2</v>
      </c>
      <c r="AF8" s="25">
        <v>3.6701998821357398E-2</v>
      </c>
      <c r="AG8" s="25">
        <v>0.90089210620567894</v>
      </c>
      <c r="AH8" s="25">
        <v>0.21572763800572617</v>
      </c>
      <c r="AI8" s="25">
        <v>0.9042821615469735</v>
      </c>
      <c r="AJ8" s="25">
        <v>0.5044272419868665</v>
      </c>
      <c r="AK8" s="25">
        <v>0.12079015534711054</v>
      </c>
      <c r="AL8" s="25">
        <v>0.44008029539588084</v>
      </c>
      <c r="AM8" s="25">
        <v>0.4</v>
      </c>
      <c r="AN8" s="25">
        <v>0.26666666666666666</v>
      </c>
      <c r="AO8" s="25">
        <v>0.4</v>
      </c>
      <c r="AP8" s="25">
        <v>0.26666666666666666</v>
      </c>
      <c r="AQ8" s="25">
        <v>0.46666666666666667</v>
      </c>
      <c r="AR8" s="25">
        <v>0.6</v>
      </c>
      <c r="AS8" s="25">
        <v>0.4</v>
      </c>
      <c r="AT8" s="25">
        <v>0.4</v>
      </c>
      <c r="AU8" s="25">
        <v>0.53333333333333333</v>
      </c>
      <c r="AV8" s="25">
        <v>0.46666666666666667</v>
      </c>
      <c r="AW8" s="25">
        <v>0.42000000000000004</v>
      </c>
      <c r="AX8" s="25">
        <v>27.3185992232819</v>
      </c>
      <c r="AY8" s="25">
        <v>73.293854295342499</v>
      </c>
      <c r="AZ8" s="25">
        <v>51.33389562192918</v>
      </c>
      <c r="BA8" s="25">
        <v>49.278557896695212</v>
      </c>
      <c r="BB8" s="25">
        <v>0.249052733165636</v>
      </c>
      <c r="BC8" s="25">
        <v>0.249052733165636</v>
      </c>
      <c r="BD8" s="25">
        <v>0.93333333333333335</v>
      </c>
      <c r="BE8" s="25">
        <v>4048.598</v>
      </c>
      <c r="BF8" s="25">
        <v>1149.692</v>
      </c>
      <c r="BG8" s="25">
        <v>1527.8489999999999</v>
      </c>
      <c r="BH8" s="25">
        <v>0</v>
      </c>
      <c r="BI8" s="25">
        <v>2153.1390000000001</v>
      </c>
      <c r="BJ8" s="25">
        <v>0.1104174504003993</v>
      </c>
      <c r="BK8" s="25">
        <v>0.41697370802352657</v>
      </c>
      <c r="BL8" s="25">
        <v>0.45128145336642689</v>
      </c>
      <c r="BM8" s="25">
        <v>0.12815169021072334</v>
      </c>
      <c r="BN8" s="25">
        <v>0</v>
      </c>
      <c r="BO8" s="25">
        <v>0.17030337841505674</v>
      </c>
      <c r="BP8" s="25">
        <v>0.14673598770522858</v>
      </c>
      <c r="BQ8" s="25">
        <v>0.93333333333333335</v>
      </c>
      <c r="BR8" s="25">
        <v>0.8</v>
      </c>
      <c r="BS8" s="25">
        <v>0.93333333333333335</v>
      </c>
      <c r="BT8" s="25">
        <v>0.8666666666666667</v>
      </c>
      <c r="BU8" s="25">
        <v>1</v>
      </c>
      <c r="BV8" s="25">
        <v>0.8</v>
      </c>
      <c r="BW8" s="25">
        <v>0.8666666666666667</v>
      </c>
      <c r="BX8" s="25">
        <v>0.88571428571428557</v>
      </c>
      <c r="BY8" s="25">
        <v>108.309</v>
      </c>
      <c r="BZ8" s="25">
        <v>0</v>
      </c>
      <c r="CA8" s="25">
        <v>1.2072782462636282E-2</v>
      </c>
      <c r="CB8" s="25">
        <v>967.63699999999994</v>
      </c>
      <c r="CC8" s="25">
        <v>9.2713868940522115</v>
      </c>
      <c r="CD8" s="25">
        <v>4.9799536879205188</v>
      </c>
      <c r="CE8" s="25">
        <v>4.166631601582619</v>
      </c>
      <c r="CF8" s="25">
        <v>0.86161524845155657</v>
      </c>
      <c r="CG8" s="25">
        <v>3.2537511392778766</v>
      </c>
      <c r="CH8" s="25">
        <v>0.11018547179757042</v>
      </c>
      <c r="CI8" s="25">
        <v>13.360860746071269</v>
      </c>
      <c r="CJ8" s="25">
        <v>0.14019036404495788</v>
      </c>
      <c r="CK8" s="25">
        <v>3.9939956531146295</v>
      </c>
      <c r="CL8" s="25">
        <v>0.4</v>
      </c>
      <c r="CM8" s="25">
        <v>0.13333333333333333</v>
      </c>
      <c r="CN8" s="25">
        <v>0.53333333333333333</v>
      </c>
      <c r="CO8" s="25">
        <v>0.66666666666666663</v>
      </c>
      <c r="CP8" s="25">
        <v>0.66666666666666663</v>
      </c>
      <c r="CQ8" s="25">
        <v>0.46666666666666667</v>
      </c>
      <c r="CR8" s="25">
        <v>0.66666666666666663</v>
      </c>
      <c r="CS8" s="25">
        <v>0.4</v>
      </c>
      <c r="CT8" s="25">
        <v>0.8</v>
      </c>
      <c r="CU8" s="25">
        <v>0.52592592592592591</v>
      </c>
      <c r="CV8" s="25">
        <v>2.776338853247228</v>
      </c>
      <c r="CW8" s="25">
        <v>0.73519325493258847</v>
      </c>
      <c r="CX8" s="25">
        <v>3.7763388532472275</v>
      </c>
      <c r="CY8" s="25">
        <v>0.20678939988941852</v>
      </c>
      <c r="CZ8" s="25">
        <v>0.26122509191353899</v>
      </c>
      <c r="DA8" s="25">
        <v>0.26666666666666672</v>
      </c>
      <c r="DB8" s="25">
        <v>0.26666666666666672</v>
      </c>
      <c r="DC8" s="25">
        <v>0.33333333333333337</v>
      </c>
      <c r="DD8" s="25">
        <v>0.73333333333333328</v>
      </c>
      <c r="DE8" s="25">
        <v>0.6</v>
      </c>
      <c r="DF8" s="25">
        <v>0.44000000000000006</v>
      </c>
      <c r="DG8" s="25">
        <v>0.56791005291005292</v>
      </c>
      <c r="DH8" s="25">
        <v>0</v>
      </c>
      <c r="DI8" s="25">
        <v>0</v>
      </c>
      <c r="DJ8" s="25">
        <v>0</v>
      </c>
      <c r="DK8" s="154">
        <v>44833.691041666665</v>
      </c>
      <c r="DL8" s="25">
        <v>2021</v>
      </c>
      <c r="DM8" s="25">
        <v>32782060</v>
      </c>
      <c r="DN8" s="25">
        <v>24.579005479452054</v>
      </c>
      <c r="DO8" s="25">
        <v>13.48695616438356</v>
      </c>
      <c r="DP8" s="25">
        <v>26.938795591028924</v>
      </c>
      <c r="DQ8" s="25">
        <v>100.34916705811902</v>
      </c>
      <c r="DR8" s="25">
        <v>50.949169629512816</v>
      </c>
      <c r="DS8" s="25">
        <v>9.3351955582616917</v>
      </c>
      <c r="DT8" s="25">
        <v>661.06681724525401</v>
      </c>
      <c r="DU8" s="25">
        <v>301.36178259501844</v>
      </c>
      <c r="DV8" s="25">
        <v>971.76379539853417</v>
      </c>
      <c r="DW8" s="25">
        <v>0.19293658552847751</v>
      </c>
      <c r="DX8" s="25">
        <v>7918.9179999999997</v>
      </c>
      <c r="DY8" s="25">
        <v>0.23906000701917005</v>
      </c>
      <c r="DZ8" s="25">
        <v>0.41310990306074663</v>
      </c>
      <c r="EA8" s="25" t="b">
        <v>0</v>
      </c>
      <c r="EB8" s="25" t="s">
        <v>667</v>
      </c>
      <c r="EC8" s="25">
        <v>4.8141797697539297E-2</v>
      </c>
      <c r="ED8" s="25">
        <v>0.17030337841505674</v>
      </c>
      <c r="EE8" s="25" t="s">
        <v>663</v>
      </c>
      <c r="EF8" s="25" t="s">
        <v>501</v>
      </c>
      <c r="EG8" s="137" t="s">
        <v>697</v>
      </c>
      <c r="EH8" s="25" t="s">
        <v>705</v>
      </c>
      <c r="EI8" s="25" t="s">
        <v>705</v>
      </c>
    </row>
    <row r="9" spans="1:139">
      <c r="A9" s="3">
        <v>0</v>
      </c>
      <c r="B9" s="3">
        <v>0</v>
      </c>
      <c r="C9" s="3" t="s">
        <v>668</v>
      </c>
      <c r="D9" s="3">
        <v>32792011</v>
      </c>
      <c r="E9" s="3">
        <v>20</v>
      </c>
      <c r="F9" s="3">
        <v>2011</v>
      </c>
      <c r="G9" s="3">
        <v>0</v>
      </c>
      <c r="H9" s="3">
        <v>0</v>
      </c>
      <c r="I9" s="3">
        <v>0</v>
      </c>
      <c r="J9" s="3">
        <v>11386.189</v>
      </c>
      <c r="K9" s="3">
        <v>0</v>
      </c>
      <c r="L9" s="3">
        <v>0</v>
      </c>
      <c r="M9" s="3">
        <v>7.4921556281913104E-2</v>
      </c>
      <c r="N9" s="3">
        <v>20100</v>
      </c>
      <c r="O9" s="3">
        <v>566477.06467661704</v>
      </c>
      <c r="P9" s="3">
        <v>613.53</v>
      </c>
      <c r="Q9" s="3">
        <v>2947.8159999999998</v>
      </c>
      <c r="R9" s="3">
        <v>12696.329</v>
      </c>
      <c r="S9" s="3">
        <v>1415.654</v>
      </c>
      <c r="T9" s="3">
        <v>9458.2829999999994</v>
      </c>
      <c r="U9" s="3">
        <v>895.71900000000005</v>
      </c>
      <c r="V9" s="3">
        <v>1369.1980000000001</v>
      </c>
      <c r="W9" s="3">
        <v>999.30499999999995</v>
      </c>
      <c r="X9" s="3">
        <v>5717.9690000000001</v>
      </c>
      <c r="Y9" s="3">
        <v>6972.8829999999998</v>
      </c>
      <c r="Z9" s="3">
        <v>0</v>
      </c>
      <c r="AA9" s="3">
        <v>0</v>
      </c>
      <c r="AB9" s="3">
        <v>6881.87</v>
      </c>
      <c r="AC9" s="3">
        <v>0.12067755963160688</v>
      </c>
      <c r="AD9" s="3">
        <v>0.43338979722446302</v>
      </c>
      <c r="AE9" s="3">
        <v>4.8323416949891576E-2</v>
      </c>
      <c r="AF9" s="3">
        <v>5.3883700683345408E-2</v>
      </c>
      <c r="AG9" s="3">
        <v>2.0822997709892386</v>
      </c>
      <c r="AH9" s="3">
        <v>0.23217860847808841</v>
      </c>
      <c r="AI9" s="3">
        <v>0.20302276691004281</v>
      </c>
      <c r="AJ9" s="3">
        <v>1.1151156991750808</v>
      </c>
      <c r="AK9" s="3">
        <v>0.12433657004319908</v>
      </c>
      <c r="AL9" s="3">
        <v>0.46447878700705886</v>
      </c>
      <c r="AM9" s="3">
        <v>0.6</v>
      </c>
      <c r="AN9" s="3">
        <v>0.53333333333333333</v>
      </c>
      <c r="AO9" s="3">
        <v>0.2</v>
      </c>
      <c r="AP9" s="3">
        <v>0.4</v>
      </c>
      <c r="AQ9" s="3">
        <v>0.66666666666666663</v>
      </c>
      <c r="AR9" s="3">
        <v>0.13333333333333333</v>
      </c>
      <c r="AS9" s="3">
        <v>0.8666666666666667</v>
      </c>
      <c r="AT9" s="3">
        <v>0.53333333333333333</v>
      </c>
      <c r="AU9" s="3">
        <v>6.6666666666666666E-2</v>
      </c>
      <c r="AV9" s="3">
        <v>0.26666666666666672</v>
      </c>
      <c r="AW9" s="3">
        <v>0.42666666666666664</v>
      </c>
      <c r="AX9" s="3">
        <v>28.713508532134899</v>
      </c>
      <c r="AY9" s="3">
        <v>52.838054221892079</v>
      </c>
      <c r="AZ9" s="3">
        <v>38.563693325733645</v>
      </c>
      <c r="BA9" s="3">
        <v>42.98786942829333</v>
      </c>
      <c r="BB9" s="3">
        <v>0.122743527267991</v>
      </c>
      <c r="BC9" s="3">
        <v>0.122743527267991</v>
      </c>
      <c r="BD9" s="3">
        <v>0.8</v>
      </c>
      <c r="BE9" s="3">
        <v>1927.9059999999999</v>
      </c>
      <c r="BF9" s="3">
        <v>978.80600000000004</v>
      </c>
      <c r="BG9" s="3">
        <v>1227.443</v>
      </c>
      <c r="BH9" s="3">
        <v>0</v>
      </c>
      <c r="BI9" s="3">
        <v>1629.1110000000001</v>
      </c>
      <c r="BJ9" s="3">
        <v>7.7093622888946875E-2</v>
      </c>
      <c r="BK9" s="3">
        <v>0.14037321435050609</v>
      </c>
      <c r="BL9" s="3">
        <v>0.1693196907235599</v>
      </c>
      <c r="BM9" s="3">
        <v>8.5964320458759291E-2</v>
      </c>
      <c r="BN9" s="3">
        <v>0</v>
      </c>
      <c r="BO9" s="3">
        <v>0.10780103860914306</v>
      </c>
      <c r="BP9" s="3">
        <v>9.6677000099792632E-2</v>
      </c>
      <c r="BQ9" s="3">
        <v>0.26666666666666666</v>
      </c>
      <c r="BR9" s="3">
        <v>0.2</v>
      </c>
      <c r="BS9" s="3">
        <v>0.73333333333333328</v>
      </c>
      <c r="BT9" s="3">
        <v>0.6</v>
      </c>
      <c r="BU9" s="3">
        <v>1</v>
      </c>
      <c r="BV9" s="3">
        <v>0.73333333333333328</v>
      </c>
      <c r="BW9" s="3">
        <v>0.33333333333333331</v>
      </c>
      <c r="BX9" s="3">
        <v>0.55238095238095242</v>
      </c>
      <c r="BY9" s="3">
        <v>1256.364</v>
      </c>
      <c r="BZ9" s="3">
        <v>0</v>
      </c>
      <c r="CA9" s="3">
        <v>0.11034104562992939</v>
      </c>
      <c r="CB9" s="3">
        <v>1265.6120000000005</v>
      </c>
      <c r="CC9" s="3">
        <v>8.9965874217374644</v>
      </c>
      <c r="CD9" s="3">
        <v>6.9079000991821484</v>
      </c>
      <c r="CE9" s="3">
        <v>6.9892039277863818</v>
      </c>
      <c r="CF9" s="3">
        <v>0.89680954234881594</v>
      </c>
      <c r="CG9" s="3">
        <v>1.6329241434281918</v>
      </c>
      <c r="CH9" s="3">
        <v>0.12025077047289484</v>
      </c>
      <c r="CI9" s="3">
        <v>12.711786843865095</v>
      </c>
      <c r="CJ9" s="3">
        <v>0.13864322821270572</v>
      </c>
      <c r="CK9" s="3">
        <v>3.8625847067795278</v>
      </c>
      <c r="CL9" s="3">
        <v>0.6</v>
      </c>
      <c r="CM9" s="3">
        <v>0.2</v>
      </c>
      <c r="CN9" s="3">
        <v>0.4</v>
      </c>
      <c r="CO9" s="3">
        <v>0.2</v>
      </c>
      <c r="CP9" s="3">
        <v>0.13333333333333333</v>
      </c>
      <c r="CQ9" s="3">
        <v>0.4</v>
      </c>
      <c r="CR9" s="3">
        <v>0.73333333333333328</v>
      </c>
      <c r="CS9" s="3">
        <v>0.26666666666666666</v>
      </c>
      <c r="CT9" s="3">
        <v>0.73333333333333328</v>
      </c>
      <c r="CU9" s="3">
        <v>0.40740740740740744</v>
      </c>
      <c r="CV9" s="3">
        <v>0.8200293909993901</v>
      </c>
      <c r="CW9" s="3">
        <v>0.45036395953507508</v>
      </c>
      <c r="CX9" s="3">
        <v>1.8208148623747165</v>
      </c>
      <c r="CY9" s="3">
        <v>0.12836892274844905</v>
      </c>
      <c r="CZ9" s="3">
        <v>0.54203620589857116</v>
      </c>
      <c r="DA9" s="3">
        <v>0.66666666666666674</v>
      </c>
      <c r="DB9" s="3">
        <v>0.66666666666666674</v>
      </c>
      <c r="DC9" s="3">
        <v>0.66666666666666674</v>
      </c>
      <c r="DD9" s="3">
        <v>0.33333333333333331</v>
      </c>
      <c r="DE9" s="3">
        <v>0.26666666666666666</v>
      </c>
      <c r="DF9" s="3">
        <v>0.52</v>
      </c>
      <c r="DG9" s="3">
        <v>0.4766137566137566</v>
      </c>
      <c r="DH9" s="3">
        <v>0</v>
      </c>
      <c r="DI9" s="3">
        <v>0</v>
      </c>
      <c r="DJ9" s="3">
        <v>0</v>
      </c>
      <c r="DK9" s="156">
        <v>44833.691041666665</v>
      </c>
      <c r="DL9" s="3">
        <v>2021</v>
      </c>
      <c r="DM9" s="3">
        <v>32792011</v>
      </c>
      <c r="DN9" s="3">
        <v>31.195038356164385</v>
      </c>
      <c r="DO9" s="3">
        <v>25.913104109589039</v>
      </c>
      <c r="DP9" s="3">
        <v>26.938795591028924</v>
      </c>
      <c r="DQ9" s="3">
        <v>100.34916705811902</v>
      </c>
      <c r="DR9" s="3">
        <v>50.949169629512816</v>
      </c>
      <c r="DS9" s="3">
        <v>55.362238268982182</v>
      </c>
      <c r="DT9" s="3">
        <v>1601.0534132875812</v>
      </c>
      <c r="DU9" s="3">
        <v>48.946863093322499</v>
      </c>
      <c r="DV9" s="3">
        <v>1705.3625146498857</v>
      </c>
      <c r="DW9" s="3">
        <v>0.10880935759606584</v>
      </c>
      <c r="DX9" s="3">
        <v>11280.674999999999</v>
      </c>
      <c r="DY9" s="3">
        <v>0.12209436726417931</v>
      </c>
      <c r="DZ9" s="3">
        <v>0.52244072696338839</v>
      </c>
      <c r="EA9" s="3" t="b">
        <v>0</v>
      </c>
      <c r="EB9" s="3" t="s">
        <v>668</v>
      </c>
      <c r="EC9" s="3">
        <v>6.0531410121393597E-2</v>
      </c>
      <c r="ED9" s="3">
        <v>0.10780103860914306</v>
      </c>
      <c r="EE9" s="3" t="s">
        <v>663</v>
      </c>
      <c r="EF9" s="3" t="s">
        <v>502</v>
      </c>
      <c r="EG9" s="137" t="s">
        <v>697</v>
      </c>
      <c r="EH9" s="3" t="s">
        <v>706</v>
      </c>
      <c r="EI9" s="3" t="s">
        <v>706</v>
      </c>
    </row>
    <row r="10" spans="1:139" s="25" customFormat="1">
      <c r="A10" s="25">
        <v>0</v>
      </c>
      <c r="B10" s="25">
        <v>0</v>
      </c>
      <c r="C10" s="25" t="s">
        <v>669</v>
      </c>
      <c r="D10" s="25">
        <v>32832033</v>
      </c>
      <c r="E10" s="25">
        <v>20</v>
      </c>
      <c r="F10" s="25">
        <v>2033</v>
      </c>
      <c r="G10" s="25">
        <v>0</v>
      </c>
      <c r="H10" s="25">
        <v>0</v>
      </c>
      <c r="I10" s="25">
        <v>0</v>
      </c>
      <c r="J10" s="25">
        <v>7801</v>
      </c>
      <c r="K10" s="25">
        <v>0</v>
      </c>
      <c r="L10" s="25">
        <v>0</v>
      </c>
      <c r="M10" s="25">
        <v>0.18898859120625561</v>
      </c>
      <c r="N10" s="25">
        <v>7400</v>
      </c>
      <c r="O10" s="25">
        <v>1054189.1891891891</v>
      </c>
      <c r="P10" s="25">
        <v>391.1</v>
      </c>
      <c r="Q10" s="25">
        <v>1972.7</v>
      </c>
      <c r="R10" s="25">
        <v>16970.400000000001</v>
      </c>
      <c r="S10" s="25">
        <v>1587.1</v>
      </c>
      <c r="T10" s="25">
        <v>4799</v>
      </c>
      <c r="U10" s="25">
        <v>551.4</v>
      </c>
      <c r="V10" s="25">
        <v>895.3</v>
      </c>
      <c r="W10" s="25">
        <v>782</v>
      </c>
      <c r="X10" s="25">
        <v>8779.5</v>
      </c>
      <c r="Y10" s="25">
        <v>8190.9</v>
      </c>
      <c r="Z10" s="25">
        <v>0</v>
      </c>
      <c r="AA10" s="25">
        <v>0</v>
      </c>
      <c r="AB10" s="25">
        <v>2746.8</v>
      </c>
      <c r="AC10" s="25">
        <v>2.2721915806345173E-2</v>
      </c>
      <c r="AD10" s="25">
        <v>0.24642429588557749</v>
      </c>
      <c r="AE10" s="25">
        <v>2.3046009522462642E-2</v>
      </c>
      <c r="AF10" s="25">
        <v>5.0134598128445076E-2</v>
      </c>
      <c r="AG10" s="25">
        <v>1.2429588557746836</v>
      </c>
      <c r="AH10" s="25">
        <v>0.11624357705180785</v>
      </c>
      <c r="AI10" s="25">
        <v>0.19376381105861382</v>
      </c>
      <c r="AJ10" s="25">
        <v>0.67884821372314297</v>
      </c>
      <c r="AK10" s="25">
        <v>6.3487012680903218E-2</v>
      </c>
      <c r="AL10" s="25">
        <v>0.45384498403203727</v>
      </c>
      <c r="AM10" s="25">
        <v>0</v>
      </c>
      <c r="AN10" s="25">
        <v>0</v>
      </c>
      <c r="AO10" s="25">
        <v>0</v>
      </c>
      <c r="AP10" s="25">
        <v>0</v>
      </c>
      <c r="AQ10" s="25">
        <v>0</v>
      </c>
      <c r="AR10" s="25">
        <v>0</v>
      </c>
      <c r="AS10" s="25">
        <v>1</v>
      </c>
      <c r="AT10" s="25">
        <v>0</v>
      </c>
      <c r="AU10" s="25">
        <v>0</v>
      </c>
      <c r="AV10" s="25">
        <v>1</v>
      </c>
      <c r="AW10" s="25">
        <v>0.2</v>
      </c>
      <c r="AX10" s="25">
        <v>25.79938469427</v>
      </c>
      <c r="AY10" s="25">
        <v>68.094290477182739</v>
      </c>
      <c r="AZ10" s="25">
        <v>59.476974369660347</v>
      </c>
      <c r="BA10" s="25">
        <v>34.416700801792395</v>
      </c>
      <c r="BB10" s="25">
        <v>0.21310088450198694</v>
      </c>
      <c r="BC10" s="25">
        <v>0.21310088450198694</v>
      </c>
      <c r="BD10" s="25">
        <v>0.46666666666666667</v>
      </c>
      <c r="BE10" s="25">
        <v>3002</v>
      </c>
      <c r="BF10" s="25">
        <v>779.5</v>
      </c>
      <c r="BG10" s="25">
        <v>1215.9000000000001</v>
      </c>
      <c r="BH10" s="25">
        <v>0</v>
      </c>
      <c r="BI10" s="25">
        <v>2117.8000000000002</v>
      </c>
      <c r="BJ10" s="25">
        <v>4.5932918493376697E-2</v>
      </c>
      <c r="BK10" s="25">
        <v>9.516658731030779E-2</v>
      </c>
      <c r="BL10" s="25">
        <v>0.38482245865914627</v>
      </c>
      <c r="BM10" s="25">
        <v>9.9923086783745674E-2</v>
      </c>
      <c r="BN10" s="25">
        <v>0</v>
      </c>
      <c r="BO10" s="25">
        <v>0.15586463273939238</v>
      </c>
      <c r="BP10" s="25">
        <v>7.1648281714043277E-2</v>
      </c>
      <c r="BQ10" s="25">
        <v>0</v>
      </c>
      <c r="BR10" s="25">
        <v>0</v>
      </c>
      <c r="BS10" s="25">
        <v>1</v>
      </c>
      <c r="BT10" s="25">
        <v>6.6666666666666666E-2</v>
      </c>
      <c r="BU10" s="25">
        <v>1</v>
      </c>
      <c r="BV10" s="25">
        <v>6.6666666666666666E-2</v>
      </c>
      <c r="BW10" s="25">
        <v>0</v>
      </c>
      <c r="BX10" s="25">
        <v>0.30476190476190473</v>
      </c>
      <c r="BY10" s="25">
        <v>385.6</v>
      </c>
      <c r="BZ10" s="25">
        <v>0</v>
      </c>
      <c r="CA10" s="25">
        <v>4.9429560312780417E-2</v>
      </c>
      <c r="CB10" s="25">
        <v>664.69999999999982</v>
      </c>
      <c r="CC10" s="25">
        <v>11.736121558597867</v>
      </c>
      <c r="CD10" s="25">
        <v>5.3602144532558924</v>
      </c>
      <c r="CE10" s="25">
        <v>3.6835395221456224</v>
      </c>
      <c r="CF10" s="25">
        <v>0.45968274171498608</v>
      </c>
      <c r="CG10" s="25">
        <v>0.95239839333894938</v>
      </c>
      <c r="CH10" s="25">
        <v>0.11476733752083065</v>
      </c>
      <c r="CI10" s="25">
        <v>14.147624229234676</v>
      </c>
      <c r="CJ10" s="25">
        <v>0.13811049865401873</v>
      </c>
      <c r="CK10" s="25">
        <v>3.9544786333451611</v>
      </c>
      <c r="CL10" s="25">
        <v>0.8</v>
      </c>
      <c r="CM10" s="25">
        <v>1</v>
      </c>
      <c r="CN10" s="25">
        <v>0</v>
      </c>
      <c r="CO10" s="25">
        <v>0</v>
      </c>
      <c r="CP10" s="25">
        <v>0</v>
      </c>
      <c r="CQ10" s="25">
        <v>1</v>
      </c>
      <c r="CR10" s="25">
        <v>0.93333333333333335</v>
      </c>
      <c r="CS10" s="25">
        <v>0</v>
      </c>
      <c r="CT10" s="25">
        <v>0</v>
      </c>
      <c r="CU10" s="25">
        <v>0.4148148148148148</v>
      </c>
      <c r="CV10" s="25">
        <v>1.0718602351389959</v>
      </c>
      <c r="CW10" s="25">
        <v>0.51734196011879507</v>
      </c>
      <c r="CX10" s="25">
        <v>2.0718602351389959</v>
      </c>
      <c r="CY10" s="25">
        <v>0.12479375854428888</v>
      </c>
      <c r="CZ10" s="25">
        <v>0.16185829444208741</v>
      </c>
      <c r="DA10" s="25">
        <v>1</v>
      </c>
      <c r="DB10" s="25">
        <v>1</v>
      </c>
      <c r="DC10" s="25">
        <v>1</v>
      </c>
      <c r="DD10" s="25">
        <v>0</v>
      </c>
      <c r="DE10" s="25">
        <v>0</v>
      </c>
      <c r="DF10" s="25">
        <v>0.6</v>
      </c>
      <c r="DG10" s="25">
        <v>0.37989417989417984</v>
      </c>
      <c r="DH10" s="25">
        <v>0</v>
      </c>
      <c r="DI10" s="25">
        <v>0</v>
      </c>
      <c r="DJ10" s="25">
        <v>0</v>
      </c>
      <c r="DK10" s="157">
        <v>44833.691041666665</v>
      </c>
      <c r="DL10" s="25">
        <v>2020</v>
      </c>
      <c r="DM10" s="25">
        <v>32832033</v>
      </c>
      <c r="DN10" s="25">
        <v>21.372602739726027</v>
      </c>
      <c r="DO10" s="25">
        <v>13.147945205479452</v>
      </c>
      <c r="DP10" s="25">
        <v>26.938795591028924</v>
      </c>
      <c r="DQ10" s="25">
        <v>100.34916705811902</v>
      </c>
      <c r="DR10" s="25">
        <v>50.949169629512816</v>
      </c>
      <c r="DS10" s="25">
        <v>0</v>
      </c>
      <c r="DT10" s="25">
        <v>537.38534989565255</v>
      </c>
      <c r="DU10" s="25">
        <v>225.42310944648756</v>
      </c>
      <c r="DV10" s="25">
        <v>762.80845934214017</v>
      </c>
      <c r="DW10" s="25">
        <v>7.9040257942054049E-2</v>
      </c>
      <c r="DX10" s="25">
        <v>15383.300000000001</v>
      </c>
      <c r="DY10" s="25">
        <v>8.5823792650733366E-2</v>
      </c>
      <c r="DZ10" s="25">
        <v>0.34226610101949129</v>
      </c>
      <c r="EA10" s="25" t="b">
        <v>0</v>
      </c>
      <c r="EB10" s="25" t="s">
        <v>669</v>
      </c>
      <c r="EC10" s="25">
        <v>1.8099517176945579E-2</v>
      </c>
      <c r="ED10" s="25">
        <v>0.15586463273939238</v>
      </c>
      <c r="EE10" s="25" t="s">
        <v>663</v>
      </c>
      <c r="EF10" s="25" t="s">
        <v>503</v>
      </c>
      <c r="EG10" s="137" t="s">
        <v>697</v>
      </c>
      <c r="EH10" s="25" t="s">
        <v>707</v>
      </c>
      <c r="EI10" s="25" t="s">
        <v>707</v>
      </c>
    </row>
    <row r="11" spans="1:139">
      <c r="A11" s="3">
        <v>0</v>
      </c>
      <c r="B11" s="3">
        <v>0</v>
      </c>
      <c r="C11" s="3" t="s">
        <v>675</v>
      </c>
      <c r="D11" s="3">
        <v>32862040</v>
      </c>
      <c r="E11" s="3">
        <v>20</v>
      </c>
      <c r="F11" s="3">
        <v>2040</v>
      </c>
      <c r="G11" s="3">
        <v>0</v>
      </c>
      <c r="H11" s="3">
        <v>0</v>
      </c>
      <c r="I11" s="3">
        <v>0</v>
      </c>
      <c r="J11" s="3">
        <v>14181</v>
      </c>
      <c r="K11" s="3">
        <v>0</v>
      </c>
      <c r="L11" s="3">
        <v>0</v>
      </c>
      <c r="M11" s="3">
        <v>0.19801142373598499</v>
      </c>
      <c r="N11" s="3">
        <v>31000</v>
      </c>
      <c r="O11" s="3">
        <v>457451.61290322599</v>
      </c>
      <c r="P11" s="3">
        <v>286</v>
      </c>
      <c r="Q11" s="3">
        <v>3394</v>
      </c>
      <c r="R11" s="3">
        <v>18178</v>
      </c>
      <c r="S11" s="3">
        <v>5315</v>
      </c>
      <c r="T11" s="3">
        <v>9621</v>
      </c>
      <c r="U11" s="3">
        <v>1489</v>
      </c>
      <c r="V11" s="3">
        <v>1398</v>
      </c>
      <c r="W11" s="3">
        <v>2573</v>
      </c>
      <c r="X11" s="3">
        <v>13963</v>
      </c>
      <c r="Y11" s="3">
        <v>3720</v>
      </c>
      <c r="Z11" s="3">
        <v>0</v>
      </c>
      <c r="AA11" s="3">
        <v>0</v>
      </c>
      <c r="AB11" s="3">
        <v>9028</v>
      </c>
      <c r="AC11" s="3">
        <v>-0.10567719221036417</v>
      </c>
      <c r="AD11" s="3">
        <v>5.3809971777986833E-2</v>
      </c>
      <c r="AE11" s="3">
        <v>1.5733303993838706E-2</v>
      </c>
      <c r="AF11" s="3">
        <v>2.0167830195331783E-2</v>
      </c>
      <c r="AG11" s="3">
        <v>0.63857008466603948</v>
      </c>
      <c r="AH11" s="3">
        <v>0.1867092089338761</v>
      </c>
      <c r="AI11" s="3">
        <v>1.428763440860215</v>
      </c>
      <c r="AJ11" s="3">
        <v>0.37554092191909688</v>
      </c>
      <c r="AK11" s="3">
        <v>0.10980305864231489</v>
      </c>
      <c r="AL11" s="3">
        <v>0.41190335886859164</v>
      </c>
      <c r="AM11" s="3">
        <v>6.6666666666666666E-2</v>
      </c>
      <c r="AN11" s="3">
        <v>6.6666666666666666E-2</v>
      </c>
      <c r="AO11" s="3">
        <v>6.6666666666666666E-2</v>
      </c>
      <c r="AP11" s="3">
        <v>0.13333333333333333</v>
      </c>
      <c r="AQ11" s="3">
        <v>6.6666666666666666E-2</v>
      </c>
      <c r="AR11" s="3">
        <v>0.46666666666666667</v>
      </c>
      <c r="AS11" s="3">
        <v>0.1333333333333333</v>
      </c>
      <c r="AT11" s="3">
        <v>0.13333333333333333</v>
      </c>
      <c r="AU11" s="3">
        <v>0.33333333333333331</v>
      </c>
      <c r="AV11" s="3">
        <v>0.53333333333333333</v>
      </c>
      <c r="AW11" s="3">
        <v>0.2</v>
      </c>
      <c r="AX11" s="3">
        <v>38.324871306677899</v>
      </c>
      <c r="AY11" s="3">
        <v>53.037106329903338</v>
      </c>
      <c r="AZ11" s="3">
        <v>97.614073381145403</v>
      </c>
      <c r="BA11" s="3">
        <v>-6.2520957445641727</v>
      </c>
      <c r="BB11" s="3">
        <v>0.187010789083986</v>
      </c>
      <c r="BC11" s="3">
        <v>0.187010789083986</v>
      </c>
      <c r="BD11" s="3">
        <v>0.53333333333333333</v>
      </c>
      <c r="BE11" s="3">
        <v>4560</v>
      </c>
      <c r="BF11" s="3">
        <v>960</v>
      </c>
      <c r="BG11" s="3">
        <v>1565</v>
      </c>
      <c r="BH11" s="3">
        <v>0</v>
      </c>
      <c r="BI11" s="3">
        <v>4153</v>
      </c>
      <c r="BJ11" s="3">
        <v>5.2811090328969086E-2</v>
      </c>
      <c r="BK11" s="3">
        <v>0.25806451612903225</v>
      </c>
      <c r="BL11" s="3">
        <v>0.32155701290459066</v>
      </c>
      <c r="BM11" s="3">
        <v>6.7696213243071721E-2</v>
      </c>
      <c r="BN11" s="3">
        <v>0</v>
      </c>
      <c r="BO11" s="3">
        <v>0.11035893096396587</v>
      </c>
      <c r="BP11" s="3">
        <v>8.6093079546704809E-2</v>
      </c>
      <c r="BQ11" s="3">
        <v>0.46666666666666667</v>
      </c>
      <c r="BR11" s="3">
        <v>0.66666666666666663</v>
      </c>
      <c r="BS11" s="3">
        <v>0.46666666666666667</v>
      </c>
      <c r="BT11" s="3">
        <v>0.26666666666666666</v>
      </c>
      <c r="BU11" s="3">
        <v>1</v>
      </c>
      <c r="BV11" s="3">
        <v>0.33333333333333331</v>
      </c>
      <c r="BW11" s="3">
        <v>0.6</v>
      </c>
      <c r="BX11" s="3">
        <v>0.54285714285714293</v>
      </c>
      <c r="BY11" s="3">
        <v>-1347</v>
      </c>
      <c r="BZ11" s="3">
        <v>0</v>
      </c>
      <c r="CA11" s="3">
        <v>-9.4986249206684997E-2</v>
      </c>
      <c r="CB11" s="3">
        <v>314</v>
      </c>
      <c r="CC11" s="3">
        <v>45.162420382165607</v>
      </c>
      <c r="CD11" s="3">
        <v>6.8819742489270386</v>
      </c>
      <c r="CE11" s="3">
        <v>3.4146400192631834</v>
      </c>
      <c r="CF11" s="3">
        <v>0.78011882495324014</v>
      </c>
      <c r="CG11" s="3">
        <v>3.8120967741935483</v>
      </c>
      <c r="CH11" s="3">
        <v>9.8582610535223186E-2</v>
      </c>
      <c r="CI11" s="3">
        <v>9.523841504365345</v>
      </c>
      <c r="CJ11" s="3">
        <v>0.14075171003455328</v>
      </c>
      <c r="CK11" s="3">
        <v>4.1782557454331171</v>
      </c>
      <c r="CL11" s="3">
        <v>1</v>
      </c>
      <c r="CM11" s="3">
        <v>0.66666666666666663</v>
      </c>
      <c r="CN11" s="3">
        <v>0.26666666666666666</v>
      </c>
      <c r="CO11" s="3">
        <v>0.53333333333333333</v>
      </c>
      <c r="CP11" s="3">
        <v>0.8</v>
      </c>
      <c r="CQ11" s="3">
        <v>0.73333333333333339</v>
      </c>
      <c r="CR11" s="3">
        <v>6.6666666666666666E-2</v>
      </c>
      <c r="CS11" s="3">
        <v>0.46666666666666667</v>
      </c>
      <c r="CT11" s="3">
        <v>0.8666666666666667</v>
      </c>
      <c r="CU11" s="3">
        <v>0.60000000000000009</v>
      </c>
      <c r="CV11" s="3">
        <v>3.7534946236559139</v>
      </c>
      <c r="CW11" s="3">
        <v>0.76812630652437008</v>
      </c>
      <c r="CX11" s="3">
        <v>4.8865591397849464</v>
      </c>
      <c r="CY11" s="3">
        <v>0.23485833851721993</v>
      </c>
      <c r="CZ11" s="3">
        <v>0.49664429530201343</v>
      </c>
      <c r="DA11" s="3">
        <v>0.19999999999999996</v>
      </c>
      <c r="DB11" s="3">
        <v>0.19999999999999996</v>
      </c>
      <c r="DC11" s="3">
        <v>0.1333333333333333</v>
      </c>
      <c r="DD11" s="3">
        <v>0.8</v>
      </c>
      <c r="DE11" s="3">
        <v>0.8666666666666667</v>
      </c>
      <c r="DF11" s="3">
        <v>0.44000000000000006</v>
      </c>
      <c r="DG11" s="3">
        <v>0.44571428571428573</v>
      </c>
      <c r="DH11" s="3">
        <v>0</v>
      </c>
      <c r="DI11" s="3">
        <v>0</v>
      </c>
      <c r="DJ11" s="3">
        <v>0</v>
      </c>
      <c r="DK11" s="156">
        <v>44833.691041666665</v>
      </c>
      <c r="DL11" s="3">
        <v>2022</v>
      </c>
      <c r="DM11" s="3">
        <v>32862040</v>
      </c>
      <c r="DN11" s="3">
        <v>38.852054794520548</v>
      </c>
      <c r="DO11" s="3">
        <v>26.358904109589041</v>
      </c>
      <c r="DP11" s="3">
        <v>26.938795591028924</v>
      </c>
      <c r="DQ11" s="3">
        <v>100.34916705811902</v>
      </c>
      <c r="DR11" s="3">
        <v>50.949169629512816</v>
      </c>
      <c r="DS11" s="3">
        <v>442.37243759895375</v>
      </c>
      <c r="DT11" s="3">
        <v>72.094071962090936</v>
      </c>
      <c r="DU11" s="3">
        <v>55.035723272485498</v>
      </c>
      <c r="DV11" s="3">
        <v>569.50223283353012</v>
      </c>
      <c r="DW11" s="3">
        <v>0.12166679623726968</v>
      </c>
      <c r="DX11" s="3">
        <v>12863</v>
      </c>
      <c r="DY11" s="3">
        <v>0.13852009205169055</v>
      </c>
      <c r="DZ11" s="3">
        <v>0.10430443824789928</v>
      </c>
      <c r="EA11" s="3" t="b">
        <v>0</v>
      </c>
      <c r="EB11" s="3" t="s">
        <v>675</v>
      </c>
      <c r="EC11" s="3">
        <v>1.4589470586024601E-2</v>
      </c>
      <c r="ED11" s="3">
        <v>0.11035893096396587</v>
      </c>
      <c r="EE11" s="3" t="s">
        <v>663</v>
      </c>
      <c r="EF11" s="3" t="s">
        <v>500</v>
      </c>
      <c r="EG11" s="137" t="s">
        <v>697</v>
      </c>
      <c r="EH11" s="3" t="s">
        <v>708</v>
      </c>
      <c r="EI11" s="3" t="s">
        <v>708</v>
      </c>
    </row>
    <row r="12" spans="1:139" s="25" customFormat="1">
      <c r="A12" s="25">
        <v>0</v>
      </c>
      <c r="B12" s="25">
        <v>0</v>
      </c>
      <c r="C12" s="25" t="s">
        <v>677</v>
      </c>
      <c r="D12" s="25">
        <v>32882030</v>
      </c>
      <c r="E12" s="25">
        <v>20</v>
      </c>
      <c r="F12" s="25">
        <v>2030</v>
      </c>
      <c r="G12" s="25">
        <v>0</v>
      </c>
      <c r="H12" s="25">
        <v>0</v>
      </c>
      <c r="I12" s="25">
        <v>0</v>
      </c>
      <c r="J12" s="25">
        <v>26042</v>
      </c>
      <c r="K12" s="25">
        <v>0</v>
      </c>
      <c r="L12" s="25">
        <v>0</v>
      </c>
      <c r="M12" s="25">
        <v>0.20052223331541399</v>
      </c>
      <c r="N12" s="25">
        <v>38000</v>
      </c>
      <c r="O12" s="25">
        <v>685315.78947368404</v>
      </c>
      <c r="P12" s="25">
        <v>3445</v>
      </c>
      <c r="Q12" s="25">
        <v>8994</v>
      </c>
      <c r="R12" s="25">
        <v>93394</v>
      </c>
      <c r="S12" s="25">
        <v>9064</v>
      </c>
      <c r="T12" s="25">
        <v>17360</v>
      </c>
      <c r="U12" s="25">
        <v>1957</v>
      </c>
      <c r="V12" s="25">
        <v>2729</v>
      </c>
      <c r="W12" s="25">
        <v>4753</v>
      </c>
      <c r="X12" s="25">
        <v>43942</v>
      </c>
      <c r="Y12" s="25">
        <v>49298</v>
      </c>
      <c r="Z12" s="25">
        <v>0</v>
      </c>
      <c r="AA12" s="25">
        <v>0</v>
      </c>
      <c r="AB12" s="25">
        <v>-1682</v>
      </c>
      <c r="AC12" s="25">
        <v>-7.4951281666916505E-4</v>
      </c>
      <c r="AD12" s="25">
        <v>0.38007502206531335</v>
      </c>
      <c r="AE12" s="25">
        <v>3.6886737906075336E-2</v>
      </c>
      <c r="AF12" s="25">
        <v>0.13228630673527378</v>
      </c>
      <c r="AG12" s="25">
        <v>0.99227714033539272</v>
      </c>
      <c r="AH12" s="25">
        <v>9.6301689616035288E-2</v>
      </c>
      <c r="AI12" s="25">
        <v>0.18386141425615643</v>
      </c>
      <c r="AJ12" s="25">
        <v>0.69119593998234774</v>
      </c>
      <c r="AK12" s="25">
        <v>6.7081397091890274E-2</v>
      </c>
      <c r="AL12" s="25">
        <v>0.30342450522570602</v>
      </c>
      <c r="AM12" s="25">
        <v>0.13333333333333333</v>
      </c>
      <c r="AN12" s="25">
        <v>0.13333333333333333</v>
      </c>
      <c r="AO12" s="25">
        <v>0.33333333333333331</v>
      </c>
      <c r="AP12" s="25">
        <v>0.6</v>
      </c>
      <c r="AQ12" s="25">
        <v>0.13333333333333333</v>
      </c>
      <c r="AR12" s="25">
        <v>0.4</v>
      </c>
      <c r="AS12" s="25">
        <v>0.46666666666666667</v>
      </c>
      <c r="AT12" s="25">
        <v>6.6666666666666666E-2</v>
      </c>
      <c r="AU12" s="25">
        <v>0.26666666666666666</v>
      </c>
      <c r="AV12" s="25">
        <v>0</v>
      </c>
      <c r="AW12" s="25">
        <v>0.25333333333333335</v>
      </c>
      <c r="AX12" s="25">
        <v>27.4289609093004</v>
      </c>
      <c r="AY12" s="25">
        <v>57.378168202764982</v>
      </c>
      <c r="AZ12" s="25">
        <v>99.933467741935488</v>
      </c>
      <c r="BA12" s="25">
        <v>-15.126338629870105</v>
      </c>
      <c r="BB12" s="25">
        <v>0.17867291298671401</v>
      </c>
      <c r="BC12" s="25">
        <v>0.17867291298671401</v>
      </c>
      <c r="BD12" s="25">
        <v>0.6</v>
      </c>
      <c r="BE12" s="25">
        <v>8682</v>
      </c>
      <c r="BF12" s="25">
        <v>1935</v>
      </c>
      <c r="BG12" s="25">
        <v>4024</v>
      </c>
      <c r="BH12" s="25">
        <v>0</v>
      </c>
      <c r="BI12" s="25">
        <v>7055</v>
      </c>
      <c r="BJ12" s="25">
        <v>2.0718675717926203E-2</v>
      </c>
      <c r="BK12" s="25">
        <v>3.9251085236723597E-2</v>
      </c>
      <c r="BL12" s="25">
        <v>0.33338453267798174</v>
      </c>
      <c r="BM12" s="25">
        <v>7.4303048920973808E-2</v>
      </c>
      <c r="BN12" s="25">
        <v>0</v>
      </c>
      <c r="BO12" s="25">
        <v>0.15451962214883649</v>
      </c>
      <c r="BP12" s="25">
        <v>4.3086279632524573E-2</v>
      </c>
      <c r="BQ12" s="25">
        <v>0.4</v>
      </c>
      <c r="BR12" s="25">
        <v>0.53333333333333333</v>
      </c>
      <c r="BS12" s="25">
        <v>0.8666666666666667</v>
      </c>
      <c r="BT12" s="25">
        <v>0.66666666666666663</v>
      </c>
      <c r="BU12" s="25">
        <v>1</v>
      </c>
      <c r="BV12" s="25">
        <v>0.66666666666666663</v>
      </c>
      <c r="BW12" s="25">
        <v>0.4</v>
      </c>
      <c r="BX12" s="25">
        <v>0.64761904761904776</v>
      </c>
      <c r="BY12" s="25">
        <v>222</v>
      </c>
      <c r="BZ12" s="25">
        <v>0</v>
      </c>
      <c r="CA12" s="25">
        <v>8.5246908839566853E-3</v>
      </c>
      <c r="CB12" s="25">
        <v>-67</v>
      </c>
      <c r="CC12" s="25">
        <v>-388.68656716417911</v>
      </c>
      <c r="CD12" s="25">
        <v>6.3613045071454746</v>
      </c>
      <c r="CE12" s="25">
        <v>3.6912827781715096</v>
      </c>
      <c r="CF12" s="25">
        <v>0.27884018245283421</v>
      </c>
      <c r="CG12" s="25">
        <v>0.52825672441072657</v>
      </c>
      <c r="CH12" s="25">
        <v>0.10479225865908916</v>
      </c>
      <c r="CI12" s="25">
        <v>13.307102708226878</v>
      </c>
      <c r="CJ12" s="25">
        <v>0.24057292066661548</v>
      </c>
      <c r="CK12" s="25">
        <v>2.8954858794752059</v>
      </c>
      <c r="CL12" s="25">
        <v>0.46666666666666667</v>
      </c>
      <c r="CM12" s="25">
        <v>0</v>
      </c>
      <c r="CN12" s="25">
        <v>0.93333333333333335</v>
      </c>
      <c r="CO12" s="25">
        <v>0.26666666666666666</v>
      </c>
      <c r="CP12" s="25">
        <v>0.4</v>
      </c>
      <c r="CQ12" s="25">
        <v>6.6666666666666652E-2</v>
      </c>
      <c r="CR12" s="25">
        <v>0.26666666666666666</v>
      </c>
      <c r="CS12" s="25">
        <v>0.6</v>
      </c>
      <c r="CT12" s="25">
        <v>0.26666666666666666</v>
      </c>
      <c r="CU12" s="25">
        <v>0.36296296296296293</v>
      </c>
      <c r="CV12" s="25">
        <v>0.89135461884863487</v>
      </c>
      <c r="CW12" s="25">
        <v>0.47050131700109216</v>
      </c>
      <c r="CX12" s="25">
        <v>1.8944784778287151</v>
      </c>
      <c r="CY12" s="25">
        <v>7.5664950664950659E-2</v>
      </c>
      <c r="CZ12" s="25">
        <v>-1.8009722251964795E-2</v>
      </c>
      <c r="DA12" s="25">
        <v>0.46666666666666667</v>
      </c>
      <c r="DB12" s="25">
        <v>0.46666666666666667</v>
      </c>
      <c r="DC12" s="25">
        <v>0.46666666666666667</v>
      </c>
      <c r="DD12" s="25">
        <v>6.6666666666666666E-2</v>
      </c>
      <c r="DE12" s="25">
        <v>0.33333333333333331</v>
      </c>
      <c r="DF12" s="25">
        <v>0.36</v>
      </c>
      <c r="DG12" s="25">
        <v>0.40597883597883599</v>
      </c>
      <c r="DH12" s="25">
        <v>0</v>
      </c>
      <c r="DI12" s="25">
        <v>0</v>
      </c>
      <c r="DJ12" s="25">
        <v>0</v>
      </c>
      <c r="DK12" s="157">
        <v>44833.691041666665</v>
      </c>
      <c r="DL12" s="25">
        <v>2021</v>
      </c>
      <c r="DM12" s="25">
        <v>32882030</v>
      </c>
      <c r="DN12" s="25">
        <v>71.347945205479448</v>
      </c>
      <c r="DO12" s="25">
        <v>47.561643835616437</v>
      </c>
      <c r="DP12" s="25">
        <v>26.938795591028924</v>
      </c>
      <c r="DQ12" s="25">
        <v>100.34916705811902</v>
      </c>
      <c r="DR12" s="25">
        <v>50.949169629512816</v>
      </c>
      <c r="DS12" s="25">
        <v>34.972288269659664</v>
      </c>
      <c r="DT12" s="25">
        <v>19.771342819030572</v>
      </c>
      <c r="DU12" s="25">
        <v>305.77374036070574</v>
      </c>
      <c r="DV12" s="25">
        <v>360.51737144939597</v>
      </c>
      <c r="DW12" s="25">
        <v>4.7717301079094034E-2</v>
      </c>
      <c r="DX12" s="25">
        <v>84330</v>
      </c>
      <c r="DY12" s="25">
        <v>5.0108335616267777E-2</v>
      </c>
      <c r="DZ12" s="25">
        <v>3.8194445539717764E-2</v>
      </c>
      <c r="EA12" s="25" t="b">
        <v>0</v>
      </c>
      <c r="EB12" s="25" t="s">
        <v>677</v>
      </c>
      <c r="EC12" s="25">
        <v>-2.8761389719149698E-3</v>
      </c>
      <c r="ED12" s="25">
        <v>0.15451962214883649</v>
      </c>
      <c r="EE12" s="25" t="s">
        <v>663</v>
      </c>
      <c r="EF12" s="25" t="s">
        <v>679</v>
      </c>
      <c r="EG12" s="137" t="s">
        <v>697</v>
      </c>
      <c r="EH12" s="25" t="s">
        <v>709</v>
      </c>
      <c r="EI12" s="25" t="s">
        <v>709</v>
      </c>
    </row>
    <row r="13" spans="1:139">
      <c r="A13" s="3">
        <v>0</v>
      </c>
      <c r="B13" s="3">
        <v>0</v>
      </c>
      <c r="C13" s="3" t="s">
        <v>680</v>
      </c>
      <c r="D13" s="3">
        <v>32892030</v>
      </c>
      <c r="E13" s="3">
        <v>20</v>
      </c>
      <c r="F13" s="3">
        <v>2030</v>
      </c>
      <c r="G13" s="3">
        <v>0</v>
      </c>
      <c r="H13" s="3">
        <v>0</v>
      </c>
      <c r="I13" s="3">
        <v>0</v>
      </c>
      <c r="J13" s="3">
        <v>3792.4</v>
      </c>
      <c r="K13" s="3">
        <v>0</v>
      </c>
      <c r="L13" s="3">
        <v>0</v>
      </c>
      <c r="M13" s="3">
        <v>8.9204725239953597E-2</v>
      </c>
      <c r="N13" s="3">
        <v>7600</v>
      </c>
      <c r="O13" s="3">
        <v>499000</v>
      </c>
      <c r="P13" s="3">
        <v>1364</v>
      </c>
      <c r="Q13" s="3">
        <v>2302.6</v>
      </c>
      <c r="R13" s="3">
        <v>4662.3</v>
      </c>
      <c r="S13" s="3">
        <v>1024.9000000000001</v>
      </c>
      <c r="T13" s="3">
        <v>2897.2</v>
      </c>
      <c r="U13" s="3">
        <v>342.1</v>
      </c>
      <c r="V13" s="3">
        <v>486.7</v>
      </c>
      <c r="W13" s="3">
        <v>244.4</v>
      </c>
      <c r="X13" s="3">
        <v>4422.3</v>
      </c>
      <c r="Y13" s="3">
        <v>240</v>
      </c>
      <c r="Z13" s="3">
        <v>0</v>
      </c>
      <c r="AA13" s="3">
        <v>0</v>
      </c>
      <c r="AB13" s="3">
        <v>1064.5999999999999</v>
      </c>
      <c r="AC13" s="3">
        <v>0.27404928897754322</v>
      </c>
      <c r="AD13" s="3">
        <v>1.3308615474680456</v>
      </c>
      <c r="AE13" s="3">
        <v>0.29255946635780622</v>
      </c>
      <c r="AF13" s="3">
        <v>0.35966670182470201</v>
      </c>
      <c r="AG13" s="3">
        <v>2.2466582105571273</v>
      </c>
      <c r="AH13" s="3">
        <v>0.49387641292924089</v>
      </c>
      <c r="AI13" s="3">
        <v>4.2704166666666667</v>
      </c>
      <c r="AJ13" s="3">
        <v>1.7717826129378473</v>
      </c>
      <c r="AK13" s="3">
        <v>0.38948587606975094</v>
      </c>
      <c r="AL13" s="3">
        <v>0.2113697559280813</v>
      </c>
      <c r="AM13" s="3">
        <v>0.26666666666666666</v>
      </c>
      <c r="AN13" s="3">
        <v>0.66666666666666663</v>
      </c>
      <c r="AO13" s="3">
        <v>0.8666666666666667</v>
      </c>
      <c r="AP13" s="3">
        <v>0.73333333333333328</v>
      </c>
      <c r="AQ13" s="3">
        <v>0.33333333333333331</v>
      </c>
      <c r="AR13" s="3">
        <v>0.53333333333333333</v>
      </c>
      <c r="AS13" s="3">
        <v>0.19999999999999996</v>
      </c>
      <c r="AT13" s="3">
        <v>0.26666666666666666</v>
      </c>
      <c r="AU13" s="3">
        <v>0.6</v>
      </c>
      <c r="AV13" s="3">
        <v>0.66666666666666674</v>
      </c>
      <c r="AW13" s="3">
        <v>0.51333333333333331</v>
      </c>
      <c r="AX13" s="3">
        <v>32.925456175508913</v>
      </c>
      <c r="AY13" s="3">
        <v>61.316270882231123</v>
      </c>
      <c r="AZ13" s="3">
        <v>30.790418334944089</v>
      </c>
      <c r="BA13" s="3">
        <v>63.451308722795943</v>
      </c>
      <c r="BB13" s="3">
        <v>0.20309039130893367</v>
      </c>
      <c r="BC13" s="3">
        <v>0.20309039130893367</v>
      </c>
      <c r="BD13" s="3">
        <v>1</v>
      </c>
      <c r="BE13" s="3">
        <v>895.2</v>
      </c>
      <c r="BF13" s="3">
        <v>365.9</v>
      </c>
      <c r="BG13" s="3">
        <v>586.20000000000005</v>
      </c>
      <c r="BH13" s="3">
        <v>0</v>
      </c>
      <c r="BI13" s="3">
        <v>1702</v>
      </c>
      <c r="BJ13" s="3">
        <v>7.8480578255367514E-2</v>
      </c>
      <c r="BK13" s="3">
        <v>1.5245833333333332</v>
      </c>
      <c r="BL13" s="3">
        <v>0.23605104946735578</v>
      </c>
      <c r="BM13" s="3">
        <v>9.6482438561333178E-2</v>
      </c>
      <c r="BN13" s="3">
        <v>0</v>
      </c>
      <c r="BO13" s="3">
        <v>0.15457230249973633</v>
      </c>
      <c r="BP13" s="3">
        <v>0.12573193488192524</v>
      </c>
      <c r="BQ13" s="3">
        <v>1</v>
      </c>
      <c r="BR13" s="3">
        <v>0.8666666666666667</v>
      </c>
      <c r="BS13" s="3">
        <v>0.6</v>
      </c>
      <c r="BT13" s="3">
        <v>1</v>
      </c>
      <c r="BU13" s="3">
        <v>1</v>
      </c>
      <c r="BV13" s="3">
        <v>0.93333333333333335</v>
      </c>
      <c r="BW13" s="3">
        <v>0.93333333333333335</v>
      </c>
      <c r="BX13" s="3">
        <v>0.90476190476190488</v>
      </c>
      <c r="BY13" s="3">
        <v>1277.7</v>
      </c>
      <c r="BZ13" s="3">
        <v>0</v>
      </c>
      <c r="CA13" s="3">
        <v>0.33691066343212744</v>
      </c>
      <c r="CB13" s="3">
        <v>584.4</v>
      </c>
      <c r="CC13" s="3">
        <v>6.4893908281998636</v>
      </c>
      <c r="CD13" s="3">
        <v>5.952742962810766</v>
      </c>
      <c r="CE13" s="3">
        <v>2.2282021151586369</v>
      </c>
      <c r="CF13" s="3">
        <v>0.81341826995259847</v>
      </c>
      <c r="CG13" s="3">
        <v>15.801666666666668</v>
      </c>
      <c r="CH13" s="3">
        <v>0.12833561860563231</v>
      </c>
      <c r="CI13" s="3">
        <v>11.085647471499561</v>
      </c>
      <c r="CJ13" s="3">
        <v>0.47882607319902959</v>
      </c>
      <c r="CK13" s="3">
        <v>1.6470077303917312</v>
      </c>
      <c r="CL13" s="3">
        <v>0.8666666666666667</v>
      </c>
      <c r="CM13" s="3">
        <v>0.6</v>
      </c>
      <c r="CN13" s="3">
        <v>0.33333333333333331</v>
      </c>
      <c r="CO13" s="3">
        <v>0.46666666666666667</v>
      </c>
      <c r="CP13" s="3">
        <v>0.73333333333333328</v>
      </c>
      <c r="CQ13" s="3">
        <v>0.66666666666666674</v>
      </c>
      <c r="CR13" s="3">
        <v>0.8666666666666667</v>
      </c>
      <c r="CS13" s="3">
        <v>0.66666666666666663</v>
      </c>
      <c r="CT13" s="3">
        <v>0.46666666666666667</v>
      </c>
      <c r="CU13" s="3">
        <v>0.62962962962962965</v>
      </c>
      <c r="CV13" s="3">
        <v>18.42625</v>
      </c>
      <c r="CW13" s="3">
        <v>0.94852326105141238</v>
      </c>
      <c r="CX13" s="3">
        <v>19.42625</v>
      </c>
      <c r="CY13" s="3">
        <v>0.36505587371040044</v>
      </c>
      <c r="CZ13" s="3">
        <v>0.22834223451944316</v>
      </c>
      <c r="DA13" s="3">
        <v>0.1333333333333333</v>
      </c>
      <c r="DB13" s="3">
        <v>0.1333333333333333</v>
      </c>
      <c r="DC13" s="3">
        <v>0.19999999999999996</v>
      </c>
      <c r="DD13" s="3">
        <v>0.6</v>
      </c>
      <c r="DE13" s="3">
        <v>0.53333333333333333</v>
      </c>
      <c r="DF13" s="3">
        <v>0.31999999999999995</v>
      </c>
      <c r="DG13" s="3">
        <v>0.59193121693121697</v>
      </c>
      <c r="DH13" s="3">
        <v>0</v>
      </c>
      <c r="DI13" s="3">
        <v>0</v>
      </c>
      <c r="DJ13" s="3">
        <v>0</v>
      </c>
      <c r="DK13" s="156">
        <v>44833.691041666665</v>
      </c>
      <c r="DL13" s="3">
        <v>2020</v>
      </c>
      <c r="DM13" s="3">
        <v>32892030</v>
      </c>
      <c r="DN13" s="3">
        <v>10.39013698630137</v>
      </c>
      <c r="DO13" s="3">
        <v>7.9375342465753418</v>
      </c>
      <c r="DP13" s="3">
        <v>26.938795591028924</v>
      </c>
      <c r="DQ13" s="3">
        <v>100.34916705811902</v>
      </c>
      <c r="DR13" s="3">
        <v>50.949169629512816</v>
      </c>
      <c r="DS13" s="3">
        <v>62.2022235632381</v>
      </c>
      <c r="DT13" s="3">
        <v>552.12495013912985</v>
      </c>
      <c r="DU13" s="3">
        <v>82.289221231165683</v>
      </c>
      <c r="DV13" s="3">
        <v>696.61639493353368</v>
      </c>
      <c r="DW13" s="3">
        <v>0.16115906966514545</v>
      </c>
      <c r="DX13" s="3">
        <v>3637.4</v>
      </c>
      <c r="DY13" s="3">
        <v>0.19212113266911382</v>
      </c>
      <c r="DZ13" s="3">
        <v>0.64910211976661725</v>
      </c>
      <c r="EA13" s="3" t="b">
        <v>0</v>
      </c>
      <c r="EB13" s="3" t="s">
        <v>710</v>
      </c>
      <c r="EC13" s="3">
        <v>6.180065357603759E-2</v>
      </c>
      <c r="ED13" s="3">
        <v>0.15457230249973633</v>
      </c>
      <c r="EE13" s="3" t="s">
        <v>663</v>
      </c>
      <c r="EF13" s="3" t="s">
        <v>679</v>
      </c>
      <c r="EG13" s="137" t="s">
        <v>697</v>
      </c>
      <c r="EH13" s="3" t="s">
        <v>711</v>
      </c>
      <c r="EI13" s="3" t="s">
        <v>712</v>
      </c>
    </row>
    <row r="14" spans="1:139" s="147" customFormat="1">
      <c r="A14" s="147">
        <v>0</v>
      </c>
      <c r="B14" s="147">
        <v>0</v>
      </c>
      <c r="C14" s="147" t="s">
        <v>682</v>
      </c>
      <c r="D14" s="147">
        <v>32932090</v>
      </c>
      <c r="E14" s="147">
        <v>20</v>
      </c>
      <c r="F14" s="147">
        <v>2090</v>
      </c>
      <c r="G14" s="147">
        <v>0</v>
      </c>
      <c r="H14" s="147">
        <v>0</v>
      </c>
      <c r="I14" s="147">
        <v>0</v>
      </c>
      <c r="J14" s="147">
        <v>6317.9</v>
      </c>
      <c r="K14" s="147">
        <v>0</v>
      </c>
      <c r="L14" s="147">
        <v>0</v>
      </c>
      <c r="M14" s="147">
        <v>0.22224156760948999</v>
      </c>
      <c r="N14" s="147">
        <v>13000</v>
      </c>
      <c r="O14" s="147">
        <v>485992.30769230798</v>
      </c>
      <c r="P14" s="147">
        <v>351.7</v>
      </c>
      <c r="Q14" s="147">
        <v>2195.8000000000002</v>
      </c>
      <c r="R14" s="147">
        <v>12905.8</v>
      </c>
      <c r="S14" s="147">
        <v>3223.8</v>
      </c>
      <c r="T14" s="147">
        <v>3823.3</v>
      </c>
      <c r="U14" s="147">
        <v>549.5</v>
      </c>
      <c r="V14" s="147">
        <v>1182.3</v>
      </c>
      <c r="W14" s="147">
        <v>1064.2</v>
      </c>
      <c r="X14" s="147">
        <v>8480.2999999999993</v>
      </c>
      <c r="Y14" s="147">
        <v>4411</v>
      </c>
      <c r="Z14" s="147">
        <v>0</v>
      </c>
      <c r="AA14" s="147">
        <v>0</v>
      </c>
      <c r="AB14" s="147">
        <v>2782.4</v>
      </c>
      <c r="AC14" s="147">
        <v>-7.9654109005253451E-2</v>
      </c>
      <c r="AD14" s="147">
        <v>0.10909485700105465</v>
      </c>
      <c r="AE14" s="147">
        <v>2.7251313362984086E-2</v>
      </c>
      <c r="AF14" s="147">
        <v>5.5667231200240586E-2</v>
      </c>
      <c r="AG14" s="147">
        <v>0.68112165767107147</v>
      </c>
      <c r="AH14" s="147">
        <v>0.17014055695888672</v>
      </c>
      <c r="AI14" s="147">
        <v>0.73085468147812294</v>
      </c>
      <c r="AJ14" s="147">
        <v>0.31438054469880272</v>
      </c>
      <c r="AK14" s="147">
        <v>7.8530583148661862E-2</v>
      </c>
      <c r="AL14" s="147">
        <v>0.53843701612168682</v>
      </c>
      <c r="AM14" s="147">
        <v>0.46666666666666667</v>
      </c>
      <c r="AN14" s="147">
        <v>0.33333333333333331</v>
      </c>
      <c r="AO14" s="147">
        <v>0.26666666666666666</v>
      </c>
      <c r="AP14" s="147">
        <v>0.33333333333333331</v>
      </c>
      <c r="AQ14" s="147">
        <v>0.4</v>
      </c>
      <c r="AR14" s="147">
        <v>0.2</v>
      </c>
      <c r="AS14" s="147">
        <v>0.6</v>
      </c>
      <c r="AT14" s="147">
        <v>0.2</v>
      </c>
      <c r="AU14" s="147">
        <v>0.2</v>
      </c>
      <c r="AV14" s="147">
        <v>6.6666666666666652E-2</v>
      </c>
      <c r="AW14" s="147">
        <v>0.30666666666666664</v>
      </c>
      <c r="AX14" s="147">
        <v>31.7459124076038</v>
      </c>
      <c r="AY14" s="147">
        <v>112.87094918002772</v>
      </c>
      <c r="AZ14" s="147">
        <v>101.59626500666963</v>
      </c>
      <c r="BA14" s="147">
        <v>43.020596580961893</v>
      </c>
      <c r="BB14" s="147">
        <v>0.19289637379509</v>
      </c>
      <c r="BC14" s="147">
        <v>0.19289637379509</v>
      </c>
      <c r="BD14" s="147">
        <v>0.33333333333333331</v>
      </c>
      <c r="BE14" s="147">
        <v>2494.6</v>
      </c>
      <c r="BF14" s="147">
        <v>661.8</v>
      </c>
      <c r="BG14" s="147">
        <v>984.4</v>
      </c>
      <c r="BH14" s="147">
        <v>0</v>
      </c>
      <c r="BI14" s="147">
        <v>952.6</v>
      </c>
      <c r="BJ14" s="147">
        <v>5.1279269785677754E-2</v>
      </c>
      <c r="BK14" s="147">
        <v>0.150034005894355</v>
      </c>
      <c r="BL14" s="147">
        <v>0.39484638883173206</v>
      </c>
      <c r="BM14" s="147">
        <v>0.10474999604298897</v>
      </c>
      <c r="BN14" s="147">
        <v>0</v>
      </c>
      <c r="BO14" s="147">
        <v>0.15581126640181073</v>
      </c>
      <c r="BP14" s="147">
        <v>7.627578298129524E-2</v>
      </c>
      <c r="BQ14" s="147">
        <v>0.2</v>
      </c>
      <c r="BR14" s="147">
        <v>0.26666666666666666</v>
      </c>
      <c r="BS14" s="147">
        <v>0.4</v>
      </c>
      <c r="BT14" s="147">
        <v>0.4</v>
      </c>
      <c r="BU14" s="147">
        <v>1</v>
      </c>
      <c r="BV14" s="147">
        <v>0.4</v>
      </c>
      <c r="BW14" s="147">
        <v>0.26666666666666666</v>
      </c>
      <c r="BX14" s="147">
        <v>0.419047619047619</v>
      </c>
      <c r="BY14" s="147">
        <v>-604.20000000000005</v>
      </c>
      <c r="BZ14" s="147">
        <v>0</v>
      </c>
      <c r="CA14" s="147">
        <v>-9.5633042624922851E-2</v>
      </c>
      <c r="CB14" s="147">
        <v>667.59999999999991</v>
      </c>
      <c r="CC14" s="147">
        <v>9.4636009586578798</v>
      </c>
      <c r="CD14" s="147">
        <v>3.2337816121119856</v>
      </c>
      <c r="CE14" s="147">
        <v>6.63226957799706</v>
      </c>
      <c r="CF14" s="147">
        <v>0.48953958685242294</v>
      </c>
      <c r="CG14" s="147">
        <v>1.4323055996372704</v>
      </c>
      <c r="CH14" s="147">
        <v>0.18713496573228447</v>
      </c>
      <c r="CI14" s="147">
        <v>11.497543221110099</v>
      </c>
      <c r="CJ14" s="147">
        <v>0.1604172272432296</v>
      </c>
      <c r="CK14" s="147">
        <v>2.8772656890427175</v>
      </c>
      <c r="CL14" s="147">
        <v>0.73333333333333328</v>
      </c>
      <c r="CM14" s="147">
        <v>0.26666666666666666</v>
      </c>
      <c r="CN14" s="147">
        <v>0.6</v>
      </c>
      <c r="CO14" s="147">
        <v>0.33333333333333331</v>
      </c>
      <c r="CP14" s="147">
        <v>0.26666666666666666</v>
      </c>
      <c r="CQ14" s="147">
        <v>0.19999999999999996</v>
      </c>
      <c r="CR14" s="147">
        <v>0.53333333333333333</v>
      </c>
      <c r="CS14" s="147">
        <v>0.2</v>
      </c>
      <c r="CT14" s="147">
        <v>0.6</v>
      </c>
      <c r="CU14" s="147">
        <v>0.41481481481481486</v>
      </c>
      <c r="CV14" s="147">
        <v>1.9225345726592609</v>
      </c>
      <c r="CW14" s="147">
        <v>0.65709216011405724</v>
      </c>
      <c r="CX14" s="147">
        <v>2.9258218091135797</v>
      </c>
      <c r="CY14" s="147">
        <v>7.3894797266373449E-2</v>
      </c>
      <c r="CZ14" s="147">
        <v>0.21559298919865488</v>
      </c>
      <c r="DA14" s="147">
        <v>0.53333333333333333</v>
      </c>
      <c r="DB14" s="147">
        <v>0.53333333333333333</v>
      </c>
      <c r="DC14" s="147">
        <v>0.53333333333333333</v>
      </c>
      <c r="DD14" s="147">
        <v>0.2</v>
      </c>
      <c r="DE14" s="147">
        <v>0.46666666666666667</v>
      </c>
      <c r="DF14" s="147">
        <v>0.45333333333333331</v>
      </c>
      <c r="DG14" s="147">
        <v>0.39846560846560847</v>
      </c>
      <c r="DH14" s="147">
        <v>0</v>
      </c>
      <c r="DI14" s="147">
        <v>0</v>
      </c>
      <c r="DJ14" s="147">
        <v>0</v>
      </c>
      <c r="DK14" s="158">
        <v>44833.691041666665</v>
      </c>
      <c r="DL14" s="147">
        <v>2021</v>
      </c>
      <c r="DM14" s="147">
        <v>32932090</v>
      </c>
      <c r="DN14" s="147">
        <v>17.309315068493149</v>
      </c>
      <c r="DO14" s="147">
        <v>10.474794520547945</v>
      </c>
      <c r="DP14" s="147">
        <v>26.938795591028924</v>
      </c>
      <c r="DQ14" s="147">
        <v>100.34916705811902</v>
      </c>
      <c r="DR14" s="147">
        <v>50.949169629512816</v>
      </c>
      <c r="DS14" s="147">
        <v>83.207899549146319</v>
      </c>
      <c r="DT14" s="147">
        <v>0</v>
      </c>
      <c r="DU14" s="147">
        <v>648.61791713831133</v>
      </c>
      <c r="DV14" s="147">
        <v>731.82581668745763</v>
      </c>
      <c r="DW14" s="147">
        <v>0.10167320801487295</v>
      </c>
      <c r="DX14" s="147">
        <v>9682</v>
      </c>
      <c r="DY14" s="147">
        <v>0.11318064753495216</v>
      </c>
      <c r="DZ14" s="147">
        <v>0.26174027778521375</v>
      </c>
      <c r="EA14" s="147" t="b">
        <v>0</v>
      </c>
      <c r="EB14" s="147" t="s">
        <v>682</v>
      </c>
      <c r="EC14" s="147">
        <v>6.0121966074757401E-2</v>
      </c>
      <c r="ED14" s="147">
        <v>0.15581126640181073</v>
      </c>
      <c r="EE14" s="147" t="s">
        <v>663</v>
      </c>
      <c r="EF14" s="147" t="s">
        <v>683</v>
      </c>
      <c r="EG14" s="137" t="s">
        <v>697</v>
      </c>
      <c r="EH14" s="147" t="s">
        <v>713</v>
      </c>
      <c r="EI14" s="147" t="s">
        <v>713</v>
      </c>
    </row>
    <row r="15" spans="1:139">
      <c r="A15" s="3">
        <v>0</v>
      </c>
      <c r="B15" s="3">
        <v>0</v>
      </c>
      <c r="C15" s="3" t="s">
        <v>684</v>
      </c>
      <c r="D15" s="3">
        <v>32972000</v>
      </c>
      <c r="E15" s="3">
        <v>20</v>
      </c>
      <c r="F15" s="3">
        <v>2000</v>
      </c>
      <c r="G15" s="3">
        <v>0</v>
      </c>
      <c r="H15" s="3">
        <v>0</v>
      </c>
      <c r="I15" s="3">
        <v>0</v>
      </c>
      <c r="J15" s="3">
        <v>28720</v>
      </c>
      <c r="K15" s="3">
        <v>0</v>
      </c>
      <c r="L15" s="3">
        <v>0</v>
      </c>
      <c r="M15" s="3">
        <v>0.21807103064066899</v>
      </c>
      <c r="N15" s="3">
        <v>79000</v>
      </c>
      <c r="O15" s="3">
        <v>363544.30379746802</v>
      </c>
      <c r="P15" s="3">
        <v>3546</v>
      </c>
      <c r="Q15" s="3">
        <v>10342</v>
      </c>
      <c r="R15" s="3">
        <v>67092</v>
      </c>
      <c r="S15" s="3">
        <v>14008</v>
      </c>
      <c r="T15" s="3">
        <v>17466</v>
      </c>
      <c r="U15" s="3">
        <v>3188</v>
      </c>
      <c r="V15" s="3">
        <v>2708</v>
      </c>
      <c r="W15" s="3">
        <v>6730</v>
      </c>
      <c r="X15" s="3">
        <v>38769</v>
      </c>
      <c r="Y15" s="3">
        <v>28269</v>
      </c>
      <c r="Z15" s="3">
        <v>0</v>
      </c>
      <c r="AA15" s="3">
        <v>0</v>
      </c>
      <c r="AB15" s="3">
        <v>30806</v>
      </c>
      <c r="AC15" s="3">
        <v>-5.4641387944911468E-2</v>
      </c>
      <c r="AD15" s="3">
        <v>0.25314106225014277</v>
      </c>
      <c r="AE15" s="3">
        <v>5.2852799141477377E-2</v>
      </c>
      <c r="AF15" s="3">
        <v>0.12346796657381616</v>
      </c>
      <c r="AG15" s="3">
        <v>0.73829240434037691</v>
      </c>
      <c r="AH15" s="3">
        <v>0.15414654504262804</v>
      </c>
      <c r="AI15" s="3">
        <v>0.49552513353850508</v>
      </c>
      <c r="AJ15" s="3">
        <v>0.54497430039977157</v>
      </c>
      <c r="AK15" s="3">
        <v>0.11378405771179873</v>
      </c>
      <c r="AL15" s="3">
        <v>0.26184490427383483</v>
      </c>
      <c r="AM15" s="3">
        <v>0.8</v>
      </c>
      <c r="AN15" s="3">
        <v>0.4</v>
      </c>
      <c r="AO15" s="3">
        <v>0.6</v>
      </c>
      <c r="AP15" s="3">
        <v>0.2</v>
      </c>
      <c r="AQ15" s="3">
        <v>0.73333333333333328</v>
      </c>
      <c r="AR15" s="3">
        <v>0.8666666666666667</v>
      </c>
      <c r="AS15" s="3">
        <v>0.33333333333333337</v>
      </c>
      <c r="AT15" s="3">
        <v>0.66666666666666663</v>
      </c>
      <c r="AU15" s="3">
        <v>0.8666666666666667</v>
      </c>
      <c r="AV15" s="3">
        <v>0.1333333333333333</v>
      </c>
      <c r="AW15" s="3">
        <v>0.55999999999999994</v>
      </c>
      <c r="AX15" s="3">
        <v>40.516016713091901</v>
      </c>
      <c r="AY15" s="3">
        <v>56.591091263025305</v>
      </c>
      <c r="AZ15" s="3">
        <v>140.64181839001489</v>
      </c>
      <c r="BA15" s="3">
        <v>-43.534710413897685</v>
      </c>
      <c r="BB15" s="3">
        <v>0.245473537604457</v>
      </c>
      <c r="BC15" s="3">
        <v>0.245473537604457</v>
      </c>
      <c r="BD15" s="3">
        <v>6.6666666666666666E-2</v>
      </c>
      <c r="BE15" s="3">
        <v>11254</v>
      </c>
      <c r="BF15" s="3">
        <v>3870</v>
      </c>
      <c r="BG15" s="3">
        <v>4328</v>
      </c>
      <c r="BH15" s="3">
        <v>0</v>
      </c>
      <c r="BI15" s="3">
        <v>9301</v>
      </c>
      <c r="BJ15" s="3">
        <v>5.7681988910749417E-2</v>
      </c>
      <c r="BK15" s="3">
        <v>0.13689907672715695</v>
      </c>
      <c r="BL15" s="3">
        <v>0.39185236768802229</v>
      </c>
      <c r="BM15" s="3">
        <v>0.13474930362116991</v>
      </c>
      <c r="BN15" s="3">
        <v>0</v>
      </c>
      <c r="BO15" s="3">
        <v>0.15069637883008358</v>
      </c>
      <c r="BP15" s="3">
        <v>6.4508436177189529E-2</v>
      </c>
      <c r="BQ15" s="3">
        <v>0.33333333333333331</v>
      </c>
      <c r="BR15" s="3">
        <v>0.6</v>
      </c>
      <c r="BS15" s="3">
        <v>0</v>
      </c>
      <c r="BT15" s="3">
        <v>0.13333333333333333</v>
      </c>
      <c r="BU15" s="3">
        <v>1</v>
      </c>
      <c r="BV15" s="3">
        <v>0.13333333333333333</v>
      </c>
      <c r="BW15" s="3">
        <v>0.53333333333333333</v>
      </c>
      <c r="BX15" s="3">
        <v>0.39047619047619042</v>
      </c>
      <c r="BY15" s="3">
        <v>-7692</v>
      </c>
      <c r="BZ15" s="3">
        <v>0</v>
      </c>
      <c r="CA15" s="3">
        <v>-0.26782729805013927</v>
      </c>
      <c r="CB15" s="3">
        <v>-834</v>
      </c>
      <c r="CC15" s="3">
        <v>-34.436450839328536</v>
      </c>
      <c r="CD15" s="3">
        <v>6.4497784342688327</v>
      </c>
      <c r="CE15" s="3">
        <v>3.0878400172024514</v>
      </c>
      <c r="CF15" s="3">
        <v>0.42806892028855897</v>
      </c>
      <c r="CG15" s="3">
        <v>1.0159538717322862</v>
      </c>
      <c r="CH15" s="3">
        <v>9.4289693593314766E-2</v>
      </c>
      <c r="CI15" s="3">
        <v>9.0087829360100375</v>
      </c>
      <c r="CJ15" s="3">
        <v>0.26580779944289695</v>
      </c>
      <c r="CK15" s="3">
        <v>2.7770257203635662</v>
      </c>
      <c r="CL15" s="3">
        <v>0.66666666666666663</v>
      </c>
      <c r="CM15" s="3">
        <v>0.8666666666666667</v>
      </c>
      <c r="CN15" s="3">
        <v>0.73333333333333328</v>
      </c>
      <c r="CO15" s="3">
        <v>1</v>
      </c>
      <c r="CP15" s="3">
        <v>0.93333333333333335</v>
      </c>
      <c r="CQ15" s="3">
        <v>0.53333333333333333</v>
      </c>
      <c r="CR15" s="3">
        <v>0.8</v>
      </c>
      <c r="CS15" s="3">
        <v>0.13333333333333333</v>
      </c>
      <c r="CT15" s="3">
        <v>0.93333333333333335</v>
      </c>
      <c r="CU15" s="3">
        <v>0.73333333333333339</v>
      </c>
      <c r="CV15" s="3">
        <v>1.3714316035232941</v>
      </c>
      <c r="CW15" s="3">
        <v>0.57784832766946881</v>
      </c>
      <c r="CX15" s="3">
        <v>2.3733418231985568</v>
      </c>
      <c r="CY15" s="3">
        <v>0.13874220591306424</v>
      </c>
      <c r="CZ15" s="3">
        <v>0.45916055565492159</v>
      </c>
      <c r="DA15" s="3">
        <v>0.4</v>
      </c>
      <c r="DB15" s="3">
        <v>0.4</v>
      </c>
      <c r="DC15" s="3">
        <v>0.4</v>
      </c>
      <c r="DD15" s="3">
        <v>0.8666666666666667</v>
      </c>
      <c r="DE15" s="3">
        <v>0.2</v>
      </c>
      <c r="DF15" s="3">
        <v>0.45333333333333342</v>
      </c>
      <c r="DG15" s="3">
        <v>0.53428571428571436</v>
      </c>
      <c r="DH15" s="3">
        <v>0</v>
      </c>
      <c r="DI15" s="3">
        <v>0</v>
      </c>
      <c r="DJ15" s="3">
        <v>0</v>
      </c>
      <c r="DK15" s="156">
        <v>44833.691041666665</v>
      </c>
      <c r="DL15" s="3">
        <v>2021</v>
      </c>
      <c r="DM15" s="3">
        <v>32972000</v>
      </c>
      <c r="DN15" s="3">
        <v>78.68493150684931</v>
      </c>
      <c r="DO15" s="3">
        <v>47.852054794520548</v>
      </c>
      <c r="DP15" s="3">
        <v>26.938795591028924</v>
      </c>
      <c r="DQ15" s="3">
        <v>100.34916705811902</v>
      </c>
      <c r="DR15" s="3">
        <v>50.949169629512816</v>
      </c>
      <c r="DS15" s="3">
        <v>1068.322714042873</v>
      </c>
      <c r="DT15" s="3">
        <v>0</v>
      </c>
      <c r="DU15" s="3">
        <v>269.9775431532305</v>
      </c>
      <c r="DV15" s="3">
        <v>1338.3002571961035</v>
      </c>
      <c r="DW15" s="3">
        <v>8.1531158164418652E-2</v>
      </c>
      <c r="DX15" s="3">
        <v>53084</v>
      </c>
      <c r="DY15" s="3">
        <v>8.8768561818032651E-2</v>
      </c>
      <c r="DZ15" s="3">
        <v>0.10599558507810103</v>
      </c>
      <c r="EA15" s="3" t="b">
        <v>0</v>
      </c>
      <c r="EB15" s="3" t="s">
        <v>685</v>
      </c>
      <c r="EC15" s="3">
        <v>3.4544834358756001E-2</v>
      </c>
      <c r="ED15" s="3">
        <v>0.15069637883008358</v>
      </c>
      <c r="EE15" s="3" t="s">
        <v>663</v>
      </c>
      <c r="EF15" s="3" t="s">
        <v>499</v>
      </c>
      <c r="EG15" s="137" t="s">
        <v>697</v>
      </c>
      <c r="EH15" s="3" t="s">
        <v>714</v>
      </c>
      <c r="EI15" s="3" t="s">
        <v>138</v>
      </c>
    </row>
    <row r="16" spans="1:139" s="25" customFormat="1">
      <c r="A16" s="25">
        <v>0</v>
      </c>
      <c r="B16" s="25">
        <v>0</v>
      </c>
      <c r="C16" s="25" t="s">
        <v>686</v>
      </c>
      <c r="D16" s="25">
        <v>33042015</v>
      </c>
      <c r="E16" s="25">
        <v>20</v>
      </c>
      <c r="F16" s="25">
        <v>2015</v>
      </c>
      <c r="G16" s="25">
        <v>0</v>
      </c>
      <c r="H16" s="25">
        <v>0</v>
      </c>
      <c r="I16" s="25">
        <v>0</v>
      </c>
      <c r="J16" s="25">
        <v>14777.458000000001</v>
      </c>
      <c r="K16" s="25">
        <v>0</v>
      </c>
      <c r="L16" s="25">
        <v>0</v>
      </c>
      <c r="M16" s="25">
        <v>7.7744155997601205E-2</v>
      </c>
      <c r="N16" s="25">
        <v>56400</v>
      </c>
      <c r="O16" s="25">
        <v>262011.66666666701</v>
      </c>
      <c r="P16" s="25">
        <v>450.12099999999998</v>
      </c>
      <c r="Q16" s="25">
        <v>3305.9540000000002</v>
      </c>
      <c r="R16" s="25">
        <v>8913.2049999999999</v>
      </c>
      <c r="S16" s="25">
        <v>2390.8229999999999</v>
      </c>
      <c r="T16" s="25">
        <v>13411.630999999999</v>
      </c>
      <c r="U16" s="25">
        <v>1014.782</v>
      </c>
      <c r="V16" s="25">
        <v>1575.6579999999999</v>
      </c>
      <c r="W16" s="25">
        <v>1400.394</v>
      </c>
      <c r="X16" s="25">
        <v>6324.2709999999997</v>
      </c>
      <c r="Y16" s="25">
        <v>2577.08</v>
      </c>
      <c r="Z16" s="25">
        <v>0</v>
      </c>
      <c r="AA16" s="25">
        <v>0</v>
      </c>
      <c r="AB16" s="25">
        <v>1003.569</v>
      </c>
      <c r="AC16" s="25">
        <v>0.10267137354071855</v>
      </c>
      <c r="AD16" s="25">
        <v>0.18827031528473667</v>
      </c>
      <c r="AE16" s="25">
        <v>5.0500465320835769E-2</v>
      </c>
      <c r="AF16" s="25">
        <v>3.0459974915848176E-2</v>
      </c>
      <c r="AG16" s="25">
        <v>1.3827681932121283</v>
      </c>
      <c r="AH16" s="25">
        <v>0.37090519066934963</v>
      </c>
      <c r="AI16" s="25">
        <v>0.92772556536855666</v>
      </c>
      <c r="AJ16" s="25">
        <v>0.72372400633589373</v>
      </c>
      <c r="AK16" s="25">
        <v>0.19412725276710233</v>
      </c>
      <c r="AL16" s="25">
        <v>0.47661219726590259</v>
      </c>
      <c r="AM16" s="25">
        <v>0.53333333333333333</v>
      </c>
      <c r="AN16" s="25">
        <v>0.8</v>
      </c>
      <c r="AO16" s="25">
        <v>0.46666666666666667</v>
      </c>
      <c r="AP16" s="25">
        <v>0.8666666666666667</v>
      </c>
      <c r="AQ16" s="25">
        <v>0.53333333333333333</v>
      </c>
      <c r="AR16" s="25">
        <v>6.6666666666666666E-2</v>
      </c>
      <c r="AS16" s="25">
        <v>0.93333333333333335</v>
      </c>
      <c r="AT16" s="25">
        <v>0.6</v>
      </c>
      <c r="AU16" s="25">
        <v>0.13333333333333333</v>
      </c>
      <c r="AV16" s="25">
        <v>0.73333333333333339</v>
      </c>
      <c r="AW16" s="25">
        <v>0.56666666666666665</v>
      </c>
      <c r="AX16" s="25">
        <v>25.064894787723301</v>
      </c>
      <c r="AY16" s="25">
        <v>42.881821756056368</v>
      </c>
      <c r="AZ16" s="25">
        <v>38.111979818114591</v>
      </c>
      <c r="BA16" s="25">
        <v>29.834736725665081</v>
      </c>
      <c r="BB16" s="25">
        <v>4.1870394759369302E-2</v>
      </c>
      <c r="BC16" s="25">
        <v>4.1870394759369302E-2</v>
      </c>
      <c r="BD16" s="25">
        <v>0.4</v>
      </c>
      <c r="BE16" s="25">
        <v>1365.827</v>
      </c>
      <c r="BF16" s="25">
        <v>455.92399999999998</v>
      </c>
      <c r="BG16" s="25">
        <v>749.56299999999999</v>
      </c>
      <c r="BH16" s="25">
        <v>0</v>
      </c>
      <c r="BI16" s="25">
        <v>2929.8989999999999</v>
      </c>
      <c r="BJ16" s="25">
        <v>5.1151521815104663E-2</v>
      </c>
      <c r="BK16" s="25">
        <v>0.17691495801449703</v>
      </c>
      <c r="BL16" s="25">
        <v>9.2426383482192939E-2</v>
      </c>
      <c r="BM16" s="25">
        <v>3.0852667623890384E-2</v>
      </c>
      <c r="BN16" s="25">
        <v>0</v>
      </c>
      <c r="BO16" s="25">
        <v>5.0723405879414443E-2</v>
      </c>
      <c r="BP16" s="25">
        <v>8.4095788215350145E-2</v>
      </c>
      <c r="BQ16" s="25">
        <v>0.13333333333333333</v>
      </c>
      <c r="BR16" s="25">
        <v>0.13333333333333333</v>
      </c>
      <c r="BS16" s="25">
        <v>0.53333333333333333</v>
      </c>
      <c r="BT16" s="25">
        <v>0.33333333333333331</v>
      </c>
      <c r="BU16" s="25">
        <v>1</v>
      </c>
      <c r="BV16" s="25">
        <v>0.53333333333333333</v>
      </c>
      <c r="BW16" s="25">
        <v>0.13333333333333333</v>
      </c>
      <c r="BX16" s="25">
        <v>0.39999999999999997</v>
      </c>
      <c r="BY16" s="25">
        <v>950.08100000000002</v>
      </c>
      <c r="BZ16" s="25">
        <v>0</v>
      </c>
      <c r="CA16" s="25">
        <v>6.4292586722290129E-2</v>
      </c>
      <c r="CB16" s="25">
        <v>1190.046</v>
      </c>
      <c r="CC16" s="25">
        <v>12.417551926564183</v>
      </c>
      <c r="CD16" s="25">
        <v>8.511765243472885</v>
      </c>
      <c r="CE16" s="25">
        <v>5.0436748843560819</v>
      </c>
      <c r="CF16" s="25">
        <v>1.6579286575367671</v>
      </c>
      <c r="CG16" s="25">
        <v>5.7341867540006524</v>
      </c>
      <c r="CH16" s="25">
        <v>0.10662578096990699</v>
      </c>
      <c r="CI16" s="25">
        <v>14.562199566015163</v>
      </c>
      <c r="CJ16" s="25">
        <v>0.11709023297511657</v>
      </c>
      <c r="CK16" s="25">
        <v>4.4699526974664501</v>
      </c>
      <c r="CL16" s="25">
        <v>0</v>
      </c>
      <c r="CM16" s="25">
        <v>0.4</v>
      </c>
      <c r="CN16" s="25">
        <v>0.46666666666666667</v>
      </c>
      <c r="CO16" s="25">
        <v>6.6666666666666666E-2</v>
      </c>
      <c r="CP16" s="25">
        <v>6.6666666666666666E-2</v>
      </c>
      <c r="CQ16" s="25">
        <v>0.6</v>
      </c>
      <c r="CR16" s="25">
        <v>0.6</v>
      </c>
      <c r="CS16" s="25">
        <v>0.8</v>
      </c>
      <c r="CT16" s="25">
        <v>0.33333333333333331</v>
      </c>
      <c r="CU16" s="25">
        <v>0.37037037037037041</v>
      </c>
      <c r="CV16" s="25">
        <v>2.4540452760488614</v>
      </c>
      <c r="CW16" s="25">
        <v>0.70953949785739245</v>
      </c>
      <c r="CX16" s="25">
        <v>3.4586450556443729</v>
      </c>
      <c r="CY16" s="25">
        <v>0.32915217027168125</v>
      </c>
      <c r="CZ16" s="25">
        <v>0.11259350592744136</v>
      </c>
      <c r="DA16" s="25">
        <v>0.8</v>
      </c>
      <c r="DB16" s="25">
        <v>0.8</v>
      </c>
      <c r="DC16" s="25">
        <v>0.8</v>
      </c>
      <c r="DD16" s="25">
        <v>0.13333333333333333</v>
      </c>
      <c r="DE16" s="25">
        <v>0.13333333333333333</v>
      </c>
      <c r="DF16" s="25">
        <v>0.53333333333333344</v>
      </c>
      <c r="DG16" s="25">
        <v>0.46759259259259262</v>
      </c>
      <c r="DH16" s="25">
        <v>0</v>
      </c>
      <c r="DI16" s="25">
        <v>0</v>
      </c>
      <c r="DJ16" s="25">
        <v>0</v>
      </c>
      <c r="DK16" s="157">
        <v>44833.691041666665</v>
      </c>
      <c r="DL16" s="25">
        <v>2021</v>
      </c>
      <c r="DM16" s="25">
        <v>33042015</v>
      </c>
      <c r="DN16" s="25">
        <v>40.486186301369862</v>
      </c>
      <c r="DO16" s="25">
        <v>36.744194520547943</v>
      </c>
      <c r="DP16" s="25">
        <v>26.938795591028924</v>
      </c>
      <c r="DQ16" s="25">
        <v>100.34916705811902</v>
      </c>
      <c r="DR16" s="25">
        <v>50.949169629512816</v>
      </c>
      <c r="DS16" s="25">
        <v>0</v>
      </c>
      <c r="DT16" s="25">
        <v>2286.8553143584872</v>
      </c>
      <c r="DU16" s="25">
        <v>0</v>
      </c>
      <c r="DV16" s="25">
        <v>2286.8553143584872</v>
      </c>
      <c r="DW16" s="25">
        <v>0.11492166512173008</v>
      </c>
      <c r="DX16" s="25">
        <v>6522.3819999999996</v>
      </c>
      <c r="DY16" s="25">
        <v>0.12984349587264041</v>
      </c>
      <c r="DZ16" s="25">
        <v>0.57302691977628917</v>
      </c>
      <c r="EA16" s="25" t="b">
        <v>0</v>
      </c>
      <c r="EB16" s="25" t="s">
        <v>686</v>
      </c>
      <c r="EC16" s="25">
        <v>0.105495036517585</v>
      </c>
      <c r="ED16" s="25">
        <v>5.0723405879414443E-2</v>
      </c>
      <c r="EE16" s="25" t="s">
        <v>663</v>
      </c>
      <c r="EF16" s="25" t="s">
        <v>688</v>
      </c>
      <c r="EG16" s="137" t="s">
        <v>697</v>
      </c>
      <c r="EH16" s="25" t="s">
        <v>715</v>
      </c>
      <c r="EI16" s="25" t="s">
        <v>715</v>
      </c>
    </row>
    <row r="17" spans="1:139">
      <c r="A17" s="3">
        <v>0</v>
      </c>
      <c r="B17" s="3">
        <v>0</v>
      </c>
      <c r="C17" s="3" t="s">
        <v>689</v>
      </c>
      <c r="D17" s="3">
        <v>33202015</v>
      </c>
      <c r="E17" s="3">
        <v>20</v>
      </c>
      <c r="F17" s="3">
        <v>2015</v>
      </c>
      <c r="G17" s="3">
        <v>0</v>
      </c>
      <c r="H17" s="3">
        <v>0</v>
      </c>
      <c r="I17" s="3">
        <v>0</v>
      </c>
      <c r="J17" s="3">
        <v>47049</v>
      </c>
      <c r="K17" s="3">
        <v>0</v>
      </c>
      <c r="L17" s="3">
        <v>0</v>
      </c>
      <c r="M17" s="3">
        <v>4.5271950519670999E-2</v>
      </c>
      <c r="N17" s="3">
        <v>139000</v>
      </c>
      <c r="O17" s="3">
        <v>338482.01438848901</v>
      </c>
      <c r="P17" s="3">
        <v>2507</v>
      </c>
      <c r="Q17" s="3">
        <v>9822</v>
      </c>
      <c r="R17" s="3">
        <v>36309</v>
      </c>
      <c r="S17" s="3">
        <v>6325</v>
      </c>
      <c r="T17" s="3">
        <v>40523</v>
      </c>
      <c r="U17" s="3">
        <v>2400</v>
      </c>
      <c r="V17" s="3">
        <v>4382</v>
      </c>
      <c r="W17" s="3">
        <v>2225</v>
      </c>
      <c r="X17" s="3">
        <v>18455</v>
      </c>
      <c r="Y17" s="3">
        <v>17723</v>
      </c>
      <c r="Z17" s="3">
        <v>0</v>
      </c>
      <c r="AA17" s="3">
        <v>0</v>
      </c>
      <c r="AB17" s="3">
        <v>17502</v>
      </c>
      <c r="AC17" s="3">
        <v>9.6312209094163978E-2</v>
      </c>
      <c r="AD17" s="3">
        <v>0.39636363636363636</v>
      </c>
      <c r="AE17" s="3">
        <v>6.90462419785728E-2</v>
      </c>
      <c r="AF17" s="3">
        <v>5.3284873217284111E-2</v>
      </c>
      <c r="AG17" s="3">
        <v>1.5528853754940712</v>
      </c>
      <c r="AH17" s="3">
        <v>0.27051144344377426</v>
      </c>
      <c r="AI17" s="3">
        <v>0.35688088923997063</v>
      </c>
      <c r="AJ17" s="3">
        <v>0.86007905138339924</v>
      </c>
      <c r="AK17" s="3">
        <v>0.14982511223112727</v>
      </c>
      <c r="AL17" s="3">
        <v>0.44614131541437591</v>
      </c>
      <c r="AM17" s="3">
        <v>0.73333333333333328</v>
      </c>
      <c r="AN17" s="3">
        <v>0.8666666666666667</v>
      </c>
      <c r="AO17" s="3">
        <v>0.8</v>
      </c>
      <c r="AP17" s="3">
        <v>0.46666666666666667</v>
      </c>
      <c r="AQ17" s="3">
        <v>0.8</v>
      </c>
      <c r="AR17" s="3">
        <v>0.8</v>
      </c>
      <c r="AS17" s="3">
        <v>0.66666666666666674</v>
      </c>
      <c r="AT17" s="3">
        <v>0.8</v>
      </c>
      <c r="AU17" s="3">
        <v>0.8</v>
      </c>
      <c r="AV17" s="3">
        <v>0.33333333333333337</v>
      </c>
      <c r="AW17" s="3">
        <v>0.70666666666666667</v>
      </c>
      <c r="AX17" s="3">
        <v>18.618886692597101</v>
      </c>
      <c r="AY17" s="3">
        <v>39.469683883226814</v>
      </c>
      <c r="AZ17" s="3">
        <v>20.041087777311649</v>
      </c>
      <c r="BA17" s="3">
        <v>38.047482798512263</v>
      </c>
      <c r="BB17" s="3">
        <v>0.120512657017152</v>
      </c>
      <c r="BC17" s="3">
        <v>0.120512657017152</v>
      </c>
      <c r="BD17" s="3">
        <v>0.2</v>
      </c>
      <c r="BE17" s="3">
        <v>6526</v>
      </c>
      <c r="BF17" s="3">
        <v>2022</v>
      </c>
      <c r="BG17" s="3">
        <v>2880</v>
      </c>
      <c r="BH17" s="3">
        <v>0</v>
      </c>
      <c r="BI17" s="3">
        <v>7282</v>
      </c>
      <c r="BJ17" s="3">
        <v>5.5688672230025611E-2</v>
      </c>
      <c r="BK17" s="3">
        <v>0.11408903684477797</v>
      </c>
      <c r="BL17" s="3">
        <v>0.1387064549724755</v>
      </c>
      <c r="BM17" s="3">
        <v>4.2976471338391886E-2</v>
      </c>
      <c r="BN17" s="3">
        <v>0</v>
      </c>
      <c r="BO17" s="3">
        <v>6.1212778167442451E-2</v>
      </c>
      <c r="BP17" s="3">
        <v>7.9319177063537971E-2</v>
      </c>
      <c r="BQ17" s="3">
        <v>0.53333333333333333</v>
      </c>
      <c r="BR17" s="3">
        <v>0.33333333333333331</v>
      </c>
      <c r="BS17" s="3">
        <v>6.6666666666666666E-2</v>
      </c>
      <c r="BT17" s="3">
        <v>0.2</v>
      </c>
      <c r="BU17" s="3">
        <v>1</v>
      </c>
      <c r="BV17" s="3">
        <v>0.2</v>
      </c>
      <c r="BW17" s="3">
        <v>0.46666666666666667</v>
      </c>
      <c r="BX17" s="3">
        <v>0.4</v>
      </c>
      <c r="BY17" s="3">
        <v>1656</v>
      </c>
      <c r="BZ17" s="3">
        <v>0</v>
      </c>
      <c r="CA17" s="3">
        <v>3.5197347446279413E-2</v>
      </c>
      <c r="CB17" s="3">
        <v>4557</v>
      </c>
      <c r="CC17" s="3">
        <v>10.324555628703093</v>
      </c>
      <c r="CD17" s="3">
        <v>9.2476038338658153</v>
      </c>
      <c r="CE17" s="3">
        <v>6.4609997253501783</v>
      </c>
      <c r="CF17" s="3">
        <v>1.2957944311327769</v>
      </c>
      <c r="CG17" s="3">
        <v>2.6546860012413247</v>
      </c>
      <c r="CH17" s="3">
        <v>9.3136942336712783E-2</v>
      </c>
      <c r="CI17" s="3">
        <v>19.603750000000002</v>
      </c>
      <c r="CJ17" s="3">
        <v>0.11562413653850241</v>
      </c>
      <c r="CK17" s="3">
        <v>4.790164935858277</v>
      </c>
      <c r="CL17" s="3">
        <v>0.53333333333333333</v>
      </c>
      <c r="CM17" s="3">
        <v>0.93333333333333335</v>
      </c>
      <c r="CN17" s="3">
        <v>0.8666666666666667</v>
      </c>
      <c r="CO17" s="3">
        <v>0.93333333333333335</v>
      </c>
      <c r="CP17" s="3">
        <v>0.6</v>
      </c>
      <c r="CQ17" s="3">
        <v>0.8666666666666667</v>
      </c>
      <c r="CR17" s="3">
        <v>1</v>
      </c>
      <c r="CS17" s="3">
        <v>6.6666666666666666E-2</v>
      </c>
      <c r="CT17" s="3">
        <v>1</v>
      </c>
      <c r="CU17" s="3">
        <v>0.75555555555555554</v>
      </c>
      <c r="CV17" s="3">
        <v>1.0413022625966259</v>
      </c>
      <c r="CW17" s="3">
        <v>0.50827618496791427</v>
      </c>
      <c r="CX17" s="3">
        <v>2.0486937877334537</v>
      </c>
      <c r="CY17" s="3">
        <v>0.20128254740449997</v>
      </c>
      <c r="CZ17" s="3">
        <v>0.4820292489465422</v>
      </c>
      <c r="DA17" s="3">
        <v>0.73333333333333339</v>
      </c>
      <c r="DB17" s="3">
        <v>0.73333333333333339</v>
      </c>
      <c r="DC17" s="3">
        <v>0.73333333333333339</v>
      </c>
      <c r="DD17" s="3">
        <v>0.66666666666666663</v>
      </c>
      <c r="DE17" s="3">
        <v>0.8</v>
      </c>
      <c r="DF17" s="3">
        <v>0.73333333333333339</v>
      </c>
      <c r="DG17" s="3">
        <v>0.64888888888888885</v>
      </c>
      <c r="DH17" s="3">
        <v>0</v>
      </c>
      <c r="DI17" s="3">
        <v>0</v>
      </c>
      <c r="DJ17" s="3">
        <v>0</v>
      </c>
      <c r="DK17" s="156">
        <v>44833.691041666665</v>
      </c>
      <c r="DL17" s="3">
        <v>2021</v>
      </c>
      <c r="DM17" s="3">
        <v>33202015</v>
      </c>
      <c r="DN17" s="3">
        <v>128.90136986301371</v>
      </c>
      <c r="DO17" s="3">
        <v>111.02191780821917</v>
      </c>
      <c r="DP17" s="3">
        <v>26.938795591028924</v>
      </c>
      <c r="DQ17" s="3">
        <v>100.34916705811902</v>
      </c>
      <c r="DR17" s="3">
        <v>50.949169629512816</v>
      </c>
      <c r="DS17" s="3">
        <v>0</v>
      </c>
      <c r="DT17" s="3">
        <v>8915.9569772497453</v>
      </c>
      <c r="DU17" s="3">
        <v>0</v>
      </c>
      <c r="DV17" s="3">
        <v>8915.9569772497453</v>
      </c>
      <c r="DW17" s="3">
        <v>9.6051227321237997E-2</v>
      </c>
      <c r="DX17" s="3">
        <v>29984</v>
      </c>
      <c r="DY17" s="3">
        <v>0.10625737898465171</v>
      </c>
      <c r="DZ17" s="3">
        <v>0.98989197038411736</v>
      </c>
      <c r="EA17" s="3" t="b">
        <v>0</v>
      </c>
      <c r="EB17" s="3" t="s">
        <v>689</v>
      </c>
      <c r="EC17" s="3">
        <v>5.5136702107934997E-2</v>
      </c>
      <c r="ED17" s="3">
        <v>6.1212778167442451E-2</v>
      </c>
      <c r="EE17" s="3" t="s">
        <v>663</v>
      </c>
      <c r="EF17" s="3" t="s">
        <v>688</v>
      </c>
      <c r="EG17" s="137" t="s">
        <v>697</v>
      </c>
      <c r="EH17" s="3" t="s">
        <v>716</v>
      </c>
      <c r="EI17" s="3" t="s">
        <v>716</v>
      </c>
    </row>
    <row r="18" spans="1:139" s="150" customFormat="1"/>
    <row r="19" spans="1:139" s="148" customFormat="1"/>
    <row r="20" spans="1:139" s="149" customFormat="1"/>
    <row r="21" spans="1:139" s="5" customFormat="1">
      <c r="A21" s="151" t="s">
        <v>690</v>
      </c>
      <c r="B21" s="152">
        <v>16</v>
      </c>
      <c r="EG21" s="139"/>
    </row>
    <row r="22" spans="1:139">
      <c r="A22" s="128" t="s">
        <v>691</v>
      </c>
      <c r="B22" s="129">
        <v>3</v>
      </c>
      <c r="C22" s="129"/>
      <c r="D22" s="129"/>
      <c r="E22" s="129"/>
      <c r="F22" s="129"/>
      <c r="G22" s="129"/>
      <c r="H22" s="129"/>
      <c r="I22" s="129"/>
      <c r="J22" s="129"/>
      <c r="K22" s="129"/>
      <c r="L22" s="129"/>
      <c r="M22" s="129"/>
      <c r="N22" s="129"/>
      <c r="O22" s="129"/>
      <c r="P22" s="129"/>
      <c r="Q22" s="129"/>
      <c r="R22" s="129"/>
      <c r="S22" s="129"/>
    </row>
    <row r="23" spans="1:139">
      <c r="A23" s="128" t="s">
        <v>231</v>
      </c>
      <c r="B23" s="129" t="s">
        <v>131</v>
      </c>
      <c r="C23" s="129"/>
      <c r="D23" s="129"/>
      <c r="E23" s="129"/>
      <c r="F23" s="129"/>
      <c r="G23" s="129"/>
      <c r="H23" s="129"/>
      <c r="I23" s="129"/>
      <c r="J23" s="129"/>
      <c r="K23" s="129"/>
      <c r="L23" s="129"/>
      <c r="M23" s="129"/>
      <c r="N23" s="129"/>
      <c r="O23" s="129"/>
      <c r="P23" s="129"/>
      <c r="Q23" s="129"/>
      <c r="R23" s="129"/>
      <c r="S23" s="129"/>
    </row>
    <row r="24" spans="1:139">
      <c r="A24" s="128" t="s">
        <v>232</v>
      </c>
      <c r="B24" s="129" t="b">
        <v>0</v>
      </c>
      <c r="C24" s="129"/>
      <c r="D24" s="129"/>
      <c r="E24" s="129"/>
      <c r="F24" s="129"/>
      <c r="G24" s="129"/>
      <c r="H24" s="129"/>
      <c r="I24" s="129"/>
      <c r="J24" s="129"/>
      <c r="K24" s="129"/>
      <c r="L24" s="129"/>
      <c r="M24" s="129"/>
      <c r="N24" s="129"/>
      <c r="O24" s="129"/>
      <c r="P24" s="129"/>
      <c r="Q24" s="129"/>
      <c r="R24" s="129"/>
      <c r="S24" s="129"/>
    </row>
    <row r="25" spans="1:139" ht="12" customHeight="1">
      <c r="A25" s="128" t="s">
        <v>250</v>
      </c>
      <c r="B25" s="161" t="str" cm="1">
        <f t="array" aca="1" ref="B25" ca="1">INDIRECT(ADDRESS(B22,MATCH("SHORTNAME", SKCOLNAMES,0)))</f>
        <v>CAMPBELL SOUP CO</v>
      </c>
      <c r="C25" s="162"/>
      <c r="D25" s="129"/>
      <c r="E25" s="129"/>
      <c r="F25" s="129"/>
      <c r="G25" s="129"/>
      <c r="H25" s="129"/>
      <c r="I25" s="129"/>
      <c r="J25" s="129"/>
      <c r="K25" s="129"/>
      <c r="L25" s="129"/>
      <c r="M25" s="129"/>
      <c r="N25" s="129"/>
      <c r="O25" s="129"/>
      <c r="P25" s="129"/>
      <c r="Q25" s="129"/>
      <c r="R25" s="129"/>
      <c r="S25" s="129"/>
    </row>
    <row r="26" spans="1:139" ht="11.25" customHeight="1">
      <c r="A26" s="128" t="s">
        <v>493</v>
      </c>
      <c r="B26" s="128" t="s">
        <v>93</v>
      </c>
      <c r="C26" s="129">
        <f>MATCH(B26, SKCOLNAMES, 0)</f>
        <v>50</v>
      </c>
      <c r="D26" s="129">
        <v>0.25</v>
      </c>
      <c r="E26" s="129" t="str">
        <f>ADDRESS(2,C26) &amp; ":" &amp; ADDRESS(2+$B$21-1,C26)</f>
        <v>$AX$2:$AX$17</v>
      </c>
      <c r="F26" s="129">
        <f ca="1">PERCENTILE(INDIRECT(E26),D26)</f>
        <v>26.938795591028924</v>
      </c>
      <c r="G26" s="129"/>
      <c r="H26" s="129"/>
      <c r="I26" s="129"/>
      <c r="J26" s="129"/>
      <c r="K26" s="129"/>
      <c r="L26" s="129"/>
      <c r="M26" s="129"/>
      <c r="N26" s="129"/>
      <c r="O26" s="129"/>
      <c r="P26" s="129"/>
      <c r="Q26" s="129"/>
      <c r="R26" s="129"/>
      <c r="S26" s="129"/>
    </row>
    <row r="27" spans="1:139" s="7" customFormat="1">
      <c r="A27" s="128" t="s">
        <v>494</v>
      </c>
      <c r="B27" s="130" t="s">
        <v>135</v>
      </c>
      <c r="C27" s="129">
        <f>MATCH(B27, SKCOLNAMES, 0)</f>
        <v>51</v>
      </c>
      <c r="D27" s="129">
        <v>0.25</v>
      </c>
      <c r="E27" s="129" t="str">
        <f>ADDRESS(2,C27) &amp; ":" &amp; ADDRESS(2+$B$21-1,C27)</f>
        <v>$AY$2:$AY$17</v>
      </c>
      <c r="F27" s="129">
        <f ca="1">PERCENTILE(INDIRECT(E27),D27)</f>
        <v>50.949169629512816</v>
      </c>
      <c r="G27" s="130"/>
      <c r="H27" s="130"/>
      <c r="I27" s="130"/>
      <c r="J27" s="130"/>
      <c r="EG27" s="137"/>
    </row>
    <row r="28" spans="1:139">
      <c r="A28" s="128" t="s">
        <v>495</v>
      </c>
      <c r="B28" s="6" t="s">
        <v>136</v>
      </c>
      <c r="C28" s="129">
        <f>MATCH(B28, SKCOLNAMES, 0)</f>
        <v>52</v>
      </c>
      <c r="D28" s="129">
        <v>0.75</v>
      </c>
      <c r="E28" s="129" t="str">
        <f>ADDRESS(2,C28) &amp; ":" &amp; ADDRESS(2+$B$21-1,C28)</f>
        <v>$AZ$2:$AZ$17</v>
      </c>
      <c r="F28" s="129">
        <f ca="1">PERCENTILE(INDIRECT(E28),D28)</f>
        <v>100.34916705811902</v>
      </c>
      <c r="G28" s="6"/>
      <c r="H28" s="6"/>
      <c r="I28" s="6"/>
      <c r="J28" s="6"/>
    </row>
    <row r="29" spans="1:139" s="7" customFormat="1" ht="11.25" customHeight="1">
      <c r="A29" s="128" t="s">
        <v>806</v>
      </c>
      <c r="B29" s="161" t="str" cm="1">
        <f t="array" aca="1" ref="B29" ca="1">INDIRECT(ADDRESS(B22,MATCH("DISPLAYNAME", SKCOLNAMES,0)))</f>
        <v>Campbell Soup Co</v>
      </c>
      <c r="C29" s="162"/>
      <c r="D29" s="131"/>
      <c r="E29" s="131"/>
      <c r="F29" s="131"/>
      <c r="G29" s="131"/>
      <c r="H29" s="131"/>
      <c r="I29" s="131"/>
      <c r="J29" s="130"/>
      <c r="EG29" s="137"/>
    </row>
    <row r="30" spans="1:139">
      <c r="A30" s="129"/>
      <c r="B30" s="132"/>
      <c r="C30" s="132"/>
      <c r="D30" s="132"/>
      <c r="E30" s="132"/>
      <c r="F30" s="132"/>
      <c r="G30" s="132"/>
      <c r="H30" s="132"/>
      <c r="I30" s="132"/>
      <c r="J30" s="6"/>
    </row>
    <row r="31" spans="1:139" s="7" customFormat="1">
      <c r="A31" s="129"/>
      <c r="B31" s="130"/>
      <c r="C31" s="130"/>
      <c r="D31" s="130"/>
      <c r="E31" s="130"/>
      <c r="F31" s="130"/>
      <c r="G31" s="130"/>
      <c r="H31" s="130"/>
      <c r="I31" s="130"/>
      <c r="J31" s="130"/>
      <c r="EG31" s="137"/>
    </row>
    <row r="32" spans="1:139">
      <c r="A32" s="129"/>
      <c r="B32" s="133"/>
      <c r="C32" s="133"/>
      <c r="D32" s="133"/>
      <c r="E32" s="133"/>
      <c r="F32" s="133"/>
      <c r="G32" s="133"/>
      <c r="H32" s="133"/>
      <c r="I32" s="133"/>
      <c r="J32" s="6"/>
    </row>
    <row r="33" spans="1:137" s="7" customFormat="1">
      <c r="A33" s="129"/>
      <c r="B33" s="130"/>
      <c r="C33" s="130"/>
      <c r="D33" s="130"/>
      <c r="E33" s="130"/>
      <c r="F33" s="130"/>
      <c r="G33" s="130"/>
      <c r="H33" s="130"/>
      <c r="I33" s="130"/>
      <c r="J33" s="130"/>
      <c r="EG33" s="137"/>
    </row>
    <row r="34" spans="1:137">
      <c r="B34" s="134"/>
      <c r="C34" s="134"/>
      <c r="D34" s="134"/>
      <c r="E34" s="134"/>
      <c r="F34" s="134"/>
      <c r="G34" s="134"/>
      <c r="H34" s="134"/>
      <c r="I34" s="134"/>
      <c r="J34" s="6"/>
      <c r="W34" s="12"/>
    </row>
    <row r="35" spans="1:137" s="102" customFormat="1">
      <c r="A35" s="104">
        <v>1</v>
      </c>
      <c r="B35" s="105">
        <f t="shared" ref="B35:BM35" si="0">A35+1</f>
        <v>2</v>
      </c>
      <c r="C35" s="104">
        <f t="shared" si="0"/>
        <v>3</v>
      </c>
      <c r="D35" s="105">
        <f t="shared" si="0"/>
        <v>4</v>
      </c>
      <c r="E35" s="104">
        <f t="shared" si="0"/>
        <v>5</v>
      </c>
      <c r="F35" s="105">
        <f t="shared" si="0"/>
        <v>6</v>
      </c>
      <c r="G35" s="104">
        <f t="shared" si="0"/>
        <v>7</v>
      </c>
      <c r="H35" s="105">
        <f t="shared" si="0"/>
        <v>8</v>
      </c>
      <c r="I35" s="104">
        <f t="shared" si="0"/>
        <v>9</v>
      </c>
      <c r="J35" s="105">
        <f t="shared" si="0"/>
        <v>10</v>
      </c>
      <c r="K35" s="104">
        <f t="shared" si="0"/>
        <v>11</v>
      </c>
      <c r="L35" s="105">
        <f t="shared" si="0"/>
        <v>12</v>
      </c>
      <c r="M35" s="104">
        <f t="shared" si="0"/>
        <v>13</v>
      </c>
      <c r="N35" s="105">
        <f t="shared" si="0"/>
        <v>14</v>
      </c>
      <c r="O35" s="104">
        <f t="shared" si="0"/>
        <v>15</v>
      </c>
      <c r="P35" s="105">
        <f t="shared" si="0"/>
        <v>16</v>
      </c>
      <c r="Q35" s="104">
        <f t="shared" si="0"/>
        <v>17</v>
      </c>
      <c r="R35" s="105">
        <f t="shared" si="0"/>
        <v>18</v>
      </c>
      <c r="S35" s="104">
        <f t="shared" si="0"/>
        <v>19</v>
      </c>
      <c r="T35" s="105">
        <f t="shared" si="0"/>
        <v>20</v>
      </c>
      <c r="U35" s="104">
        <f t="shared" si="0"/>
        <v>21</v>
      </c>
      <c r="V35" s="105">
        <f t="shared" si="0"/>
        <v>22</v>
      </c>
      <c r="W35" s="145">
        <f t="shared" si="0"/>
        <v>23</v>
      </c>
      <c r="X35" s="105">
        <f t="shared" si="0"/>
        <v>24</v>
      </c>
      <c r="Y35" s="104">
        <f t="shared" si="0"/>
        <v>25</v>
      </c>
      <c r="Z35" s="105">
        <f t="shared" si="0"/>
        <v>26</v>
      </c>
      <c r="AA35" s="104">
        <f t="shared" si="0"/>
        <v>27</v>
      </c>
      <c r="AB35" s="105">
        <f t="shared" si="0"/>
        <v>28</v>
      </c>
      <c r="AC35" s="104">
        <f t="shared" si="0"/>
        <v>29</v>
      </c>
      <c r="AD35" s="105">
        <f t="shared" si="0"/>
        <v>30</v>
      </c>
      <c r="AE35" s="104">
        <f t="shared" si="0"/>
        <v>31</v>
      </c>
      <c r="AF35" s="105">
        <f t="shared" si="0"/>
        <v>32</v>
      </c>
      <c r="AG35" s="104">
        <f t="shared" si="0"/>
        <v>33</v>
      </c>
      <c r="AH35" s="105">
        <f t="shared" si="0"/>
        <v>34</v>
      </c>
      <c r="AI35" s="104">
        <f t="shared" si="0"/>
        <v>35</v>
      </c>
      <c r="AJ35" s="105">
        <f t="shared" si="0"/>
        <v>36</v>
      </c>
      <c r="AK35" s="104">
        <f t="shared" si="0"/>
        <v>37</v>
      </c>
      <c r="AL35" s="105">
        <f t="shared" si="0"/>
        <v>38</v>
      </c>
      <c r="AM35" s="104">
        <f t="shared" si="0"/>
        <v>39</v>
      </c>
      <c r="AN35" s="105">
        <f t="shared" si="0"/>
        <v>40</v>
      </c>
      <c r="AO35" s="104">
        <f t="shared" si="0"/>
        <v>41</v>
      </c>
      <c r="AP35" s="105">
        <f t="shared" si="0"/>
        <v>42</v>
      </c>
      <c r="AQ35" s="104">
        <f t="shared" si="0"/>
        <v>43</v>
      </c>
      <c r="AR35" s="105">
        <f t="shared" si="0"/>
        <v>44</v>
      </c>
      <c r="AS35" s="104">
        <f t="shared" si="0"/>
        <v>45</v>
      </c>
      <c r="AT35" s="105">
        <f t="shared" si="0"/>
        <v>46</v>
      </c>
      <c r="AU35" s="104">
        <f t="shared" si="0"/>
        <v>47</v>
      </c>
      <c r="AV35" s="105">
        <f t="shared" si="0"/>
        <v>48</v>
      </c>
      <c r="AW35" s="104">
        <f t="shared" si="0"/>
        <v>49</v>
      </c>
      <c r="AX35" s="105">
        <f t="shared" si="0"/>
        <v>50</v>
      </c>
      <c r="AY35" s="104">
        <f t="shared" si="0"/>
        <v>51</v>
      </c>
      <c r="AZ35" s="105">
        <f t="shared" si="0"/>
        <v>52</v>
      </c>
      <c r="BA35" s="104">
        <f t="shared" si="0"/>
        <v>53</v>
      </c>
      <c r="BB35" s="105">
        <f t="shared" si="0"/>
        <v>54</v>
      </c>
      <c r="BC35" s="104">
        <f t="shared" si="0"/>
        <v>55</v>
      </c>
      <c r="BD35" s="105">
        <f t="shared" si="0"/>
        <v>56</v>
      </c>
      <c r="BE35" s="104">
        <f t="shared" si="0"/>
        <v>57</v>
      </c>
      <c r="BF35" s="105">
        <f t="shared" si="0"/>
        <v>58</v>
      </c>
      <c r="BG35" s="104">
        <f t="shared" si="0"/>
        <v>59</v>
      </c>
      <c r="BH35" s="105">
        <f t="shared" si="0"/>
        <v>60</v>
      </c>
      <c r="BI35" s="104">
        <f t="shared" si="0"/>
        <v>61</v>
      </c>
      <c r="BJ35" s="105">
        <f t="shared" si="0"/>
        <v>62</v>
      </c>
      <c r="BK35" s="104">
        <f t="shared" si="0"/>
        <v>63</v>
      </c>
      <c r="BL35" s="105">
        <f t="shared" si="0"/>
        <v>64</v>
      </c>
      <c r="BM35" s="104">
        <f t="shared" si="0"/>
        <v>65</v>
      </c>
      <c r="BN35" s="105">
        <f t="shared" ref="BN35:DN35" si="1">BM35+1</f>
        <v>66</v>
      </c>
      <c r="BO35" s="104">
        <f t="shared" si="1"/>
        <v>67</v>
      </c>
      <c r="BP35" s="105">
        <f t="shared" si="1"/>
        <v>68</v>
      </c>
      <c r="BQ35" s="104">
        <f t="shared" si="1"/>
        <v>69</v>
      </c>
      <c r="BR35" s="105">
        <f t="shared" si="1"/>
        <v>70</v>
      </c>
      <c r="BS35" s="104">
        <f t="shared" si="1"/>
        <v>71</v>
      </c>
      <c r="BT35" s="105">
        <f t="shared" si="1"/>
        <v>72</v>
      </c>
      <c r="BU35" s="104">
        <f t="shared" si="1"/>
        <v>73</v>
      </c>
      <c r="BV35" s="105">
        <f t="shared" si="1"/>
        <v>74</v>
      </c>
      <c r="BW35" s="104">
        <f t="shared" si="1"/>
        <v>75</v>
      </c>
      <c r="BX35" s="105">
        <f t="shared" si="1"/>
        <v>76</v>
      </c>
      <c r="BY35" s="104">
        <f t="shared" si="1"/>
        <v>77</v>
      </c>
      <c r="BZ35" s="105">
        <f t="shared" si="1"/>
        <v>78</v>
      </c>
      <c r="CA35" s="104">
        <f t="shared" si="1"/>
        <v>79</v>
      </c>
      <c r="CB35" s="105">
        <f t="shared" si="1"/>
        <v>80</v>
      </c>
      <c r="CC35" s="104">
        <f t="shared" si="1"/>
        <v>81</v>
      </c>
      <c r="CD35" s="105">
        <f t="shared" si="1"/>
        <v>82</v>
      </c>
      <c r="CE35" s="104">
        <f t="shared" si="1"/>
        <v>83</v>
      </c>
      <c r="CF35" s="105">
        <f t="shared" si="1"/>
        <v>84</v>
      </c>
      <c r="CG35" s="104">
        <f t="shared" si="1"/>
        <v>85</v>
      </c>
      <c r="CH35" s="105">
        <f t="shared" si="1"/>
        <v>86</v>
      </c>
      <c r="CI35" s="104">
        <f t="shared" si="1"/>
        <v>87</v>
      </c>
      <c r="CJ35" s="105">
        <f t="shared" si="1"/>
        <v>88</v>
      </c>
      <c r="CK35" s="104">
        <f t="shared" si="1"/>
        <v>89</v>
      </c>
      <c r="CL35" s="105">
        <f t="shared" si="1"/>
        <v>90</v>
      </c>
      <c r="CM35" s="104">
        <f t="shared" si="1"/>
        <v>91</v>
      </c>
      <c r="CN35" s="105">
        <f t="shared" si="1"/>
        <v>92</v>
      </c>
      <c r="CO35" s="104">
        <f t="shared" si="1"/>
        <v>93</v>
      </c>
      <c r="CP35" s="105">
        <f t="shared" si="1"/>
        <v>94</v>
      </c>
      <c r="CQ35" s="104">
        <f t="shared" si="1"/>
        <v>95</v>
      </c>
      <c r="CR35" s="105">
        <f t="shared" si="1"/>
        <v>96</v>
      </c>
      <c r="CS35" s="104">
        <f t="shared" si="1"/>
        <v>97</v>
      </c>
      <c r="CT35" s="105">
        <f t="shared" si="1"/>
        <v>98</v>
      </c>
      <c r="CU35" s="104">
        <f t="shared" si="1"/>
        <v>99</v>
      </c>
      <c r="CV35" s="105">
        <f t="shared" si="1"/>
        <v>100</v>
      </c>
      <c r="CW35" s="104">
        <f t="shared" si="1"/>
        <v>101</v>
      </c>
      <c r="CX35" s="105">
        <f t="shared" si="1"/>
        <v>102</v>
      </c>
      <c r="CY35" s="104">
        <f t="shared" si="1"/>
        <v>103</v>
      </c>
      <c r="CZ35" s="105">
        <f t="shared" si="1"/>
        <v>104</v>
      </c>
      <c r="DA35" s="104">
        <f t="shared" si="1"/>
        <v>105</v>
      </c>
      <c r="DB35" s="105">
        <f t="shared" si="1"/>
        <v>106</v>
      </c>
      <c r="DC35" s="104">
        <f t="shared" si="1"/>
        <v>107</v>
      </c>
      <c r="DD35" s="105">
        <f t="shared" si="1"/>
        <v>108</v>
      </c>
      <c r="DE35" s="104">
        <f t="shared" si="1"/>
        <v>109</v>
      </c>
      <c r="DF35" s="105">
        <f t="shared" si="1"/>
        <v>110</v>
      </c>
      <c r="DG35" s="104">
        <f t="shared" si="1"/>
        <v>111</v>
      </c>
      <c r="DH35" s="105">
        <f t="shared" si="1"/>
        <v>112</v>
      </c>
      <c r="DI35" s="104">
        <f t="shared" si="1"/>
        <v>113</v>
      </c>
      <c r="DJ35" s="105">
        <f t="shared" si="1"/>
        <v>114</v>
      </c>
      <c r="DK35" s="104">
        <f t="shared" si="1"/>
        <v>115</v>
      </c>
      <c r="DL35" s="105">
        <f t="shared" si="1"/>
        <v>116</v>
      </c>
      <c r="DM35" s="104">
        <f t="shared" si="1"/>
        <v>117</v>
      </c>
      <c r="DN35" s="105">
        <f t="shared" si="1"/>
        <v>118</v>
      </c>
      <c r="DO35" s="104">
        <f t="shared" ref="DO35" si="2">DN35+1</f>
        <v>119</v>
      </c>
      <c r="DP35" s="105">
        <f t="shared" ref="DP35" si="3">DO35+1</f>
        <v>120</v>
      </c>
      <c r="DQ35" s="104">
        <f t="shared" ref="DQ35" si="4">DP35+1</f>
        <v>121</v>
      </c>
      <c r="DR35" s="105">
        <f t="shared" ref="DR35" si="5">DQ35+1</f>
        <v>122</v>
      </c>
      <c r="DS35" s="104">
        <f t="shared" ref="DS35" si="6">DR35+1</f>
        <v>123</v>
      </c>
      <c r="DT35" s="105">
        <f t="shared" ref="DT35" si="7">DS35+1</f>
        <v>124</v>
      </c>
      <c r="DU35" s="104">
        <f t="shared" ref="DU35" si="8">DT35+1</f>
        <v>125</v>
      </c>
      <c r="DV35" s="105">
        <f t="shared" ref="DV35" si="9">DU35+1</f>
        <v>126</v>
      </c>
      <c r="DW35" s="104">
        <f t="shared" ref="DW35" si="10">DV35+1</f>
        <v>127</v>
      </c>
      <c r="DX35" s="105">
        <f t="shared" ref="DX35" si="11">DW35+1</f>
        <v>128</v>
      </c>
      <c r="DY35" s="104">
        <f t="shared" ref="DY35" si="12">DX35+1</f>
        <v>129</v>
      </c>
      <c r="DZ35" s="105">
        <f t="shared" ref="DZ35" si="13">DY35+1</f>
        <v>130</v>
      </c>
      <c r="EA35" s="104">
        <f t="shared" ref="EA35" si="14">DZ35+1</f>
        <v>131</v>
      </c>
      <c r="EB35" s="105">
        <f t="shared" ref="EB35:ED35" si="15">EA35+1</f>
        <v>132</v>
      </c>
      <c r="EC35" s="104">
        <f t="shared" ref="EC35" si="16">EB35+1</f>
        <v>133</v>
      </c>
      <c r="ED35" s="105">
        <f t="shared" si="15"/>
        <v>134</v>
      </c>
      <c r="EE35" s="104">
        <f t="shared" ref="EE35" si="17">ED35+1</f>
        <v>135</v>
      </c>
      <c r="EF35" s="105">
        <f t="shared" ref="EF35" si="18">EE35+1</f>
        <v>136</v>
      </c>
      <c r="EG35" s="140"/>
    </row>
    <row r="36" spans="1:137" s="5" customFormat="1">
      <c r="B36" s="8"/>
      <c r="C36" s="8"/>
      <c r="D36" s="9" t="s">
        <v>201</v>
      </c>
      <c r="E36" s="10">
        <v>0.1</v>
      </c>
      <c r="F36" s="10">
        <v>0.25</v>
      </c>
      <c r="G36" s="10">
        <v>0.5</v>
      </c>
      <c r="H36" s="10">
        <v>0.75</v>
      </c>
      <c r="I36" s="10">
        <v>0.9</v>
      </c>
      <c r="J36" s="10" t="s">
        <v>202</v>
      </c>
      <c r="K36" s="10" t="s">
        <v>203</v>
      </c>
      <c r="M36" s="10" t="s">
        <v>489</v>
      </c>
      <c r="N36" s="10" t="s">
        <v>490</v>
      </c>
      <c r="O36" s="10" t="s">
        <v>491</v>
      </c>
      <c r="P36" s="10" t="s">
        <v>487</v>
      </c>
      <c r="Q36" s="10" t="s">
        <v>488</v>
      </c>
      <c r="S36" s="10" t="s">
        <v>626</v>
      </c>
      <c r="T36" s="10" t="s">
        <v>627</v>
      </c>
      <c r="U36" s="10" t="s">
        <v>628</v>
      </c>
      <c r="V36" s="10" t="s">
        <v>629</v>
      </c>
      <c r="W36" s="10" t="s">
        <v>632</v>
      </c>
      <c r="X36" s="10" t="s">
        <v>634</v>
      </c>
      <c r="Y36" s="10" t="s">
        <v>635</v>
      </c>
      <c r="Z36" s="10" t="s">
        <v>646</v>
      </c>
      <c r="AA36" s="10" t="s">
        <v>636</v>
      </c>
      <c r="AB36" s="10" t="s">
        <v>637</v>
      </c>
      <c r="AC36" s="10" t="s">
        <v>638</v>
      </c>
      <c r="AD36" s="10" t="s">
        <v>639</v>
      </c>
      <c r="AE36" s="10" t="s">
        <v>640</v>
      </c>
      <c r="AF36" s="10" t="s">
        <v>641</v>
      </c>
      <c r="AG36" s="10" t="s">
        <v>642</v>
      </c>
      <c r="AH36" s="10" t="s">
        <v>643</v>
      </c>
      <c r="AI36" s="10" t="s">
        <v>644</v>
      </c>
      <c r="AJ36" s="10" t="s">
        <v>645</v>
      </c>
      <c r="AK36" s="10" t="s">
        <v>647</v>
      </c>
      <c r="AL36" s="10" t="s">
        <v>648</v>
      </c>
      <c r="AM36" s="10" t="s">
        <v>649</v>
      </c>
      <c r="AN36" s="10" t="s">
        <v>632</v>
      </c>
      <c r="AO36" s="10" t="s">
        <v>634</v>
      </c>
      <c r="AP36" s="10" t="s">
        <v>635</v>
      </c>
      <c r="AQ36" s="10" t="s">
        <v>646</v>
      </c>
      <c r="AR36" s="10" t="s">
        <v>636</v>
      </c>
      <c r="AS36" s="10" t="s">
        <v>637</v>
      </c>
      <c r="AT36" s="10" t="s">
        <v>638</v>
      </c>
      <c r="AU36" s="10" t="s">
        <v>639</v>
      </c>
      <c r="AV36" s="10" t="s">
        <v>640</v>
      </c>
      <c r="AW36" s="10" t="s">
        <v>641</v>
      </c>
      <c r="AX36" s="10" t="s">
        <v>642</v>
      </c>
      <c r="AY36" s="10" t="s">
        <v>643</v>
      </c>
      <c r="AZ36" s="10" t="s">
        <v>644</v>
      </c>
      <c r="BA36" s="10" t="s">
        <v>645</v>
      </c>
      <c r="BB36" s="10" t="s">
        <v>647</v>
      </c>
      <c r="BC36" s="10" t="s">
        <v>648</v>
      </c>
      <c r="BD36" s="10" t="s">
        <v>649</v>
      </c>
      <c r="EG36" s="139"/>
    </row>
    <row r="37" spans="1:137">
      <c r="A37" s="110" t="s">
        <v>175</v>
      </c>
      <c r="B37" s="103">
        <f t="shared" ref="B37:B38" si="19">MATCH(A37, SKCOLNAMES, 0)</f>
        <v>131</v>
      </c>
      <c r="C37" s="103" t="str">
        <f>ADDRESS(2,B37) &amp; ":" &amp; ADDRESS(2+$B$21-1,B37)</f>
        <v>$EA$2:$EA$17</v>
      </c>
      <c r="D37" s="6"/>
      <c r="E37" s="6"/>
      <c r="F37" s="6"/>
      <c r="G37" s="6"/>
      <c r="H37" s="6"/>
      <c r="I37" s="6"/>
      <c r="J37" s="6"/>
      <c r="L37" s="123" t="s">
        <v>175</v>
      </c>
      <c r="W37" s="43" t="s">
        <v>650</v>
      </c>
      <c r="X37" s="43" t="s">
        <v>650</v>
      </c>
      <c r="Y37" s="43" t="s">
        <v>650</v>
      </c>
      <c r="Z37" s="43" t="s">
        <v>650</v>
      </c>
      <c r="AA37" s="43" t="s">
        <v>650</v>
      </c>
      <c r="AB37" s="43" t="s">
        <v>650</v>
      </c>
      <c r="AC37" s="43" t="s">
        <v>650</v>
      </c>
      <c r="AD37" s="43" t="s">
        <v>650</v>
      </c>
      <c r="AE37" s="43" t="s">
        <v>650</v>
      </c>
      <c r="AF37" s="43" t="s">
        <v>650</v>
      </c>
      <c r="AG37" s="43" t="s">
        <v>650</v>
      </c>
      <c r="AH37" s="43" t="s">
        <v>650</v>
      </c>
      <c r="AI37" s="43" t="s">
        <v>650</v>
      </c>
      <c r="AJ37" s="43" t="s">
        <v>650</v>
      </c>
      <c r="AK37" s="43" t="s">
        <v>650</v>
      </c>
      <c r="AL37" s="43" t="s">
        <v>650</v>
      </c>
      <c r="AM37" s="43" t="s">
        <v>650</v>
      </c>
      <c r="AN37" s="43" t="s">
        <v>633</v>
      </c>
      <c r="AO37" s="43" t="s">
        <v>633</v>
      </c>
      <c r="AP37" s="43" t="s">
        <v>633</v>
      </c>
      <c r="AQ37" s="43" t="s">
        <v>633</v>
      </c>
      <c r="AR37" s="43" t="s">
        <v>633</v>
      </c>
      <c r="AS37" s="43" t="s">
        <v>633</v>
      </c>
      <c r="AT37" s="43" t="s">
        <v>633</v>
      </c>
      <c r="AU37" s="43" t="s">
        <v>633</v>
      </c>
      <c r="AV37" s="43" t="s">
        <v>633</v>
      </c>
      <c r="AW37" s="43" t="s">
        <v>633</v>
      </c>
      <c r="AX37" s="43" t="s">
        <v>633</v>
      </c>
      <c r="AY37" s="43" t="s">
        <v>633</v>
      </c>
      <c r="AZ37" s="43" t="s">
        <v>633</v>
      </c>
      <c r="BA37" s="43" t="s">
        <v>633</v>
      </c>
      <c r="BB37" s="43" t="s">
        <v>633</v>
      </c>
      <c r="BC37" s="43" t="s">
        <v>633</v>
      </c>
      <c r="BD37" s="43" t="s">
        <v>633</v>
      </c>
    </row>
    <row r="38" spans="1:137">
      <c r="A38" s="110" t="s">
        <v>96</v>
      </c>
      <c r="B38" s="103">
        <f t="shared" si="19"/>
        <v>10</v>
      </c>
      <c r="C38" s="103" t="str">
        <f>ADDRESS(2,B38) &amp; ":" &amp; ADDRESS(2+$B$21-1,B38)</f>
        <v>$J$2:$J$17</v>
      </c>
      <c r="D38" s="3" cm="1">
        <f t="array" aca="1" ref="D38" ca="1">MIN(_xlfn.IFNA(INDIRECT($C38), ""))</f>
        <v>2053.9029999999998</v>
      </c>
      <c r="E38" s="3" cm="1">
        <f t="array" aca="1" ref="E38" ca="1">PERCENTILE(_xlfn.IFNA(INDIRECT($C38), ""),E$36)</f>
        <v>5055.1499999999996</v>
      </c>
      <c r="F38" s="3" cm="1">
        <f t="array" aca="1" ref="F38" ca="1">PERCENTILE(_xlfn.IFNA(INDIRECT($C38), ""),F$36)</f>
        <v>8459.6716787500009</v>
      </c>
      <c r="G38" s="3" cm="1">
        <f t="array" aca="1" ref="G38" ca="1">PERCENTILE(_xlfn.IFNA(INDIRECT($C38), ""),G$36)</f>
        <v>11220.2945</v>
      </c>
      <c r="H38" s="3" cm="1">
        <f t="array" aca="1" ref="H38" ca="1">PERCENTILE(_xlfn.IFNA(INDIRECT($C38), ""),H$36)</f>
        <v>19730.449999999997</v>
      </c>
      <c r="I38" s="3" cm="1">
        <f t="array" aca="1" ref="I38" ca="1">PERCENTILE(_xlfn.IFNA(INDIRECT($C38), ""),I$36)</f>
        <v>28548.662134999999</v>
      </c>
      <c r="J38" s="3" cm="1">
        <f t="array" aca="1" ref="J38" ca="1">MAX(_xlfn.IFNA(INDIRECT($C38), ""))</f>
        <v>47049</v>
      </c>
      <c r="K38" s="3" cm="1">
        <f t="array" aca="1" ref="K38" ca="1">INDIRECT(ADDRESS($B$22,$B38))</f>
        <v>8691</v>
      </c>
      <c r="L38" s="123" t="s">
        <v>96</v>
      </c>
      <c r="S38" s="3">
        <f ca="1">H38-F38</f>
        <v>11270.778321249996</v>
      </c>
      <c r="T38" s="3">
        <f ca="1">S38*1.5</f>
        <v>16906.167481874996</v>
      </c>
      <c r="U38" s="3">
        <f ca="1">F38-T38</f>
        <v>-8446.4958031249953</v>
      </c>
      <c r="V38" s="3">
        <f ca="1">H38+T38</f>
        <v>36636.617481874993</v>
      </c>
      <c r="W38" s="3" cm="1">
        <f t="array" aca="1" ref="W38" ca="1">INDIRECT(ADDRESS(0+2,$B38))</f>
        <v>8679.2289049999999</v>
      </c>
      <c r="X38" s="3" cm="1">
        <f t="array" aca="1" ref="X38" ca="1">INDIRECT(ADDRESS(1+2,$B38))</f>
        <v>8691</v>
      </c>
      <c r="Y38" s="3" cm="1">
        <f t="array" aca="1" ref="Y38" ca="1">INDIRECT(ADDRESS(2+2,$B38))</f>
        <v>11054.4</v>
      </c>
      <c r="Z38" s="3" cm="1">
        <f t="array" aca="1" ref="Z38" ca="1">INDIRECT(ADDRESS(3+2,$B38))</f>
        <v>28377.324270000001</v>
      </c>
      <c r="AA38" s="3" cm="1">
        <f t="array" aca="1" ref="AA38" ca="1">INDIRECT(ADDRESS(4+2,$B38))</f>
        <v>17626.599999999999</v>
      </c>
      <c r="AB38" s="3" cm="1">
        <f t="array" aca="1" ref="AB38" ca="1">INDIRECT(ADDRESS(5+2,$B38))</f>
        <v>2053.9029999999998</v>
      </c>
      <c r="AC38" s="3" cm="1">
        <f t="array" aca="1" ref="AC38" ca="1">INDIRECT(ADDRESS(6+2,$B38))</f>
        <v>8971.3369999999995</v>
      </c>
      <c r="AD38" s="3" cm="1">
        <f t="array" aca="1" ref="AD38" ca="1">INDIRECT(ADDRESS(7+2,$B38))</f>
        <v>11386.189</v>
      </c>
      <c r="AE38" s="3" cm="1">
        <f t="array" aca="1" ref="AE38" ca="1">INDIRECT(ADDRESS(8+2,$B38))</f>
        <v>7801</v>
      </c>
      <c r="AF38" s="3" cm="1">
        <f t="array" aca="1" ref="AF38" ca="1">INDIRECT(ADDRESS(9+2,$B38))</f>
        <v>14181</v>
      </c>
      <c r="AG38" s="3" cm="1">
        <f t="array" aca="1" ref="AG38" ca="1">INDIRECT(ADDRESS(10+2,$B38))</f>
        <v>26042</v>
      </c>
      <c r="AH38" s="3" cm="1">
        <f t="array" aca="1" ref="AH38" ca="1">INDIRECT(ADDRESS(11+2,$B38))</f>
        <v>3792.4</v>
      </c>
      <c r="AI38" s="3" cm="1">
        <f t="array" aca="1" ref="AI38" ca="1">INDIRECT(ADDRESS(12+2,$B38))</f>
        <v>6317.9</v>
      </c>
      <c r="AJ38" s="3" cm="1">
        <f t="array" aca="1" ref="AJ38" ca="1">INDIRECT(ADDRESS(13+2,$B38))</f>
        <v>28720</v>
      </c>
      <c r="AK38" s="3" cm="1">
        <f t="array" aca="1" ref="AK38" ca="1">INDIRECT(ADDRESS(14+2,$B38))</f>
        <v>14777.458000000001</v>
      </c>
      <c r="AL38" s="3" cm="1">
        <f t="array" aca="1" ref="AL38" ca="1">INDIRECT(ADDRESS(15+2,$B38))</f>
        <v>47049</v>
      </c>
      <c r="AM38" s="3" cm="1">
        <f t="array" aca="1" ref="AM38" ca="1">INDIRECT(ADDRESS(16+2,$B38))</f>
        <v>0</v>
      </c>
      <c r="AN38" s="3" t="b">
        <f ca="1">OR(W38&lt;$U38, W38&gt;$V38)</f>
        <v>0</v>
      </c>
      <c r="AO38" s="3" t="b">
        <f t="shared" ref="AO38:AS38" ca="1" si="20">OR(X38&lt;$U38, X38&gt;$V38)</f>
        <v>0</v>
      </c>
      <c r="AP38" s="3" t="b">
        <f t="shared" ca="1" si="20"/>
        <v>0</v>
      </c>
      <c r="AQ38" s="3" t="b">
        <f t="shared" ca="1" si="20"/>
        <v>0</v>
      </c>
      <c r="AR38" s="3" t="b">
        <f t="shared" ca="1" si="20"/>
        <v>0</v>
      </c>
      <c r="AS38" s="3" t="b">
        <f t="shared" ca="1" si="20"/>
        <v>0</v>
      </c>
      <c r="AT38" s="3" t="b">
        <f t="shared" ref="AT38:AT69" ca="1" si="21">AND((AT$35-46+6)&lt; CompanyCount, OR(AC38&lt;$U38, AC38&gt;$V38))</f>
        <v>0</v>
      </c>
      <c r="AU38" s="3" t="b">
        <f t="shared" ref="AU38:AU69" ca="1" si="22">AND((AU$35-46+6)&lt; CompanyCount, OR(AD38&lt;$U38, AD38&gt;$V38))</f>
        <v>0</v>
      </c>
      <c r="AV38" s="3" t="b">
        <f t="shared" ref="AV38:AV69" ca="1" si="23">AND((AV$35-46+6)&lt; CompanyCount, OR(AE38&lt;$U38, AE38&gt;$V38))</f>
        <v>0</v>
      </c>
      <c r="AW38" s="3" t="b">
        <f t="shared" ref="AW38:AW69" ca="1" si="24">AND((AW$35-46+6)&lt; CompanyCount, OR(AF38&lt;$U38, AF38&gt;$V38))</f>
        <v>0</v>
      </c>
      <c r="AX38" s="3" t="b">
        <f t="shared" ref="AX38:AX69" ca="1" si="25">AND((AX$35-46+6)&lt; CompanyCount, OR(AG38&lt;$U38, AG38&gt;$V38))</f>
        <v>0</v>
      </c>
      <c r="AY38" s="3" t="b">
        <f t="shared" ref="AY38:AY69" ca="1" si="26">AND((AY$35-46+6)&lt; CompanyCount, OR(AH38&lt;$U38, AH38&gt;$V38))</f>
        <v>0</v>
      </c>
      <c r="AZ38" s="3" t="b">
        <f t="shared" ref="AZ38:AZ69" ca="1" si="27">AND((AZ$35-46+6)&lt; CompanyCount, OR(AI38&lt;$U38, AI38&gt;$V38))</f>
        <v>0</v>
      </c>
      <c r="BA38" s="3" t="b">
        <f t="shared" ref="BA38:BA69" ca="1" si="28">AND((BA$35-46+6)&lt; CompanyCount, OR(AJ38&lt;$U38, AJ38&gt;$V38))</f>
        <v>0</v>
      </c>
      <c r="BB38" s="3" t="b">
        <f t="shared" ref="BB38:BB69" ca="1" si="29">AND((BB$35-46+6)&lt; CompanyCount, OR(AK38&lt;$U38, AK38&gt;$V38))</f>
        <v>0</v>
      </c>
      <c r="BC38" s="3" t="b">
        <f t="shared" ref="BC38:BC69" ca="1" si="30">AND((BC$35-46+6)&lt; CompanyCount, OR(AL38&lt;$U38, AL38&gt;$V38))</f>
        <v>1</v>
      </c>
      <c r="BD38" s="3" t="b">
        <f t="shared" ref="BD38:BD69" ca="1" si="31">AND((BD$35-46+6)&lt; CompanyCount, OR(AM38&lt;$U38, AM38&gt;$V38))</f>
        <v>0</v>
      </c>
    </row>
    <row r="39" spans="1:137">
      <c r="A39" s="110" t="s">
        <v>135</v>
      </c>
      <c r="B39" s="103">
        <f t="shared" ref="B39" si="32">MATCH(A39, SKCOLNAMES, 0)</f>
        <v>51</v>
      </c>
      <c r="C39" s="103" t="str">
        <f t="shared" ref="C39:C58" si="33">ADDRESS(2,B39) &amp; ":" &amp; ADDRESS(2+$B$21-1,B39)</f>
        <v>$AY$2:$AY$17</v>
      </c>
      <c r="D39" s="3" cm="1">
        <f t="array" aca="1" ref="D39" ca="1">MIN(_xlfn.IFNA(INDIRECT($C39), ""))</f>
        <v>35.54620150862069</v>
      </c>
      <c r="E39" s="3" cm="1">
        <f t="array" aca="1" ref="E39" ca="1">PERCENTILE(_xlfn.IFNA(INDIRECT($C39), ""),E$36)</f>
        <v>41.175752819641588</v>
      </c>
      <c r="F39" s="3" cm="1">
        <f t="array" aca="1" ref="F39" ca="1">PERCENTILE(_xlfn.IFNA(INDIRECT($C39), ""),F$36)</f>
        <v>50.949169629512816</v>
      </c>
      <c r="G39" s="3" cm="1">
        <f t="array" aca="1" ref="G39" ca="1">PERCENTILE(_xlfn.IFNA(INDIRECT($C39), ""),G$36)</f>
        <v>56.813953724537605</v>
      </c>
      <c r="H39" s="3" cm="1">
        <f t="array" aca="1" ref="H39" ca="1">PERCENTILE(_xlfn.IFNA(INDIRECT($C39), ""),H$36)</f>
        <v>64.218774753350374</v>
      </c>
      <c r="I39" s="3" cm="1">
        <f t="array" aca="1" ref="I39" ca="1">PERCENTILE(_xlfn.IFNA(INDIRECT($C39), ""),I$36)</f>
        <v>82.799994905267141</v>
      </c>
      <c r="J39" s="3" cm="1">
        <f t="array" aca="1" ref="J39" ca="1">MAX(_xlfn.IFNA(INDIRECT($C39), ""))</f>
        <v>112.87094918002772</v>
      </c>
      <c r="K39" s="3" cm="1">
        <f t="array" aca="1" ref="K39" ca="1">INDIRECT(ADDRESS($B$22,$B39))</f>
        <v>55.852951510892481</v>
      </c>
      <c r="L39" s="123" t="s">
        <v>135</v>
      </c>
      <c r="M39" s="90" cm="1">
        <f t="array" aca="1" ref="M39" ca="1">_xlfn.IFS(K39&lt;=D39,0,K39&lt;=E39,0.1,K39&lt;=F39,0.25,K39&gt;=J39,1,K39&gt;=I39,0.9,K39&gt;=H39,0.75,TRUE,0.5)</f>
        <v>0.5</v>
      </c>
      <c r="N39" s="41" cm="1">
        <f t="array" aca="1" ref="N39" ca="1">_xlfn.IFS(K39&lt;=F39,0,K39&lt;=G39,1,K39&lt;=H39,2,TRUE,3)</f>
        <v>1</v>
      </c>
      <c r="O39" s="3" t="b">
        <v>1</v>
      </c>
      <c r="P39" s="90">
        <f ca="1">IF(O39,1-M39, M39)</f>
        <v>0.5</v>
      </c>
      <c r="Q39" s="3">
        <f ca="1">IF(O39,3-N39,N39)</f>
        <v>2</v>
      </c>
      <c r="S39" s="3">
        <f ca="1">H39-F39</f>
        <v>13.269605123837557</v>
      </c>
      <c r="T39" s="3">
        <f ca="1">S39*1.5</f>
        <v>19.904407685756336</v>
      </c>
      <c r="U39" s="3">
        <f ca="1">F39-T39</f>
        <v>31.04476194375648</v>
      </c>
      <c r="V39" s="3">
        <f ca="1">H39+T39</f>
        <v>84.123182439106714</v>
      </c>
      <c r="W39" s="3" cm="1">
        <f t="array" aca="1" ref="W39" ca="1">INDIRECT(ADDRESS(0+2,$B39))</f>
        <v>92.306135515191784</v>
      </c>
      <c r="X39" s="3" cm="1">
        <f t="array" aca="1" ref="X39" ca="1">INDIRECT(ADDRESS(1+2,$B39))</f>
        <v>55.852951510892481</v>
      </c>
      <c r="Y39" s="3" cm="1">
        <f t="array" aca="1" ref="Y39" ca="1">INDIRECT(ADDRESS(2+2,$B39))</f>
        <v>62.926936178739595</v>
      </c>
      <c r="Z39" s="3" cm="1">
        <f t="array" aca="1" ref="Z39" ca="1">INDIRECT(ADDRESS(3+2,$B39))</f>
        <v>35.54620150862069</v>
      </c>
      <c r="AA39" s="3" cm="1">
        <f t="array" aca="1" ref="AA39" ca="1">INDIRECT(ADDRESS(4+2,$B39))</f>
        <v>45.282515852375028</v>
      </c>
      <c r="AB39" s="3" cm="1">
        <f t="array" aca="1" ref="AB39" ca="1">INDIRECT(ADDRESS(5+2,$B39))</f>
        <v>57.036816186049904</v>
      </c>
      <c r="AC39" s="3" cm="1">
        <f t="array" aca="1" ref="AC39" ca="1">INDIRECT(ADDRESS(6+2,$B39))</f>
        <v>73.293854295342499</v>
      </c>
      <c r="AD39" s="3" cm="1">
        <f t="array" aca="1" ref="AD39" ca="1">INDIRECT(ADDRESS(7+2,$B39))</f>
        <v>52.838054221892079</v>
      </c>
      <c r="AE39" s="3" cm="1">
        <f t="array" aca="1" ref="AE39" ca="1">INDIRECT(ADDRESS(8+2,$B39))</f>
        <v>68.094290477182739</v>
      </c>
      <c r="AF39" s="3" cm="1">
        <f t="array" aca="1" ref="AF39" ca="1">INDIRECT(ADDRESS(9+2,$B39))</f>
        <v>53.037106329903338</v>
      </c>
      <c r="AG39" s="3" cm="1">
        <f t="array" aca="1" ref="AG39" ca="1">INDIRECT(ADDRESS(10+2,$B39))</f>
        <v>57.378168202764982</v>
      </c>
      <c r="AH39" s="3" cm="1">
        <f t="array" aca="1" ref="AH39" ca="1">INDIRECT(ADDRESS(11+2,$B39))</f>
        <v>61.316270882231123</v>
      </c>
      <c r="AI39" s="3" cm="1">
        <f t="array" aca="1" ref="AI39" ca="1">INDIRECT(ADDRESS(12+2,$B39))</f>
        <v>112.87094918002772</v>
      </c>
      <c r="AJ39" s="3" cm="1">
        <f t="array" aca="1" ref="AJ39" ca="1">INDIRECT(ADDRESS(13+2,$B39))</f>
        <v>56.591091263025305</v>
      </c>
      <c r="AK39" s="3" cm="1">
        <f t="array" aca="1" ref="AK39" ca="1">INDIRECT(ADDRESS(14+2,$B39))</f>
        <v>42.881821756056368</v>
      </c>
      <c r="AL39" s="3" cm="1">
        <f t="array" aca="1" ref="AL39" ca="1">INDIRECT(ADDRESS(15+2,$B39))</f>
        <v>39.469683883226814</v>
      </c>
      <c r="AM39" s="3" cm="1">
        <f t="array" aca="1" ref="AM39" ca="1">INDIRECT(ADDRESS(16+2,$B39))</f>
        <v>0</v>
      </c>
      <c r="AN39" s="3" t="b">
        <f ca="1">OR(W39&lt;$U39, W39&gt;$V39)</f>
        <v>1</v>
      </c>
      <c r="AO39" s="3" t="b">
        <f t="shared" ref="AO39:AO86" ca="1" si="34">OR(X39&lt;$U39, X39&gt;$V39)</f>
        <v>0</v>
      </c>
      <c r="AP39" s="3" t="b">
        <f t="shared" ref="AP39:AP86" ca="1" si="35">OR(Y39&lt;$U39, Y39&gt;$V39)</f>
        <v>0</v>
      </c>
      <c r="AQ39" s="3" t="b">
        <f t="shared" ref="AQ39:AQ86" ca="1" si="36">OR(Z39&lt;$U39, Z39&gt;$V39)</f>
        <v>0</v>
      </c>
      <c r="AR39" s="3" t="b">
        <f t="shared" ref="AR39:AR86" ca="1" si="37">OR(AA39&lt;$U39, AA39&gt;$V39)</f>
        <v>0</v>
      </c>
      <c r="AS39" s="3" t="b">
        <f t="shared" ref="AS39:AS86" ca="1" si="38">OR(AB39&lt;$U39, AB39&gt;$V39)</f>
        <v>0</v>
      </c>
      <c r="AT39" s="3" t="b">
        <f t="shared" ca="1" si="21"/>
        <v>0</v>
      </c>
      <c r="AU39" s="3" t="b">
        <f t="shared" ca="1" si="22"/>
        <v>0</v>
      </c>
      <c r="AV39" s="3" t="b">
        <f t="shared" ca="1" si="23"/>
        <v>0</v>
      </c>
      <c r="AW39" s="3" t="b">
        <f t="shared" ca="1" si="24"/>
        <v>0</v>
      </c>
      <c r="AX39" s="3" t="b">
        <f t="shared" ca="1" si="25"/>
        <v>0</v>
      </c>
      <c r="AY39" s="3" t="b">
        <f t="shared" ca="1" si="26"/>
        <v>0</v>
      </c>
      <c r="AZ39" s="3" t="b">
        <f t="shared" ca="1" si="27"/>
        <v>1</v>
      </c>
      <c r="BA39" s="3" t="b">
        <f t="shared" ca="1" si="28"/>
        <v>0</v>
      </c>
      <c r="BB39" s="3" t="b">
        <f t="shared" ca="1" si="29"/>
        <v>0</v>
      </c>
      <c r="BC39" s="3" t="b">
        <f t="shared" ca="1" si="30"/>
        <v>0</v>
      </c>
      <c r="BD39" s="3" t="b">
        <f t="shared" ca="1" si="31"/>
        <v>0</v>
      </c>
    </row>
    <row r="40" spans="1:137">
      <c r="A40" s="110" t="s">
        <v>136</v>
      </c>
      <c r="B40" s="103">
        <f t="shared" ref="B40" si="39">MATCH(A40, SKCOLNAMES, 0)</f>
        <v>52</v>
      </c>
      <c r="C40" s="103" t="str">
        <f t="shared" si="33"/>
        <v>$AZ$2:$AZ$17</v>
      </c>
      <c r="D40" s="3" cm="1">
        <f t="array" aca="1" ref="D40" ca="1">MIN(_xlfn.IFNA(INDIRECT($C40), ""))</f>
        <v>20.041087777311649</v>
      </c>
      <c r="E40" s="3" cm="1">
        <f t="array" aca="1" ref="E40" ca="1">PERCENTILE(_xlfn.IFNA(INDIRECT($C40), ""),E$36)</f>
        <v>34.451199076529342</v>
      </c>
      <c r="F40" s="3" cm="1">
        <f t="array" aca="1" ref="F40" ca="1">PERCENTILE(_xlfn.IFNA(INDIRECT($C40), ""),F$36)</f>
        <v>39.118123131450155</v>
      </c>
      <c r="G40" s="3" cm="1">
        <f t="array" aca="1" ref="G40" ca="1">PERCENTILE(_xlfn.IFNA(INDIRECT($C40), ""),G$36)</f>
        <v>63.372095758266582</v>
      </c>
      <c r="H40" s="3" cm="1">
        <f t="array" aca="1" ref="H40" ca="1">PERCENTILE(_xlfn.IFNA(INDIRECT($C40), ""),H$36)</f>
        <v>100.34916705811902</v>
      </c>
      <c r="I40" s="3" cm="1">
        <f t="array" aca="1" ref="I40" ca="1">PERCENTILE(_xlfn.IFNA(INDIRECT($C40), ""),I$36)</f>
        <v>107.55366773418791</v>
      </c>
      <c r="J40" s="3" cm="1">
        <f t="array" aca="1" ref="J40" ca="1">MAX(_xlfn.IFNA(INDIRECT($C40), ""))</f>
        <v>140.64181839001489</v>
      </c>
      <c r="K40" s="3" cm="1">
        <f t="array" aca="1" ref="K40" ca="1">INDIRECT(ADDRESS($B$22,$B40))</f>
        <v>67.26721714687281</v>
      </c>
      <c r="L40" s="123" t="s">
        <v>136</v>
      </c>
      <c r="M40" s="90" cm="1">
        <f t="array" aca="1" ref="M40" ca="1">_xlfn.IFS(K40&lt;=D40,0,K40&lt;=E40,0.1,K40&lt;=F40,0.25,K40&gt;=J40,1,K40&gt;=I40,0.9,K40&gt;=H40,0.75,TRUE,0.5)</f>
        <v>0.5</v>
      </c>
      <c r="N40" s="41" cm="1">
        <f t="array" aca="1" ref="N40" ca="1">_xlfn.IFS(K40&lt;=F40,0,K40&lt;=G40,1,K40&lt;=H40,2,TRUE,3)</f>
        <v>2</v>
      </c>
      <c r="O40" s="3" t="b">
        <v>1</v>
      </c>
      <c r="P40" s="90">
        <f ca="1">IF(O40,1-M40, M40)</f>
        <v>0.5</v>
      </c>
      <c r="Q40" s="3">
        <f ca="1">IF(O40,3-N40,N40)</f>
        <v>1</v>
      </c>
      <c r="S40" s="3">
        <f t="shared" ref="S40:S85" ca="1" si="40">H40-F40</f>
        <v>61.231043926668868</v>
      </c>
      <c r="T40" s="3">
        <f t="shared" ref="T40:T86" ca="1" si="41">S40*1.5</f>
        <v>91.846565890003305</v>
      </c>
      <c r="U40" s="3">
        <f t="shared" ref="U40:U86" ca="1" si="42">F40-T40</f>
        <v>-52.72844275855315</v>
      </c>
      <c r="V40" s="3">
        <f t="shared" ref="V40:V86" ca="1" si="43">H40+T40</f>
        <v>192.19573294812233</v>
      </c>
      <c r="W40" s="3" cm="1">
        <f t="array" aca="1" ref="W40" ca="1">INDIRECT(ADDRESS(0+2,$B40))</f>
        <v>111.99857382372998</v>
      </c>
      <c r="X40" s="3" cm="1">
        <f t="array" aca="1" ref="X40" ca="1">INDIRECT(ADDRESS(1+2,$B40))</f>
        <v>67.26721714687281</v>
      </c>
      <c r="Y40" s="3" cm="1">
        <f t="array" aca="1" ref="Y40" ca="1">INDIRECT(ADDRESS(2+2,$B40))</f>
        <v>69.73800220418795</v>
      </c>
      <c r="Z40" s="3" cm="1">
        <f t="array" aca="1" ref="Z40" ca="1">INDIRECT(ADDRESS(3+2,$B40))</f>
        <v>55.949622844827594</v>
      </c>
      <c r="AA40" s="3" cm="1">
        <f t="array" aca="1" ref="AA40" ca="1">INDIRECT(ADDRESS(4+2,$B40))</f>
        <v>103.10876164464584</v>
      </c>
      <c r="AB40" s="3" cm="1">
        <f t="array" aca="1" ref="AB40" ca="1">INDIRECT(ADDRESS(5+2,$B40))</f>
        <v>39.302933066688993</v>
      </c>
      <c r="AC40" s="3" cm="1">
        <f t="array" aca="1" ref="AC40" ca="1">INDIRECT(ADDRESS(6+2,$B40))</f>
        <v>51.33389562192918</v>
      </c>
      <c r="AD40" s="3" cm="1">
        <f t="array" aca="1" ref="AD40" ca="1">INDIRECT(ADDRESS(7+2,$B40))</f>
        <v>38.563693325733645</v>
      </c>
      <c r="AE40" s="3" cm="1">
        <f t="array" aca="1" ref="AE40" ca="1">INDIRECT(ADDRESS(8+2,$B40))</f>
        <v>59.476974369660347</v>
      </c>
      <c r="AF40" s="3" cm="1">
        <f t="array" aca="1" ref="AF40" ca="1">INDIRECT(ADDRESS(9+2,$B40))</f>
        <v>97.614073381145403</v>
      </c>
      <c r="AG40" s="3" cm="1">
        <f t="array" aca="1" ref="AG40" ca="1">INDIRECT(ADDRESS(10+2,$B40))</f>
        <v>99.933467741935488</v>
      </c>
      <c r="AH40" s="3" cm="1">
        <f t="array" aca="1" ref="AH40" ca="1">INDIRECT(ADDRESS(11+2,$B40))</f>
        <v>30.790418334944089</v>
      </c>
      <c r="AI40" s="3" cm="1">
        <f t="array" aca="1" ref="AI40" ca="1">INDIRECT(ADDRESS(12+2,$B40))</f>
        <v>101.59626500666963</v>
      </c>
      <c r="AJ40" s="3" cm="1">
        <f t="array" aca="1" ref="AJ40" ca="1">INDIRECT(ADDRESS(13+2,$B40))</f>
        <v>140.64181839001489</v>
      </c>
      <c r="AK40" s="3" cm="1">
        <f t="array" aca="1" ref="AK40" ca="1">INDIRECT(ADDRESS(14+2,$B40))</f>
        <v>38.111979818114591</v>
      </c>
      <c r="AL40" s="3" cm="1">
        <f t="array" aca="1" ref="AL40" ca="1">INDIRECT(ADDRESS(15+2,$B40))</f>
        <v>20.041087777311649</v>
      </c>
      <c r="AM40" s="3" cm="1">
        <f t="array" aca="1" ref="AM40" ca="1">INDIRECT(ADDRESS(16+2,$B40))</f>
        <v>0</v>
      </c>
      <c r="AN40" s="3" t="b">
        <f t="shared" ref="AN40:AN86" ca="1" si="44">OR(W40&lt;$U40, W40&gt;$V40)</f>
        <v>0</v>
      </c>
      <c r="AO40" s="3" t="b">
        <f t="shared" ca="1" si="34"/>
        <v>0</v>
      </c>
      <c r="AP40" s="3" t="b">
        <f t="shared" ca="1" si="35"/>
        <v>0</v>
      </c>
      <c r="AQ40" s="3" t="b">
        <f t="shared" ca="1" si="36"/>
        <v>0</v>
      </c>
      <c r="AR40" s="3" t="b">
        <f t="shared" ca="1" si="37"/>
        <v>0</v>
      </c>
      <c r="AS40" s="3" t="b">
        <f t="shared" ca="1" si="38"/>
        <v>0</v>
      </c>
      <c r="AT40" s="3" t="b">
        <f t="shared" ca="1" si="21"/>
        <v>0</v>
      </c>
      <c r="AU40" s="3" t="b">
        <f t="shared" ca="1" si="22"/>
        <v>0</v>
      </c>
      <c r="AV40" s="3" t="b">
        <f t="shared" ca="1" si="23"/>
        <v>0</v>
      </c>
      <c r="AW40" s="3" t="b">
        <f t="shared" ca="1" si="24"/>
        <v>0</v>
      </c>
      <c r="AX40" s="3" t="b">
        <f t="shared" ca="1" si="25"/>
        <v>0</v>
      </c>
      <c r="AY40" s="3" t="b">
        <f t="shared" ca="1" si="26"/>
        <v>0</v>
      </c>
      <c r="AZ40" s="3" t="b">
        <f t="shared" ca="1" si="27"/>
        <v>0</v>
      </c>
      <c r="BA40" s="3" t="b">
        <f t="shared" ca="1" si="28"/>
        <v>0</v>
      </c>
      <c r="BB40" s="3" t="b">
        <f t="shared" ca="1" si="29"/>
        <v>0</v>
      </c>
      <c r="BC40" s="3" t="b">
        <f t="shared" ca="1" si="30"/>
        <v>0</v>
      </c>
      <c r="BD40" s="3" t="b">
        <f t="shared" ca="1" si="31"/>
        <v>0</v>
      </c>
    </row>
    <row r="41" spans="1:137">
      <c r="A41" s="110" t="s">
        <v>93</v>
      </c>
      <c r="B41" s="103">
        <f t="shared" ref="B41" si="45">MATCH(A41, SKCOLNAMES, 0)</f>
        <v>50</v>
      </c>
      <c r="C41" s="103" t="str">
        <f t="shared" si="33"/>
        <v>$AX$2:$AX$17</v>
      </c>
      <c r="D41" s="3" cm="1">
        <f t="array" aca="1" ref="D41" ca="1">MIN(_xlfn.IFNA(INDIRECT($C41), ""))</f>
        <v>18.618886692597101</v>
      </c>
      <c r="E41" s="3" cm="1">
        <f t="array" aca="1" ref="E41" ca="1">PERCENTILE(_xlfn.IFNA(INDIRECT($C41), ""),E$36)</f>
        <v>24.606719629507701</v>
      </c>
      <c r="F41" s="3" cm="1">
        <f t="array" aca="1" ref="F41" ca="1">PERCENTILE(_xlfn.IFNA(INDIRECT($C41), ""),F$36)</f>
        <v>26.938795591028924</v>
      </c>
      <c r="G41" s="3" cm="1">
        <f t="array" aca="1" ref="G41" ca="1">PERCENTILE(_xlfn.IFNA(INDIRECT($C41), ""),G$36)</f>
        <v>29.548242130879</v>
      </c>
      <c r="H41" s="3" cm="1">
        <f t="array" aca="1" ref="H41" ca="1">PERCENTILE(_xlfn.IFNA(INDIRECT($C41), ""),H$36)</f>
        <v>33.055198357449484</v>
      </c>
      <c r="I41" s="3" cm="1">
        <f t="array" aca="1" ref="I41" ca="1">PERCENTILE(_xlfn.IFNA(INDIRECT($C41), ""),I$36)</f>
        <v>39.420444009884903</v>
      </c>
      <c r="J41" s="3" cm="1">
        <f t="array" aca="1" ref="J41" ca="1">MAX(_xlfn.IFNA(INDIRECT($C41), ""))</f>
        <v>41.931624945624236</v>
      </c>
      <c r="K41" s="3" cm="1">
        <f t="array" aca="1" ref="K41" ca="1">INDIRECT(ADDRESS($B$22,$B41))</f>
        <v>24.148544471292102</v>
      </c>
      <c r="L41" s="123" t="s">
        <v>93</v>
      </c>
      <c r="M41" s="90" cm="1">
        <f t="array" aca="1" ref="M41" ca="1">_xlfn.IFS(K41&lt;=D41,0,K41&lt;=E41,0.1,K41&lt;=F41,0.25,K41&gt;=J41,1,K41&gt;=I41,0.9,K41&gt;=H41,0.75,TRUE,0.5)</f>
        <v>0.1</v>
      </c>
      <c r="N41" s="41" cm="1">
        <f t="array" aca="1" ref="N41" ca="1">_xlfn.IFS(K41&lt;=F41,0,K41&lt;=G41,1,K41&lt;=H41,2,TRUE,3)</f>
        <v>0</v>
      </c>
      <c r="O41" s="3" t="b">
        <v>1</v>
      </c>
      <c r="P41" s="90">
        <f ca="1">IF(O41,1-M41, M41)</f>
        <v>0.9</v>
      </c>
      <c r="Q41" s="3">
        <f ca="1">IF(O41,3-N41,N41)</f>
        <v>3</v>
      </c>
      <c r="S41" s="3">
        <f t="shared" ca="1" si="40"/>
        <v>6.1164027664205598</v>
      </c>
      <c r="T41" s="3">
        <f t="shared" ca="1" si="41"/>
        <v>9.1746041496308397</v>
      </c>
      <c r="U41" s="3">
        <f t="shared" ca="1" si="42"/>
        <v>17.764191441398083</v>
      </c>
      <c r="V41" s="3">
        <f t="shared" ca="1" si="43"/>
        <v>42.229802507080322</v>
      </c>
      <c r="W41" s="3" cm="1">
        <f t="array" aca="1" ref="W41" ca="1">INDIRECT(ADDRESS(0+2,$B41))</f>
        <v>31.273801201085</v>
      </c>
      <c r="X41" s="3" cm="1">
        <f t="array" aca="1" ref="X41" ca="1">INDIRECT(ADDRESS(1+2,$B41))</f>
        <v>24.148544471292102</v>
      </c>
      <c r="Y41" s="3" cm="1">
        <f t="array" aca="1" ref="Y41" ca="1">INDIRECT(ADDRESS(2+2,$B41))</f>
        <v>28.4223476624692</v>
      </c>
      <c r="Z41" s="3" cm="1">
        <f t="array" aca="1" ref="Z41" ca="1">INDIRECT(ADDRESS(3+2,$B41))</f>
        <v>41.931624945624236</v>
      </c>
      <c r="AA41" s="3" cm="1">
        <f t="array" aca="1" ref="AA41" ca="1">INDIRECT(ADDRESS(4+2,$B41))</f>
        <v>33.444424903271198</v>
      </c>
      <c r="AB41" s="3" cm="1">
        <f t="array" aca="1" ref="AB41" ca="1">INDIRECT(ADDRESS(5+2,$B41))</f>
        <v>30.382975729623102</v>
      </c>
      <c r="AC41" s="3" cm="1">
        <f t="array" aca="1" ref="AC41" ca="1">INDIRECT(ADDRESS(6+2,$B41))</f>
        <v>27.3185992232819</v>
      </c>
      <c r="AD41" s="3" cm="1">
        <f t="array" aca="1" ref="AD41" ca="1">INDIRECT(ADDRESS(7+2,$B41))</f>
        <v>28.713508532134899</v>
      </c>
      <c r="AE41" s="3" cm="1">
        <f t="array" aca="1" ref="AE41" ca="1">INDIRECT(ADDRESS(8+2,$B41))</f>
        <v>25.79938469427</v>
      </c>
      <c r="AF41" s="3" cm="1">
        <f t="array" aca="1" ref="AF41" ca="1">INDIRECT(ADDRESS(9+2,$B41))</f>
        <v>38.324871306677899</v>
      </c>
      <c r="AG41" s="3" cm="1">
        <f t="array" aca="1" ref="AG41" ca="1">INDIRECT(ADDRESS(10+2,$B41))</f>
        <v>27.4289609093004</v>
      </c>
      <c r="AH41" s="3" cm="1">
        <f t="array" aca="1" ref="AH41" ca="1">INDIRECT(ADDRESS(11+2,$B41))</f>
        <v>32.925456175508913</v>
      </c>
      <c r="AI41" s="3" cm="1">
        <f t="array" aca="1" ref="AI41" ca="1">INDIRECT(ADDRESS(12+2,$B41))</f>
        <v>31.7459124076038</v>
      </c>
      <c r="AJ41" s="3" cm="1">
        <f t="array" aca="1" ref="AJ41" ca="1">INDIRECT(ADDRESS(13+2,$B41))</f>
        <v>40.516016713091901</v>
      </c>
      <c r="AK41" s="3" cm="1">
        <f t="array" aca="1" ref="AK41" ca="1">INDIRECT(ADDRESS(14+2,$B41))</f>
        <v>25.064894787723301</v>
      </c>
      <c r="AL41" s="3" cm="1">
        <f t="array" aca="1" ref="AL41" ca="1">INDIRECT(ADDRESS(15+2,$B41))</f>
        <v>18.618886692597101</v>
      </c>
      <c r="AM41" s="3" cm="1">
        <f t="array" aca="1" ref="AM41" ca="1">INDIRECT(ADDRESS(16+2,$B41))</f>
        <v>0</v>
      </c>
      <c r="AN41" s="3" t="b">
        <f t="shared" ca="1" si="44"/>
        <v>0</v>
      </c>
      <c r="AO41" s="3" t="b">
        <f t="shared" ca="1" si="34"/>
        <v>0</v>
      </c>
      <c r="AP41" s="3" t="b">
        <f t="shared" ca="1" si="35"/>
        <v>0</v>
      </c>
      <c r="AQ41" s="3" t="b">
        <f t="shared" ca="1" si="36"/>
        <v>0</v>
      </c>
      <c r="AR41" s="3" t="b">
        <f t="shared" ca="1" si="37"/>
        <v>0</v>
      </c>
      <c r="AS41" s="3" t="b">
        <f t="shared" ca="1" si="38"/>
        <v>0</v>
      </c>
      <c r="AT41" s="3" t="b">
        <f t="shared" ca="1" si="21"/>
        <v>0</v>
      </c>
      <c r="AU41" s="3" t="b">
        <f t="shared" ca="1" si="22"/>
        <v>0</v>
      </c>
      <c r="AV41" s="3" t="b">
        <f t="shared" ca="1" si="23"/>
        <v>0</v>
      </c>
      <c r="AW41" s="3" t="b">
        <f t="shared" ca="1" si="24"/>
        <v>0</v>
      </c>
      <c r="AX41" s="3" t="b">
        <f t="shared" ca="1" si="25"/>
        <v>0</v>
      </c>
      <c r="AY41" s="3" t="b">
        <f t="shared" ca="1" si="26"/>
        <v>0</v>
      </c>
      <c r="AZ41" s="3" t="b">
        <f t="shared" ca="1" si="27"/>
        <v>0</v>
      </c>
      <c r="BA41" s="3" t="b">
        <f t="shared" ca="1" si="28"/>
        <v>0</v>
      </c>
      <c r="BB41" s="3" t="b">
        <f t="shared" ca="1" si="29"/>
        <v>0</v>
      </c>
      <c r="BC41" s="3" t="b">
        <f t="shared" ca="1" si="30"/>
        <v>0</v>
      </c>
      <c r="BD41" s="3" t="b">
        <f t="shared" ca="1" si="31"/>
        <v>0</v>
      </c>
    </row>
    <row r="42" spans="1:137">
      <c r="A42" s="110" t="s">
        <v>37</v>
      </c>
      <c r="B42" s="103">
        <f t="shared" ref="B42" si="46">MATCH(A42, SKCOLNAMES, 0)</f>
        <v>53</v>
      </c>
      <c r="C42" s="103" t="str">
        <f t="shared" si="33"/>
        <v>$BA$2:$BA$17</v>
      </c>
      <c r="D42" s="3" cm="1">
        <f t="array" aca="1" ref="D42" ca="1">MIN(_xlfn.IFNA(INDIRECT($C42), ""))</f>
        <v>-43.534710413897685</v>
      </c>
      <c r="E42" s="3" cm="1">
        <f t="array" aca="1" ref="E42" ca="1">PERCENTILE(_xlfn.IFNA(INDIRECT($C42), ""),E$36)</f>
        <v>-19.754079759434859</v>
      </c>
      <c r="F42" s="3" cm="1">
        <f t="array" aca="1" ref="F42" ca="1">PERCENTILE(_xlfn.IFNA(INDIRECT($C42), ""),F$36)</f>
        <v>7.1229982332690618</v>
      </c>
      <c r="G42" s="3" cm="1">
        <f t="array" aca="1" ref="G42" ca="1">PERCENTILE(_xlfn.IFNA(INDIRECT($C42), ""),G$36)</f>
        <v>25.723009181342967</v>
      </c>
      <c r="H42" s="3" cm="1">
        <f t="array" aca="1" ref="H42" ca="1">PERCENTILE(_xlfn.IFNA(INDIRECT($C42), ""),H$36)</f>
        <v>42.996051216460472</v>
      </c>
      <c r="I42" s="3" cm="1">
        <f t="array" aca="1" ref="I42" ca="1">PERCENTILE(_xlfn.IFNA(INDIRECT($C42), ""),I$36)</f>
        <v>48.697708372839614</v>
      </c>
      <c r="J42" s="3" cm="1">
        <f t="array" aca="1" ref="J42" ca="1">MAX(_xlfn.IFNA(INDIRECT($C42), ""))</f>
        <v>63.451308722795943</v>
      </c>
      <c r="K42" s="3" cm="1">
        <f t="array" aca="1" ref="K42" ca="1">INDIRECT(ADDRESS($B$22,$B42))</f>
        <v>12.73427883531177</v>
      </c>
      <c r="L42" s="123" t="s">
        <v>37</v>
      </c>
      <c r="M42" s="90" cm="1">
        <f t="array" aca="1" ref="M42" ca="1">_xlfn.IFS(K42&lt;=D42,0,K42&lt;=E42,0.1,K42&lt;=F42,0.25,K42&gt;=J42,1,K42&gt;=I42,0.9,K42&gt;=H42,0.75,TRUE,0.5)</f>
        <v>0.5</v>
      </c>
      <c r="N42" s="41" cm="1">
        <f t="array" aca="1" ref="N42" ca="1">_xlfn.IFS(K42&lt;=F42,0,K42&lt;=G42,1,K42&lt;=H42,2,TRUE,3)</f>
        <v>1</v>
      </c>
      <c r="O42" s="3" t="b">
        <v>1</v>
      </c>
      <c r="P42" s="90">
        <f ca="1">IF(O42,1-M42, M42)</f>
        <v>0.5</v>
      </c>
      <c r="Q42" s="3">
        <f ca="1">IF(O42,3-N42,N42)</f>
        <v>2</v>
      </c>
      <c r="S42" s="3">
        <f t="shared" ca="1" si="40"/>
        <v>35.873052983191414</v>
      </c>
      <c r="T42" s="3">
        <f t="shared" ca="1" si="41"/>
        <v>53.809579474787121</v>
      </c>
      <c r="U42" s="3">
        <f t="shared" ca="1" si="42"/>
        <v>-46.686581241518056</v>
      </c>
      <c r="V42" s="3">
        <f t="shared" ca="1" si="43"/>
        <v>96.805630691247586</v>
      </c>
      <c r="W42" s="3" cm="1">
        <f t="array" aca="1" ref="W42" ca="1">INDIRECT(ADDRESS(0+2,$B42))</f>
        <v>11.581362892546807</v>
      </c>
      <c r="X42" s="3" cm="1">
        <f t="array" aca="1" ref="X42" ca="1">INDIRECT(ADDRESS(1+2,$B42))</f>
        <v>12.73427883531177</v>
      </c>
      <c r="Y42" s="3" cm="1">
        <f t="array" aca="1" ref="Y42" ca="1">INDIRECT(ADDRESS(2+2,$B42))</f>
        <v>21.611281637020852</v>
      </c>
      <c r="Z42" s="3" cm="1">
        <f t="array" aca="1" ref="Z42" ca="1">INDIRECT(ADDRESS(3+2,$B42))</f>
        <v>21.528203609417339</v>
      </c>
      <c r="AA42" s="3" cm="1">
        <f t="array" aca="1" ref="AA42" ca="1">INDIRECT(ADDRESS(4+2,$B42))</f>
        <v>-24.381820888999613</v>
      </c>
      <c r="AB42" s="3" cm="1">
        <f t="array" aca="1" ref="AB42" ca="1">INDIRECT(ADDRESS(5+2,$B42))</f>
        <v>48.116858848984009</v>
      </c>
      <c r="AC42" s="3" cm="1">
        <f t="array" aca="1" ref="AC42" ca="1">INDIRECT(ADDRESS(6+2,$B42))</f>
        <v>49.278557896695212</v>
      </c>
      <c r="AD42" s="3" cm="1">
        <f t="array" aca="1" ref="AD42" ca="1">INDIRECT(ADDRESS(7+2,$B42))</f>
        <v>42.98786942829333</v>
      </c>
      <c r="AE42" s="3" cm="1">
        <f t="array" aca="1" ref="AE42" ca="1">INDIRECT(ADDRESS(8+2,$B42))</f>
        <v>34.416700801792395</v>
      </c>
      <c r="AF42" s="3" cm="1">
        <f t="array" aca="1" ref="AF42" ca="1">INDIRECT(ADDRESS(9+2,$B42))</f>
        <v>-6.2520957445641727</v>
      </c>
      <c r="AG42" s="3" cm="1">
        <f t="array" aca="1" ref="AG42" ca="1">INDIRECT(ADDRESS(10+2,$B42))</f>
        <v>-15.126338629870105</v>
      </c>
      <c r="AH42" s="3" cm="1">
        <f t="array" aca="1" ref="AH42" ca="1">INDIRECT(ADDRESS(11+2,$B42))</f>
        <v>63.451308722795943</v>
      </c>
      <c r="AI42" s="3" cm="1">
        <f t="array" aca="1" ref="AI42" ca="1">INDIRECT(ADDRESS(12+2,$B42))</f>
        <v>43.020596580961893</v>
      </c>
      <c r="AJ42" s="3" cm="1">
        <f t="array" aca="1" ref="AJ42" ca="1">INDIRECT(ADDRESS(13+2,$B42))</f>
        <v>-43.534710413897685</v>
      </c>
      <c r="AK42" s="3" cm="1">
        <f t="array" aca="1" ref="AK42" ca="1">INDIRECT(ADDRESS(14+2,$B42))</f>
        <v>29.834736725665081</v>
      </c>
      <c r="AL42" s="3" cm="1">
        <f t="array" aca="1" ref="AL42" ca="1">INDIRECT(ADDRESS(15+2,$B42))</f>
        <v>38.047482798512263</v>
      </c>
      <c r="AM42" s="3" cm="1">
        <f t="array" aca="1" ref="AM42" ca="1">INDIRECT(ADDRESS(16+2,$B42))</f>
        <v>0</v>
      </c>
      <c r="AN42" s="3" t="b">
        <f t="shared" ca="1" si="44"/>
        <v>0</v>
      </c>
      <c r="AO42" s="3" t="b">
        <f t="shared" ca="1" si="34"/>
        <v>0</v>
      </c>
      <c r="AP42" s="3" t="b">
        <f t="shared" ca="1" si="35"/>
        <v>0</v>
      </c>
      <c r="AQ42" s="3" t="b">
        <f t="shared" ca="1" si="36"/>
        <v>0</v>
      </c>
      <c r="AR42" s="3" t="b">
        <f t="shared" ca="1" si="37"/>
        <v>0</v>
      </c>
      <c r="AS42" s="3" t="b">
        <f t="shared" ca="1" si="38"/>
        <v>0</v>
      </c>
      <c r="AT42" s="3" t="b">
        <f t="shared" ca="1" si="21"/>
        <v>0</v>
      </c>
      <c r="AU42" s="3" t="b">
        <f t="shared" ca="1" si="22"/>
        <v>0</v>
      </c>
      <c r="AV42" s="3" t="b">
        <f t="shared" ca="1" si="23"/>
        <v>0</v>
      </c>
      <c r="AW42" s="3" t="b">
        <f t="shared" ca="1" si="24"/>
        <v>0</v>
      </c>
      <c r="AX42" s="3" t="b">
        <f t="shared" ca="1" si="25"/>
        <v>0</v>
      </c>
      <c r="AY42" s="3" t="b">
        <f t="shared" ca="1" si="26"/>
        <v>0</v>
      </c>
      <c r="AZ42" s="3" t="b">
        <f t="shared" ca="1" si="27"/>
        <v>0</v>
      </c>
      <c r="BA42" s="3" t="b">
        <f t="shared" ca="1" si="28"/>
        <v>0</v>
      </c>
      <c r="BB42" s="3" t="b">
        <f t="shared" ca="1" si="29"/>
        <v>0</v>
      </c>
      <c r="BC42" s="3" t="b">
        <f t="shared" ca="1" si="30"/>
        <v>0</v>
      </c>
      <c r="BD42" s="3" t="b">
        <f t="shared" ca="1" si="31"/>
        <v>0</v>
      </c>
    </row>
    <row r="43" spans="1:137">
      <c r="A43" s="110" t="s">
        <v>134</v>
      </c>
      <c r="B43" s="103">
        <f t="shared" ref="B43" si="47">MATCH(A43, SKCOLNAMES, 0)</f>
        <v>14</v>
      </c>
      <c r="C43" s="103" t="str">
        <f t="shared" si="33"/>
        <v>$N$2:$N$17</v>
      </c>
      <c r="D43" s="3" cm="1">
        <f t="array" aca="1" ref="D43" ca="1">MIN(_xlfn.IFNA(INDIRECT($C43), ""))</f>
        <v>5441</v>
      </c>
      <c r="E43" s="3" cm="1">
        <f t="array" aca="1" ref="E43" ca="1">PERCENTILE(_xlfn.IFNA(INDIRECT($C43), ""),E$36)</f>
        <v>7500</v>
      </c>
      <c r="F43" s="3" cm="1">
        <f t="array" aca="1" ref="F43" ca="1">PERCENTILE(_xlfn.IFNA(INDIRECT($C43), ""),F$36)</f>
        <v>14650</v>
      </c>
      <c r="G43" s="3" cm="1">
        <f t="array" aca="1" ref="G43" ca="1">PERCENTILE(_xlfn.IFNA(INDIRECT($C43), ""),G$36)</f>
        <v>25550</v>
      </c>
      <c r="H43" s="3" cm="1">
        <f t="array" aca="1" ref="H43" ca="1">PERCENTILE(_xlfn.IFNA(INDIRECT($C43), ""),H$36)</f>
        <v>62050</v>
      </c>
      <c r="I43" s="3" cm="1">
        <f t="array" aca="1" ref="I43" ca="1">PERCENTILE(_xlfn.IFNA(INDIRECT($C43), ""),I$36)</f>
        <v>96224.5</v>
      </c>
      <c r="J43" s="3" cm="1">
        <f t="array" aca="1" ref="J43" ca="1">MAX(_xlfn.IFNA(INDIRECT($C43), ""))</f>
        <v>139000</v>
      </c>
      <c r="K43" s="3" cm="1">
        <f t="array" aca="1" ref="K43" ca="1">INDIRECT(ADDRESS($B$22,$B43))</f>
        <v>19000</v>
      </c>
      <c r="L43" s="123" t="s">
        <v>134</v>
      </c>
      <c r="S43" s="3">
        <f t="shared" ca="1" si="40"/>
        <v>47400</v>
      </c>
      <c r="T43" s="3">
        <f t="shared" ca="1" si="41"/>
        <v>71100</v>
      </c>
      <c r="U43" s="3">
        <f t="shared" ca="1" si="42"/>
        <v>-56450</v>
      </c>
      <c r="V43" s="3">
        <f t="shared" ca="1" si="43"/>
        <v>133150</v>
      </c>
      <c r="W43" s="3" cm="1">
        <f t="array" aca="1" ref="W43" ca="1">INDIRECT(ADDRESS(0+2,$B43))</f>
        <v>90000</v>
      </c>
      <c r="X43" s="3" cm="1">
        <f t="array" aca="1" ref="X43" ca="1">INDIRECT(ADDRESS(1+2,$B43))</f>
        <v>19000</v>
      </c>
      <c r="Y43" s="3" cm="1">
        <f t="array" aca="1" ref="Y43" ca="1">INDIRECT(ADDRESS(2+2,$B43))</f>
        <v>18000</v>
      </c>
      <c r="Z43" s="3" cm="1">
        <f t="array" aca="1" ref="Z43" ca="1">INDIRECT(ADDRESS(3+2,$B43))</f>
        <v>102449</v>
      </c>
      <c r="AA43" s="3" cm="1">
        <f t="array" aca="1" ref="AA43" ca="1">INDIRECT(ADDRESS(4+2,$B43))</f>
        <v>40000</v>
      </c>
      <c r="AB43" s="3" cm="1">
        <f t="array" aca="1" ref="AB43" ca="1">INDIRECT(ADDRESS(5+2,$B43))</f>
        <v>5441</v>
      </c>
      <c r="AC43" s="3" cm="1">
        <f t="array" aca="1" ref="AC43" ca="1">INDIRECT(ADDRESS(6+2,$B43))</f>
        <v>15200</v>
      </c>
      <c r="AD43" s="3" cm="1">
        <f t="array" aca="1" ref="AD43" ca="1">INDIRECT(ADDRESS(7+2,$B43))</f>
        <v>20100</v>
      </c>
      <c r="AE43" s="3" cm="1">
        <f t="array" aca="1" ref="AE43" ca="1">INDIRECT(ADDRESS(8+2,$B43))</f>
        <v>7400</v>
      </c>
      <c r="AF43" s="3" cm="1">
        <f t="array" aca="1" ref="AF43" ca="1">INDIRECT(ADDRESS(9+2,$B43))</f>
        <v>31000</v>
      </c>
      <c r="AG43" s="3" cm="1">
        <f t="array" aca="1" ref="AG43" ca="1">INDIRECT(ADDRESS(10+2,$B43))</f>
        <v>38000</v>
      </c>
      <c r="AH43" s="3" cm="1">
        <f t="array" aca="1" ref="AH43" ca="1">INDIRECT(ADDRESS(11+2,$B43))</f>
        <v>7600</v>
      </c>
      <c r="AI43" s="3" cm="1">
        <f t="array" aca="1" ref="AI43" ca="1">INDIRECT(ADDRESS(12+2,$B43))</f>
        <v>13000</v>
      </c>
      <c r="AJ43" s="3" cm="1">
        <f t="array" aca="1" ref="AJ43" ca="1">INDIRECT(ADDRESS(13+2,$B43))</f>
        <v>79000</v>
      </c>
      <c r="AK43" s="3" cm="1">
        <f t="array" aca="1" ref="AK43" ca="1">INDIRECT(ADDRESS(14+2,$B43))</f>
        <v>56400</v>
      </c>
      <c r="AL43" s="3" cm="1">
        <f t="array" aca="1" ref="AL43" ca="1">INDIRECT(ADDRESS(15+2,$B43))</f>
        <v>139000</v>
      </c>
      <c r="AM43" s="3" cm="1">
        <f t="array" aca="1" ref="AM43" ca="1">INDIRECT(ADDRESS(16+2,$B43))</f>
        <v>0</v>
      </c>
      <c r="AN43" s="3" t="b">
        <f t="shared" ca="1" si="44"/>
        <v>0</v>
      </c>
      <c r="AO43" s="3" t="b">
        <f t="shared" ca="1" si="34"/>
        <v>0</v>
      </c>
      <c r="AP43" s="3" t="b">
        <f t="shared" ca="1" si="35"/>
        <v>0</v>
      </c>
      <c r="AQ43" s="3" t="b">
        <f t="shared" ca="1" si="36"/>
        <v>0</v>
      </c>
      <c r="AR43" s="3" t="b">
        <f t="shared" ca="1" si="37"/>
        <v>0</v>
      </c>
      <c r="AS43" s="3" t="b">
        <f t="shared" ca="1" si="38"/>
        <v>0</v>
      </c>
      <c r="AT43" s="3" t="b">
        <f t="shared" ca="1" si="21"/>
        <v>0</v>
      </c>
      <c r="AU43" s="3" t="b">
        <f t="shared" ca="1" si="22"/>
        <v>0</v>
      </c>
      <c r="AV43" s="3" t="b">
        <f t="shared" ca="1" si="23"/>
        <v>0</v>
      </c>
      <c r="AW43" s="3" t="b">
        <f t="shared" ca="1" si="24"/>
        <v>0</v>
      </c>
      <c r="AX43" s="3" t="b">
        <f t="shared" ca="1" si="25"/>
        <v>0</v>
      </c>
      <c r="AY43" s="3" t="b">
        <f t="shared" ca="1" si="26"/>
        <v>0</v>
      </c>
      <c r="AZ43" s="3" t="b">
        <f t="shared" ca="1" si="27"/>
        <v>0</v>
      </c>
      <c r="BA43" s="3" t="b">
        <f t="shared" ca="1" si="28"/>
        <v>0</v>
      </c>
      <c r="BB43" s="3" t="b">
        <f t="shared" ca="1" si="29"/>
        <v>0</v>
      </c>
      <c r="BC43" s="3" t="b">
        <f t="shared" ca="1" si="30"/>
        <v>1</v>
      </c>
      <c r="BD43" s="3" t="b">
        <f t="shared" ca="1" si="31"/>
        <v>0</v>
      </c>
    </row>
    <row r="44" spans="1:137">
      <c r="A44" s="110" t="s">
        <v>92</v>
      </c>
      <c r="B44" s="103">
        <f t="shared" ref="B44" si="48">MATCH(A44, SKCOLNAMES, 0)</f>
        <v>133</v>
      </c>
      <c r="C44" s="103" t="str">
        <f t="shared" si="33"/>
        <v>$EC$2:$EC$17</v>
      </c>
      <c r="D44" s="3" cm="1">
        <f t="array" aca="1" ref="D44" ca="1">MIN(_xlfn.IFNA(INDIRECT($C44), ""))</f>
        <v>-4.301598938652107E-2</v>
      </c>
      <c r="E44" s="3" cm="1">
        <f t="array" aca="1" ref="E44" ca="1">PERCENTILE(_xlfn.IFNA(INDIRECT($C44), ""),E$36)</f>
        <v>5.856665807054815E-3</v>
      </c>
      <c r="F44" s="3" cm="1">
        <f t="array" aca="1" ref="F44" ca="1">PERCENTILE(_xlfn.IFNA(INDIRECT($C44), ""),F$36)</f>
        <v>3.0433505063303397E-2</v>
      </c>
      <c r="G44" s="3" cm="1">
        <f t="array" aca="1" ref="G44" ca="1">PERCENTILE(_xlfn.IFNA(INDIRECT($C44), ""),G$36)</f>
        <v>4.8271090819024115E-2</v>
      </c>
      <c r="H44" s="3" cm="1">
        <f t="array" aca="1" ref="H44" ca="1">PERCENTILE(_xlfn.IFNA(INDIRECT($C44), ""),H$36)</f>
        <v>6.0848720985054595E-2</v>
      </c>
      <c r="I44" s="3" cm="1">
        <f t="array" aca="1" ref="I44" ca="1">PERCENTILE(_xlfn.IFNA(INDIRECT($C44), ""),I$36)</f>
        <v>0.11373323145315459</v>
      </c>
      <c r="J44" s="3" cm="1">
        <f t="array" aca="1" ref="J44" ca="1">MAX(_xlfn.IFNA(INDIRECT($C44), ""))</f>
        <v>0.1418963520377603</v>
      </c>
      <c r="K44" s="3" cm="1">
        <f t="array" aca="1" ref="K44" ca="1">INDIRECT(ADDRESS($B$22,$B44))</f>
        <v>0.1418963520377603</v>
      </c>
      <c r="L44" s="123" t="s">
        <v>92</v>
      </c>
      <c r="S44" s="3">
        <f t="shared" ca="1" si="40"/>
        <v>3.0415215921751199E-2</v>
      </c>
      <c r="T44" s="3">
        <f t="shared" ca="1" si="41"/>
        <v>4.5622823882626798E-2</v>
      </c>
      <c r="U44" s="3">
        <f t="shared" ca="1" si="42"/>
        <v>-1.5189318819323401E-2</v>
      </c>
      <c r="V44" s="3">
        <f t="shared" ca="1" si="43"/>
        <v>0.1064715448676814</v>
      </c>
      <c r="W44" s="3" cm="1">
        <f t="array" aca="1" ref="W44" ca="1">INDIRECT(ADDRESS(0+2,$B44))</f>
        <v>3.7108411766950899E-2</v>
      </c>
      <c r="X44" s="3" cm="1">
        <f t="array" aca="1" ref="X44" ca="1">INDIRECT(ADDRESS(1+2,$B44))</f>
        <v>0.1418963520377603</v>
      </c>
      <c r="Y44" s="3" cm="1">
        <f t="array" aca="1" ref="Y44" ca="1">INDIRECT(ADDRESS(2+2,$B44))</f>
        <v>0.12197142638872416</v>
      </c>
      <c r="Z44" s="3" cm="1">
        <f t="array" aca="1" ref="Z44" ca="1">INDIRECT(ADDRESS(3+2,$B44))</f>
        <v>4.840038394050894E-2</v>
      </c>
      <c r="AA44" s="3" cm="1">
        <f t="array" aca="1" ref="AA44" ca="1">INDIRECT(ADDRESS(4+2,$B44))</f>
        <v>4.111257829635373E-2</v>
      </c>
      <c r="AB44" s="3" cm="1">
        <f t="array" aca="1" ref="AB44" ca="1">INDIRECT(ADDRESS(5+2,$B44))</f>
        <v>-4.301598938652107E-2</v>
      </c>
      <c r="AC44" s="3" cm="1">
        <f t="array" aca="1" ref="AC44" ca="1">INDIRECT(ADDRESS(6+2,$B44))</f>
        <v>4.8141797697539297E-2</v>
      </c>
      <c r="AD44" s="3" cm="1">
        <f t="array" aca="1" ref="AD44" ca="1">INDIRECT(ADDRESS(7+2,$B44))</f>
        <v>6.0531410121393597E-2</v>
      </c>
      <c r="AE44" s="3" cm="1">
        <f t="array" aca="1" ref="AE44" ca="1">INDIRECT(ADDRESS(8+2,$B44))</f>
        <v>1.8099517176945579E-2</v>
      </c>
      <c r="AF44" s="3" cm="1">
        <f t="array" aca="1" ref="AF44" ca="1">INDIRECT(ADDRESS(9+2,$B44))</f>
        <v>1.4589470586024601E-2</v>
      </c>
      <c r="AG44" s="3" cm="1">
        <f t="array" aca="1" ref="AG44" ca="1">INDIRECT(ADDRESS(10+2,$B44))</f>
        <v>-2.8761389719149698E-3</v>
      </c>
      <c r="AH44" s="3" cm="1">
        <f t="array" aca="1" ref="AH44" ca="1">INDIRECT(ADDRESS(11+2,$B44))</f>
        <v>6.180065357603759E-2</v>
      </c>
      <c r="AI44" s="3" cm="1">
        <f t="array" aca="1" ref="AI44" ca="1">INDIRECT(ADDRESS(12+2,$B44))</f>
        <v>6.0121966074757401E-2</v>
      </c>
      <c r="AJ44" s="3" cm="1">
        <f t="array" aca="1" ref="AJ44" ca="1">INDIRECT(ADDRESS(13+2,$B44))</f>
        <v>3.4544834358756001E-2</v>
      </c>
      <c r="AK44" s="3" cm="1">
        <f t="array" aca="1" ref="AK44" ca="1">INDIRECT(ADDRESS(14+2,$B44))</f>
        <v>0.105495036517585</v>
      </c>
      <c r="AL44" s="3" cm="1">
        <f t="array" aca="1" ref="AL44" ca="1">INDIRECT(ADDRESS(15+2,$B44))</f>
        <v>5.5136702107934997E-2</v>
      </c>
      <c r="AM44" s="3" cm="1">
        <f t="array" aca="1" ref="AM44" ca="1">INDIRECT(ADDRESS(16+2,$B44))</f>
        <v>0</v>
      </c>
      <c r="AN44" s="3" t="b">
        <f t="shared" ca="1" si="44"/>
        <v>0</v>
      </c>
      <c r="AO44" s="3" t="b">
        <f t="shared" ca="1" si="34"/>
        <v>1</v>
      </c>
      <c r="AP44" s="3" t="b">
        <f t="shared" ca="1" si="35"/>
        <v>1</v>
      </c>
      <c r="AQ44" s="3" t="b">
        <f t="shared" ca="1" si="36"/>
        <v>0</v>
      </c>
      <c r="AR44" s="3" t="b">
        <f t="shared" ca="1" si="37"/>
        <v>0</v>
      </c>
      <c r="AS44" s="3" t="b">
        <f t="shared" ca="1" si="38"/>
        <v>1</v>
      </c>
      <c r="AT44" s="3" t="b">
        <f t="shared" ca="1" si="21"/>
        <v>0</v>
      </c>
      <c r="AU44" s="3" t="b">
        <f t="shared" ca="1" si="22"/>
        <v>0</v>
      </c>
      <c r="AV44" s="3" t="b">
        <f t="shared" ca="1" si="23"/>
        <v>0</v>
      </c>
      <c r="AW44" s="3" t="b">
        <f t="shared" ca="1" si="24"/>
        <v>0</v>
      </c>
      <c r="AX44" s="3" t="b">
        <f t="shared" ca="1" si="25"/>
        <v>0</v>
      </c>
      <c r="AY44" s="3" t="b">
        <f t="shared" ca="1" si="26"/>
        <v>0</v>
      </c>
      <c r="AZ44" s="3" t="b">
        <f t="shared" ca="1" si="27"/>
        <v>0</v>
      </c>
      <c r="BA44" s="3" t="b">
        <f t="shared" ca="1" si="28"/>
        <v>0</v>
      </c>
      <c r="BB44" s="3" t="b">
        <f t="shared" ca="1" si="29"/>
        <v>0</v>
      </c>
      <c r="BC44" s="3" t="b">
        <f t="shared" ca="1" si="30"/>
        <v>0</v>
      </c>
      <c r="BD44" s="3" t="b">
        <f t="shared" ca="1" si="31"/>
        <v>0</v>
      </c>
    </row>
    <row r="45" spans="1:137">
      <c r="A45" s="110" t="s">
        <v>101</v>
      </c>
      <c r="B45" s="103">
        <f t="shared" ref="B45" si="49">MATCH(A45, SKCOLNAMES, 0)</f>
        <v>55</v>
      </c>
      <c r="C45" s="103" t="str">
        <f t="shared" si="33"/>
        <v>$BC$2:$BC$17</v>
      </c>
      <c r="D45" s="3" cm="1">
        <f t="array" aca="1" ref="D45" ca="1">MIN(_xlfn.IFNA(INDIRECT($C45), ""))</f>
        <v>-1.8774012209924228E-3</v>
      </c>
      <c r="E45" s="3" cm="1">
        <f t="array" aca="1" ref="E45" ca="1">PERCENTILE(_xlfn.IFNA(INDIRECT($C45), ""),E$36)</f>
        <v>8.0283766951718655E-2</v>
      </c>
      <c r="F45" s="3" cm="1">
        <f t="array" aca="1" ref="F45" ca="1">PERCENTILE(_xlfn.IFNA(INDIRECT($C45), ""),F$36)</f>
        <v>0.12218580970528124</v>
      </c>
      <c r="G45" s="3" cm="1">
        <f t="array" aca="1" ref="G45" ca="1">PERCENTILE(_xlfn.IFNA(INDIRECT($C45), ""),G$36)</f>
        <v>0.18550919095912433</v>
      </c>
      <c r="H45" s="3" cm="1">
        <f t="array" aca="1" ref="H45" ca="1">PERCENTILE(_xlfn.IFNA(INDIRECT($C45), ""),H$36)</f>
        <v>0.21168211752071761</v>
      </c>
      <c r="I45" s="3" cm="1">
        <f t="array" aca="1" ref="I45" ca="1">PERCENTILE(_xlfn.IFNA(INDIRECT($C45), ""),I$36)</f>
        <v>0.24726313538504652</v>
      </c>
      <c r="J45" s="3" cm="1">
        <f t="array" aca="1" ref="J45" ca="1">MAX(_xlfn.IFNA(INDIRECT($C45), ""))</f>
        <v>0.28477735588539871</v>
      </c>
      <c r="K45" s="3" cm="1">
        <f t="array" aca="1" ref="K45" ca="1">INDIRECT(ADDRESS($B$22,$B45))</f>
        <v>0.28477735588539871</v>
      </c>
      <c r="L45" s="123" t="s">
        <v>101</v>
      </c>
      <c r="S45" s="3">
        <f t="shared" ca="1" si="40"/>
        <v>8.9496307815436368E-2</v>
      </c>
      <c r="T45" s="3">
        <f t="shared" ca="1" si="41"/>
        <v>0.13424446172315455</v>
      </c>
      <c r="U45" s="3">
        <f t="shared" ca="1" si="42"/>
        <v>-1.2058652017873303E-2</v>
      </c>
      <c r="V45" s="3">
        <f t="shared" ca="1" si="43"/>
        <v>0.34592657924387216</v>
      </c>
      <c r="W45" s="3" cm="1">
        <f t="array" aca="1" ref="W45" ca="1">INDIRECT(ADDRESS(0+2,$B45))</f>
        <v>0.118697139144068</v>
      </c>
      <c r="X45" s="3" cm="1">
        <f t="array" aca="1" ref="X45" ca="1">INDIRECT(ADDRESS(1+2,$B45))</f>
        <v>0.28477735588539871</v>
      </c>
      <c r="Y45" s="3" cm="1">
        <f t="array" aca="1" ref="Y45" ca="1">INDIRECT(ADDRESS(2+2,$B45))</f>
        <v>0.17345129541178175</v>
      </c>
      <c r="Z45" s="3" cm="1">
        <f t="array" aca="1" ref="Z45" ca="1">INDIRECT(ADDRESS(3+2,$B45))</f>
        <v>0.18400759283426268</v>
      </c>
      <c r="AA45" s="3" cm="1">
        <f t="array" aca="1" ref="AA45" ca="1">INDIRECT(ADDRESS(4+2,$B45))</f>
        <v>0.21120919519362782</v>
      </c>
      <c r="AB45" s="3" cm="1">
        <f t="array" aca="1" ref="AB45" ca="1">INDIRECT(ADDRESS(5+2,$B45))</f>
        <v>-1.8774012209924228E-3</v>
      </c>
      <c r="AC45" s="3" cm="1">
        <f t="array" aca="1" ref="AC45" ca="1">INDIRECT(ADDRESS(6+2,$B45))</f>
        <v>0.249052733165636</v>
      </c>
      <c r="AD45" s="3" cm="1">
        <f t="array" aca="1" ref="AD45" ca="1">INDIRECT(ADDRESS(7+2,$B45))</f>
        <v>0.122743527267991</v>
      </c>
      <c r="AE45" s="3" cm="1">
        <f t="array" aca="1" ref="AE45" ca="1">INDIRECT(ADDRESS(8+2,$B45))</f>
        <v>0.21310088450198694</v>
      </c>
      <c r="AF45" s="3" cm="1">
        <f t="array" aca="1" ref="AF45" ca="1">INDIRECT(ADDRESS(9+2,$B45))</f>
        <v>0.187010789083986</v>
      </c>
      <c r="AG45" s="3" cm="1">
        <f t="array" aca="1" ref="AG45" ca="1">INDIRECT(ADDRESS(10+2,$B45))</f>
        <v>0.17867291298671401</v>
      </c>
      <c r="AH45" s="3" cm="1">
        <f t="array" aca="1" ref="AH45" ca="1">INDIRECT(ADDRESS(11+2,$B45))</f>
        <v>0.20309039130893367</v>
      </c>
      <c r="AI45" s="3" cm="1">
        <f t="array" aca="1" ref="AI45" ca="1">INDIRECT(ADDRESS(12+2,$B45))</f>
        <v>0.19289637379509</v>
      </c>
      <c r="AJ45" s="3" cm="1">
        <f t="array" aca="1" ref="AJ45" ca="1">INDIRECT(ADDRESS(13+2,$B45))</f>
        <v>0.245473537604457</v>
      </c>
      <c r="AK45" s="3" cm="1">
        <f t="array" aca="1" ref="AK45" ca="1">INDIRECT(ADDRESS(14+2,$B45))</f>
        <v>4.1870394759369302E-2</v>
      </c>
      <c r="AL45" s="3" cm="1">
        <f t="array" aca="1" ref="AL45" ca="1">INDIRECT(ADDRESS(15+2,$B45))</f>
        <v>0.120512657017152</v>
      </c>
      <c r="AM45" s="3" cm="1">
        <f t="array" aca="1" ref="AM45" ca="1">INDIRECT(ADDRESS(16+2,$B45))</f>
        <v>0</v>
      </c>
      <c r="AN45" s="3" t="b">
        <f t="shared" ca="1" si="44"/>
        <v>0</v>
      </c>
      <c r="AO45" s="3" t="b">
        <f t="shared" ca="1" si="34"/>
        <v>0</v>
      </c>
      <c r="AP45" s="3" t="b">
        <f t="shared" ca="1" si="35"/>
        <v>0</v>
      </c>
      <c r="AQ45" s="3" t="b">
        <f t="shared" ca="1" si="36"/>
        <v>0</v>
      </c>
      <c r="AR45" s="3" t="b">
        <f t="shared" ca="1" si="37"/>
        <v>0</v>
      </c>
      <c r="AS45" s="3" t="b">
        <f t="shared" ca="1" si="38"/>
        <v>0</v>
      </c>
      <c r="AT45" s="3" t="b">
        <f t="shared" ca="1" si="21"/>
        <v>0</v>
      </c>
      <c r="AU45" s="3" t="b">
        <f t="shared" ca="1" si="22"/>
        <v>0</v>
      </c>
      <c r="AV45" s="3" t="b">
        <f t="shared" ca="1" si="23"/>
        <v>0</v>
      </c>
      <c r="AW45" s="3" t="b">
        <f t="shared" ca="1" si="24"/>
        <v>0</v>
      </c>
      <c r="AX45" s="3" t="b">
        <f t="shared" ca="1" si="25"/>
        <v>0</v>
      </c>
      <c r="AY45" s="3" t="b">
        <f t="shared" ca="1" si="26"/>
        <v>0</v>
      </c>
      <c r="AZ45" s="3" t="b">
        <f t="shared" ca="1" si="27"/>
        <v>0</v>
      </c>
      <c r="BA45" s="3" t="b">
        <f t="shared" ca="1" si="28"/>
        <v>0</v>
      </c>
      <c r="BB45" s="3" t="b">
        <f t="shared" ca="1" si="29"/>
        <v>0</v>
      </c>
      <c r="BC45" s="3" t="b">
        <f t="shared" ca="1" si="30"/>
        <v>0</v>
      </c>
      <c r="BD45" s="3" t="b">
        <f t="shared" ca="1" si="31"/>
        <v>0</v>
      </c>
    </row>
    <row r="46" spans="1:137">
      <c r="A46" s="110" t="s">
        <v>370</v>
      </c>
      <c r="B46" s="103">
        <f t="shared" ref="B46" si="50">MATCH(A46, SKCOLNAMES, 0)</f>
        <v>64</v>
      </c>
      <c r="C46" s="103" t="str">
        <f t="shared" si="33"/>
        <v>$BL$2:$BL$17</v>
      </c>
      <c r="D46" s="3" cm="1">
        <f t="array" aca="1" ref="D46" ca="1">MIN(_xlfn.IFNA(INDIRECT($C46), ""))</f>
        <v>9.2426383482192939E-2</v>
      </c>
      <c r="E46" s="3" cm="1">
        <f t="array" aca="1" ref="E46" ca="1">PERCENTILE(_xlfn.IFNA(INDIRECT($C46), ""),E$36)</f>
        <v>0.15401307284801768</v>
      </c>
      <c r="F46" s="3" cm="1">
        <f t="array" aca="1" ref="F46" ca="1">PERCENTILE(_xlfn.IFNA(INDIRECT($C46), ""),F$36)</f>
        <v>0.22265018350937865</v>
      </c>
      <c r="G46" s="3" cm="1">
        <f t="array" aca="1" ref="G46" ca="1">PERCENTILE(_xlfn.IFNA(INDIRECT($C46), ""),G$36)</f>
        <v>0.32747077279128622</v>
      </c>
      <c r="H46" s="3" cm="1">
        <f t="array" aca="1" ref="H46" ca="1">PERCENTILE(_xlfn.IFNA(INDIRECT($C46), ""),H$36)</f>
        <v>0.3865799359163653</v>
      </c>
      <c r="I46" s="3" cm="1">
        <f t="array" aca="1" ref="I46" ca="1">PERCENTILE(_xlfn.IFNA(INDIRECT($C46), ""),I$36)</f>
        <v>0.42306392109907948</v>
      </c>
      <c r="J46" s="3" cm="1">
        <f t="array" aca="1" ref="J46" ca="1">MAX(_xlfn.IFNA(INDIRECT($C46), ""))</f>
        <v>0.49072646023648514</v>
      </c>
      <c r="K46" s="3" cm="1">
        <f t="array" aca="1" ref="K46" ca="1">INDIRECT(ADDRESS($B$22,$B46))</f>
        <v>0.34506961224254978</v>
      </c>
      <c r="L46" s="123" t="s">
        <v>109</v>
      </c>
      <c r="S46" s="3">
        <f t="shared" ca="1" si="40"/>
        <v>0.16392975240698665</v>
      </c>
      <c r="T46" s="3">
        <f t="shared" ca="1" si="41"/>
        <v>0.24589462861047998</v>
      </c>
      <c r="U46" s="3">
        <f t="shared" ca="1" si="42"/>
        <v>-2.3244445101101324E-2</v>
      </c>
      <c r="V46" s="3">
        <f t="shared" ca="1" si="43"/>
        <v>0.63247456452684525</v>
      </c>
      <c r="W46" s="3" cm="1">
        <f t="array" aca="1" ref="W46" ca="1">INDIRECT(ADDRESS(0+2,$B46))</f>
        <v>0.21028136160366542</v>
      </c>
      <c r="X46" s="3" cm="1">
        <f t="array" aca="1" ref="X46" ca="1">INDIRECT(ADDRESS(1+2,$B46))</f>
        <v>0.34506961224254978</v>
      </c>
      <c r="Y46" s="3" cm="1">
        <f t="array" aca="1" ref="Y46" ca="1">INDIRECT(ADDRESS(2+2,$B46))</f>
        <v>0.27768128528006947</v>
      </c>
      <c r="Z46" s="3" cm="1">
        <f t="array" aca="1" ref="Z46" ca="1">INDIRECT(ADDRESS(3+2,$B46))</f>
        <v>0.49072646023648514</v>
      </c>
      <c r="AA46" s="3" cm="1">
        <f t="array" aca="1" ref="AA46" ca="1">INDIRECT(ADDRESS(4+2,$B46))</f>
        <v>0.34776417459975267</v>
      </c>
      <c r="AB46" s="3" cm="1">
        <f t="array" aca="1" ref="AB46" ca="1">INDIRECT(ADDRESS(5+2,$B46))</f>
        <v>0.22677312414461639</v>
      </c>
      <c r="AC46" s="3" cm="1">
        <f t="array" aca="1" ref="AC46" ca="1">INDIRECT(ADDRESS(6+2,$B46))</f>
        <v>0.45128145336642689</v>
      </c>
      <c r="AD46" s="3" cm="1">
        <f t="array" aca="1" ref="AD46" ca="1">INDIRECT(ADDRESS(7+2,$B46))</f>
        <v>0.1693196907235599</v>
      </c>
      <c r="AE46" s="3" cm="1">
        <f t="array" aca="1" ref="AE46" ca="1">INDIRECT(ADDRESS(8+2,$B46))</f>
        <v>0.38482245865914627</v>
      </c>
      <c r="AF46" s="3" cm="1">
        <f t="array" aca="1" ref="AF46" ca="1">INDIRECT(ADDRESS(9+2,$B46))</f>
        <v>0.32155701290459066</v>
      </c>
      <c r="AG46" s="3" cm="1">
        <f t="array" aca="1" ref="AG46" ca="1">INDIRECT(ADDRESS(10+2,$B46))</f>
        <v>0.33338453267798174</v>
      </c>
      <c r="AH46" s="3" cm="1">
        <f t="array" aca="1" ref="AH46" ca="1">INDIRECT(ADDRESS(11+2,$B46))</f>
        <v>0.23605104946735578</v>
      </c>
      <c r="AI46" s="3" cm="1">
        <f t="array" aca="1" ref="AI46" ca="1">INDIRECT(ADDRESS(12+2,$B46))</f>
        <v>0.39484638883173206</v>
      </c>
      <c r="AJ46" s="3" cm="1">
        <f t="array" aca="1" ref="AJ46" ca="1">INDIRECT(ADDRESS(13+2,$B46))</f>
        <v>0.39185236768802229</v>
      </c>
      <c r="AK46" s="3" cm="1">
        <f t="array" aca="1" ref="AK46" ca="1">INDIRECT(ADDRESS(14+2,$B46))</f>
        <v>9.2426383482192939E-2</v>
      </c>
      <c r="AL46" s="3" cm="1">
        <f t="array" aca="1" ref="AL46" ca="1">INDIRECT(ADDRESS(15+2,$B46))</f>
        <v>0.1387064549724755</v>
      </c>
      <c r="AM46" s="3" cm="1">
        <f t="array" aca="1" ref="AM46" ca="1">INDIRECT(ADDRESS(16+2,$B46))</f>
        <v>0</v>
      </c>
      <c r="AN46" s="3" t="b">
        <f t="shared" ca="1" si="44"/>
        <v>0</v>
      </c>
      <c r="AO46" s="3" t="b">
        <f t="shared" ca="1" si="34"/>
        <v>0</v>
      </c>
      <c r="AP46" s="3" t="b">
        <f t="shared" ca="1" si="35"/>
        <v>0</v>
      </c>
      <c r="AQ46" s="3" t="b">
        <f t="shared" ca="1" si="36"/>
        <v>0</v>
      </c>
      <c r="AR46" s="3" t="b">
        <f t="shared" ca="1" si="37"/>
        <v>0</v>
      </c>
      <c r="AS46" s="3" t="b">
        <f t="shared" ca="1" si="38"/>
        <v>0</v>
      </c>
      <c r="AT46" s="3" t="b">
        <f t="shared" ca="1" si="21"/>
        <v>0</v>
      </c>
      <c r="AU46" s="3" t="b">
        <f t="shared" ca="1" si="22"/>
        <v>0</v>
      </c>
      <c r="AV46" s="3" t="b">
        <f t="shared" ca="1" si="23"/>
        <v>0</v>
      </c>
      <c r="AW46" s="3" t="b">
        <f t="shared" ca="1" si="24"/>
        <v>0</v>
      </c>
      <c r="AX46" s="3" t="b">
        <f t="shared" ca="1" si="25"/>
        <v>0</v>
      </c>
      <c r="AY46" s="3" t="b">
        <f t="shared" ca="1" si="26"/>
        <v>0</v>
      </c>
      <c r="AZ46" s="3" t="b">
        <f t="shared" ca="1" si="27"/>
        <v>0</v>
      </c>
      <c r="BA46" s="3" t="b">
        <f t="shared" ca="1" si="28"/>
        <v>0</v>
      </c>
      <c r="BB46" s="3" t="b">
        <f t="shared" ca="1" si="29"/>
        <v>0</v>
      </c>
      <c r="BC46" s="3" t="b">
        <f t="shared" ca="1" si="30"/>
        <v>0</v>
      </c>
      <c r="BD46" s="3" t="b">
        <f t="shared" ca="1" si="31"/>
        <v>0</v>
      </c>
    </row>
    <row r="47" spans="1:137">
      <c r="A47" s="110" t="s">
        <v>127</v>
      </c>
      <c r="B47" s="103">
        <f t="shared" ref="B47" si="51">MATCH(A47, SKCOLNAMES, 0)</f>
        <v>15</v>
      </c>
      <c r="C47" s="103" t="str">
        <f t="shared" si="33"/>
        <v>$O$2:$O$17</v>
      </c>
      <c r="D47" s="3" cm="1">
        <f t="array" aca="1" ref="D47" ca="1">MIN(_xlfn.IFNA(INDIRECT($C47), ""))</f>
        <v>96435.876722222194</v>
      </c>
      <c r="E47" s="3" cm="1">
        <f t="array" aca="1" ref="E47" ca="1">PERCENTILE(_xlfn.IFNA(INDIRECT($C47), ""),E$36)</f>
        <v>269500.71503056824</v>
      </c>
      <c r="F47" s="3" cm="1">
        <f t="array" aca="1" ref="F47" ca="1">PERCENTILE(_xlfn.IFNA(INDIRECT($C47), ""),F$36)</f>
        <v>357278.73144522327</v>
      </c>
      <c r="G47" s="3" cm="1">
        <f t="array" aca="1" ref="G47" ca="1">PERCENTILE(_xlfn.IFNA(INDIRECT($C47), ""),G$36)</f>
        <v>457436.33276740246</v>
      </c>
      <c r="H47" s="3" cm="1">
        <f t="array" aca="1" ref="H47" ca="1">PERCENTILE(_xlfn.IFNA(INDIRECT($C47), ""),H$36)</f>
        <v>572412.68337588385</v>
      </c>
      <c r="I47" s="3" cm="1">
        <f t="array" aca="1" ref="I47" ca="1">PERCENTILE(_xlfn.IFNA(INDIRECT($C47), ""),I$36)</f>
        <v>649724.56140350876</v>
      </c>
      <c r="J47" s="3" cm="1">
        <f t="array" aca="1" ref="J47" ca="1">MAX(_xlfn.IFNA(INDIRECT($C47), ""))</f>
        <v>1054189.1891891891</v>
      </c>
      <c r="K47" s="3" cm="1">
        <f t="array" aca="1" ref="K47" ca="1">INDIRECT(ADDRESS($B$22,$B47))</f>
        <v>457421.05263157893</v>
      </c>
      <c r="L47" s="123" t="s">
        <v>127</v>
      </c>
      <c r="S47" s="3">
        <f t="shared" ca="1" si="40"/>
        <v>215133.95193066058</v>
      </c>
      <c r="T47" s="3">
        <f t="shared" ca="1" si="41"/>
        <v>322700.9278959909</v>
      </c>
      <c r="U47" s="3">
        <f t="shared" ca="1" si="42"/>
        <v>34577.803549232369</v>
      </c>
      <c r="V47" s="3">
        <f t="shared" ca="1" si="43"/>
        <v>895113.61127187475</v>
      </c>
      <c r="W47" s="3" cm="1">
        <f t="array" aca="1" ref="W47" ca="1">INDIRECT(ADDRESS(0+2,$B47))</f>
        <v>96435.876722222194</v>
      </c>
      <c r="X47" s="3" cm="1">
        <f t="array" aca="1" ref="X47" ca="1">INDIRECT(ADDRESS(1+2,$B47))</f>
        <v>457421.05263157893</v>
      </c>
      <c r="Y47" s="3" cm="1">
        <f t="array" aca="1" ref="Y47" ca="1">INDIRECT(ADDRESS(2+2,$B47))</f>
        <v>614133.33333333337</v>
      </c>
      <c r="Z47" s="3" cm="1">
        <f t="array" aca="1" ref="Z47" ca="1">INDIRECT(ADDRESS(3+2,$B47))</f>
        <v>276989.76339446945</v>
      </c>
      <c r="AA47" s="3" cm="1">
        <f t="array" aca="1" ref="AA47" ca="1">INDIRECT(ADDRESS(4+2,$B47))</f>
        <v>440665</v>
      </c>
      <c r="AB47" s="3" cm="1">
        <f t="array" aca="1" ref="AB47" ca="1">INDIRECT(ADDRESS(5+2,$B47))</f>
        <v>377486.30766403233</v>
      </c>
      <c r="AC47" s="3" cm="1">
        <f t="array" aca="1" ref="AC47" ca="1">INDIRECT(ADDRESS(6+2,$B47))</f>
        <v>590219.53947368404</v>
      </c>
      <c r="AD47" s="3" cm="1">
        <f t="array" aca="1" ref="AD47" ca="1">INDIRECT(ADDRESS(7+2,$B47))</f>
        <v>566477.06467661704</v>
      </c>
      <c r="AE47" s="3" cm="1">
        <f t="array" aca="1" ref="AE47" ca="1">INDIRECT(ADDRESS(8+2,$B47))</f>
        <v>1054189.1891891891</v>
      </c>
      <c r="AF47" s="3" cm="1">
        <f t="array" aca="1" ref="AF47" ca="1">INDIRECT(ADDRESS(9+2,$B47))</f>
        <v>457451.61290322599</v>
      </c>
      <c r="AG47" s="3" cm="1">
        <f t="array" aca="1" ref="AG47" ca="1">INDIRECT(ADDRESS(10+2,$B47))</f>
        <v>685315.78947368404</v>
      </c>
      <c r="AH47" s="3" cm="1">
        <f t="array" aca="1" ref="AH47" ca="1">INDIRECT(ADDRESS(11+2,$B47))</f>
        <v>499000</v>
      </c>
      <c r="AI47" s="3" cm="1">
        <f t="array" aca="1" ref="AI47" ca="1">INDIRECT(ADDRESS(12+2,$B47))</f>
        <v>485992.30769230798</v>
      </c>
      <c r="AJ47" s="3" cm="1">
        <f t="array" aca="1" ref="AJ47" ca="1">INDIRECT(ADDRESS(13+2,$B47))</f>
        <v>363544.30379746802</v>
      </c>
      <c r="AK47" s="3" cm="1">
        <f t="array" aca="1" ref="AK47" ca="1">INDIRECT(ADDRESS(14+2,$B47))</f>
        <v>262011.66666666701</v>
      </c>
      <c r="AL47" s="3" cm="1">
        <f t="array" aca="1" ref="AL47" ca="1">INDIRECT(ADDRESS(15+2,$B47))</f>
        <v>338482.01438848901</v>
      </c>
      <c r="AM47" s="3" cm="1">
        <f t="array" aca="1" ref="AM47" ca="1">INDIRECT(ADDRESS(16+2,$B47))</f>
        <v>0</v>
      </c>
      <c r="AN47" s="3" t="b">
        <f t="shared" ca="1" si="44"/>
        <v>0</v>
      </c>
      <c r="AO47" s="3" t="b">
        <f t="shared" ca="1" si="34"/>
        <v>0</v>
      </c>
      <c r="AP47" s="3" t="b">
        <f t="shared" ca="1" si="35"/>
        <v>0</v>
      </c>
      <c r="AQ47" s="3" t="b">
        <f t="shared" ca="1" si="36"/>
        <v>0</v>
      </c>
      <c r="AR47" s="3" t="b">
        <f t="shared" ca="1" si="37"/>
        <v>0</v>
      </c>
      <c r="AS47" s="3" t="b">
        <f t="shared" ca="1" si="38"/>
        <v>0</v>
      </c>
      <c r="AT47" s="3" t="b">
        <f t="shared" ca="1" si="21"/>
        <v>0</v>
      </c>
      <c r="AU47" s="3" t="b">
        <f t="shared" ca="1" si="22"/>
        <v>0</v>
      </c>
      <c r="AV47" s="3" t="b">
        <f t="shared" ca="1" si="23"/>
        <v>1</v>
      </c>
      <c r="AW47" s="3" t="b">
        <f t="shared" ca="1" si="24"/>
        <v>0</v>
      </c>
      <c r="AX47" s="3" t="b">
        <f t="shared" ca="1" si="25"/>
        <v>0</v>
      </c>
      <c r="AY47" s="3" t="b">
        <f t="shared" ca="1" si="26"/>
        <v>0</v>
      </c>
      <c r="AZ47" s="3" t="b">
        <f t="shared" ca="1" si="27"/>
        <v>0</v>
      </c>
      <c r="BA47" s="3" t="b">
        <f t="shared" ca="1" si="28"/>
        <v>0</v>
      </c>
      <c r="BB47" s="3" t="b">
        <f t="shared" ca="1" si="29"/>
        <v>0</v>
      </c>
      <c r="BC47" s="3" t="b">
        <f t="shared" ca="1" si="30"/>
        <v>0</v>
      </c>
      <c r="BD47" s="3" t="b">
        <f t="shared" ca="1" si="31"/>
        <v>0</v>
      </c>
    </row>
    <row r="48" spans="1:137">
      <c r="A48" s="110" t="s">
        <v>346</v>
      </c>
      <c r="B48" s="103">
        <f t="shared" ref="B48" si="52">MATCH(A48, SKCOLNAMES, 0)</f>
        <v>29</v>
      </c>
      <c r="C48" s="103" t="str">
        <f t="shared" si="33"/>
        <v>$AC$2:$AC$17</v>
      </c>
      <c r="D48" s="3" cm="1">
        <f t="array" aca="1" ref="D48" ca="1">MIN(_xlfn.IFNA(INDIRECT($C48), ""))</f>
        <v>-0.10567719221036417</v>
      </c>
      <c r="E48" s="3" cm="1">
        <f t="array" aca="1" ref="E48" ca="1">PERCENTILE(_xlfn.IFNA(INDIRECT($C48), ""),E$36)</f>
        <v>-7.856758899639639E-2</v>
      </c>
      <c r="F48" s="3" cm="1">
        <f t="array" aca="1" ref="F48" ca="1">PERCENTILE(_xlfn.IFNA(INDIRECT($C48), ""),F$36)</f>
        <v>-5.520624198409492E-2</v>
      </c>
      <c r="G48" s="3" cm="1">
        <f t="array" aca="1" ref="G48" ca="1">PERCENTILE(_xlfn.IFNA(INDIRECT($C48), ""),G$36)</f>
        <v>-7.4951281666916505E-4</v>
      </c>
      <c r="H48" s="3" cm="1">
        <f t="array" aca="1" ref="H48" ca="1">PERCENTILE(_xlfn.IFNA(INDIRECT($C48), ""),H$36)</f>
        <v>9.9491791317441264E-2</v>
      </c>
      <c r="I48" s="3" cm="1">
        <f t="array" aca="1" ref="I48" ca="1">PERCENTILE(_xlfn.IFNA(INDIRECT($C48), ""),I$36)</f>
        <v>0.12004879615296364</v>
      </c>
      <c r="J48" s="3" cm="1">
        <f t="array" aca="1" ref="J48" ca="1">MAX(_xlfn.IFNA(INDIRECT($C48), ""))</f>
        <v>0.27404928897754322</v>
      </c>
      <c r="K48" s="3" cm="1">
        <f t="array" aca="1" ref="K48" ca="1">INDIRECT(ADDRESS($B$22,$B48))</f>
        <v>-5.5771096023278371E-2</v>
      </c>
      <c r="L48" s="123" t="s">
        <v>51</v>
      </c>
      <c r="M48" s="90" cm="1">
        <f t="array" aca="1" ref="M48" ca="1">_xlfn.IFS(K48&lt;=D48,0,K48&lt;=E48,0.1,K48&lt;=F48,0.25,K48&gt;=J48,1,K48&gt;=I48,0.9,K48&gt;=H48,0.75,TRUE,0.5)</f>
        <v>0.25</v>
      </c>
      <c r="N48" s="41" cm="1">
        <f t="array" aca="1" ref="N48" ca="1">_xlfn.IFS(K48&lt;=F48,0,K48&lt;=G48,1,K48&lt;=H48,2,TRUE,3)</f>
        <v>0</v>
      </c>
      <c r="O48" s="3" t="b">
        <v>0</v>
      </c>
      <c r="P48" s="90">
        <f ca="1">IF(O48,1-M48, M48)</f>
        <v>0.25</v>
      </c>
      <c r="Q48" s="3">
        <f ca="1">IF(O48,3-N48,N48)</f>
        <v>0</v>
      </c>
      <c r="S48" s="3">
        <f t="shared" ca="1" si="40"/>
        <v>0.1546980333015362</v>
      </c>
      <c r="T48" s="3">
        <f t="shared" ca="1" si="41"/>
        <v>0.2320470499523043</v>
      </c>
      <c r="U48" s="3">
        <f t="shared" ca="1" si="42"/>
        <v>-0.2872532919363992</v>
      </c>
      <c r="V48" s="3">
        <f t="shared" ca="1" si="43"/>
        <v>0.33153884126974553</v>
      </c>
      <c r="W48" s="3" cm="1">
        <f t="array" aca="1" ref="W48" ca="1">INDIRECT(ADDRESS(0+2,$B48))</f>
        <v>8.9759033741551725E-2</v>
      </c>
      <c r="X48" s="3" cm="1">
        <f t="array" aca="1" ref="X48" ca="1">INDIRECT(ADDRESS(1+2,$B48))</f>
        <v>-5.5771096023278371E-2</v>
      </c>
      <c r="Y48" s="3" cm="1">
        <f t="array" aca="1" ref="Y48" ca="1">INDIRECT(ADDRESS(2+2,$B48))</f>
        <v>-1.8001255380200861E-2</v>
      </c>
      <c r="Z48" s="3" t="e" cm="1">
        <f t="array" aca="1" ref="Z48" ca="1">INDIRECT(ADDRESS(3+2,$B48))</f>
        <v>#N/A</v>
      </c>
      <c r="AA48" s="3" cm="1">
        <f t="array" aca="1" ref="AA48" ca="1">INDIRECT(ADDRESS(4+2,$B48))</f>
        <v>-7.6937808983110811E-2</v>
      </c>
      <c r="AB48" s="3" cm="1">
        <f t="array" aca="1" ref="AB48" ca="1">INDIRECT(ADDRESS(5+2,$B48))</f>
        <v>0.11910565093499878</v>
      </c>
      <c r="AC48" s="3" cm="1">
        <f t="array" aca="1" ref="AC48" ca="1">INDIRECT(ADDRESS(6+2,$B48))</f>
        <v>-2.3732377816051139E-2</v>
      </c>
      <c r="AD48" s="3" cm="1">
        <f t="array" aca="1" ref="AD48" ca="1">INDIRECT(ADDRESS(7+2,$B48))</f>
        <v>0.12067755963160688</v>
      </c>
      <c r="AE48" s="3" cm="1">
        <f t="array" aca="1" ref="AE48" ca="1">INDIRECT(ADDRESS(8+2,$B48))</f>
        <v>2.2721915806345173E-2</v>
      </c>
      <c r="AF48" s="3" cm="1">
        <f t="array" aca="1" ref="AF48" ca="1">INDIRECT(ADDRESS(9+2,$B48))</f>
        <v>-0.10567719221036417</v>
      </c>
      <c r="AG48" s="3" cm="1">
        <f t="array" aca="1" ref="AG48" ca="1">INDIRECT(ADDRESS(10+2,$B48))</f>
        <v>-7.4951281666916505E-4</v>
      </c>
      <c r="AH48" s="3" cm="1">
        <f t="array" aca="1" ref="AH48" ca="1">INDIRECT(ADDRESS(11+2,$B48))</f>
        <v>0.27404928897754322</v>
      </c>
      <c r="AI48" s="3" cm="1">
        <f t="array" aca="1" ref="AI48" ca="1">INDIRECT(ADDRESS(12+2,$B48))</f>
        <v>-7.9654109005253451E-2</v>
      </c>
      <c r="AJ48" s="3" cm="1">
        <f t="array" aca="1" ref="AJ48" ca="1">INDIRECT(ADDRESS(13+2,$B48))</f>
        <v>-5.4641387944911468E-2</v>
      </c>
      <c r="AK48" s="3" cm="1">
        <f t="array" aca="1" ref="AK48" ca="1">INDIRECT(ADDRESS(14+2,$B48))</f>
        <v>0.10267137354071855</v>
      </c>
      <c r="AL48" s="3" cm="1">
        <f t="array" aca="1" ref="AL48" ca="1">INDIRECT(ADDRESS(15+2,$B48))</f>
        <v>9.6312209094163978E-2</v>
      </c>
      <c r="AM48" s="3" cm="1">
        <f t="array" aca="1" ref="AM48" ca="1">INDIRECT(ADDRESS(16+2,$B48))</f>
        <v>0</v>
      </c>
      <c r="AN48" s="3" t="b">
        <f t="shared" ca="1" si="44"/>
        <v>0</v>
      </c>
      <c r="AO48" s="3" t="b">
        <f t="shared" ca="1" si="34"/>
        <v>0</v>
      </c>
      <c r="AP48" s="3" t="b">
        <f t="shared" ca="1" si="35"/>
        <v>0</v>
      </c>
      <c r="AQ48" s="3" t="e">
        <f t="shared" ca="1" si="36"/>
        <v>#N/A</v>
      </c>
      <c r="AR48" s="3" t="b">
        <f t="shared" ca="1" si="37"/>
        <v>0</v>
      </c>
      <c r="AS48" s="3" t="b">
        <f t="shared" ca="1" si="38"/>
        <v>0</v>
      </c>
      <c r="AT48" s="3" t="b">
        <f t="shared" ca="1" si="21"/>
        <v>0</v>
      </c>
      <c r="AU48" s="3" t="b">
        <f t="shared" ca="1" si="22"/>
        <v>0</v>
      </c>
      <c r="AV48" s="3" t="b">
        <f t="shared" ca="1" si="23"/>
        <v>0</v>
      </c>
      <c r="AW48" s="3" t="b">
        <f t="shared" ca="1" si="24"/>
        <v>0</v>
      </c>
      <c r="AX48" s="3" t="b">
        <f t="shared" ca="1" si="25"/>
        <v>0</v>
      </c>
      <c r="AY48" s="3" t="b">
        <f t="shared" ca="1" si="26"/>
        <v>0</v>
      </c>
      <c r="AZ48" s="3" t="b">
        <f t="shared" ca="1" si="27"/>
        <v>0</v>
      </c>
      <c r="BA48" s="3" t="b">
        <f t="shared" ca="1" si="28"/>
        <v>0</v>
      </c>
      <c r="BB48" s="3" t="b">
        <f t="shared" ca="1" si="29"/>
        <v>0</v>
      </c>
      <c r="BC48" s="3" t="b">
        <f t="shared" ca="1" si="30"/>
        <v>0</v>
      </c>
      <c r="BD48" s="3" t="b">
        <f t="shared" ca="1" si="31"/>
        <v>0</v>
      </c>
    </row>
    <row r="49" spans="1:56">
      <c r="A49" s="110" t="s">
        <v>347</v>
      </c>
      <c r="B49" s="103">
        <f t="shared" ref="B49" si="53">MATCH(A49, SKCOLNAMES, 0)</f>
        <v>30</v>
      </c>
      <c r="C49" s="103" t="str">
        <f t="shared" si="33"/>
        <v>$AD$2:$AD$17</v>
      </c>
      <c r="D49" s="3" cm="1">
        <f t="array" aca="1" ref="D49" ca="1">MIN(_xlfn.IFNA(INDIRECT($C49), ""))</f>
        <v>5.3809971777986833E-2</v>
      </c>
      <c r="E49" s="3" cm="1">
        <f t="array" aca="1" ref="E49" ca="1">PERCENTILE(_xlfn.IFNA(INDIRECT($C49), ""),E$36)</f>
        <v>0.11577179013185629</v>
      </c>
      <c r="F49" s="3" cm="1">
        <f t="array" aca="1" ref="F49" ca="1">PERCENTILE(_xlfn.IFNA(INDIRECT($C49), ""),F$36)</f>
        <v>0.15018446764536525</v>
      </c>
      <c r="G49" s="3" cm="1">
        <f t="array" aca="1" ref="G49" ca="1">PERCENTILE(_xlfn.IFNA(INDIRECT($C49), ""),G$36)</f>
        <v>0.24642429588557749</v>
      </c>
      <c r="H49" s="3" cm="1">
        <f t="array" aca="1" ref="H49" ca="1">PERCENTILE(_xlfn.IFNA(INDIRECT($C49), ""),H$36)</f>
        <v>0.36798050629646739</v>
      </c>
      <c r="I49" s="3" cm="1">
        <f t="array" aca="1" ref="I49" ca="1">PERCENTILE(_xlfn.IFNA(INDIRECT($C49), ""),I$36)</f>
        <v>0.41857933288013233</v>
      </c>
      <c r="J49" s="3" cm="1">
        <f t="array" aca="1" ref="J49" ca="1">MAX(_xlfn.IFNA(INDIRECT($C49), ""))</f>
        <v>1.3308615474680456</v>
      </c>
      <c r="K49" s="3" cm="1">
        <f t="array" aca="1" ref="K49" ca="1">INDIRECT(ADDRESS($B$22,$B49))</f>
        <v>0.27934959349593497</v>
      </c>
      <c r="L49" s="123" t="s">
        <v>52</v>
      </c>
      <c r="M49" s="90" cm="1">
        <f t="array" aca="1" ref="M49" ca="1">_xlfn.IFS(K49&lt;=D49,0,K49&lt;=E49,0.1,K49&lt;=F49,0.25,K49&gt;=J49,1,K49&gt;=I49,0.9,K49&gt;=H49,0.75,TRUE,0.5)</f>
        <v>0.5</v>
      </c>
      <c r="N49" s="41" cm="1">
        <f t="array" aca="1" ref="N49" ca="1">_xlfn.IFS(K49&lt;=F49,0,K49&lt;=G49,1,K49&lt;=H49,2,TRUE,3)</f>
        <v>2</v>
      </c>
      <c r="O49" s="3" t="b">
        <v>0</v>
      </c>
      <c r="P49" s="90">
        <f ca="1">IF(O49,1-M49, M49)</f>
        <v>0.5</v>
      </c>
      <c r="Q49" s="3">
        <f ca="1">IF(O49,3-N49,N49)</f>
        <v>2</v>
      </c>
      <c r="S49" s="3">
        <f t="shared" ca="1" si="40"/>
        <v>0.21779603865110214</v>
      </c>
      <c r="T49" s="3">
        <f t="shared" ca="1" si="41"/>
        <v>0.32669405797665318</v>
      </c>
      <c r="U49" s="3">
        <f t="shared" ca="1" si="42"/>
        <v>-0.17650959033128794</v>
      </c>
      <c r="V49" s="3">
        <f t="shared" ca="1" si="43"/>
        <v>0.69467456427312058</v>
      </c>
      <c r="W49" s="3" cm="1">
        <f t="array" aca="1" ref="W49" ca="1">INDIRECT(ADDRESS(0+2,$B49))</f>
        <v>0.35588599052762143</v>
      </c>
      <c r="X49" s="3" cm="1">
        <f t="array" aca="1" ref="X49" ca="1">INDIRECT(ADDRESS(1+2,$B49))</f>
        <v>0.27934959349593497</v>
      </c>
      <c r="Y49" s="3" cm="1">
        <f t="array" aca="1" ref="Y49" ca="1">INDIRECT(ADDRESS(2+2,$B49))</f>
        <v>0.16830930218409684</v>
      </c>
      <c r="Z49" s="3" t="e" cm="1">
        <f t="array" aca="1" ref="Z49" ca="1">INDIRECT(ADDRESS(3+2,$B49))</f>
        <v>#N/A</v>
      </c>
      <c r="AA49" s="3" cm="1">
        <f t="array" aca="1" ref="AA49" ca="1">INDIRECT(ADDRESS(4+2,$B49))</f>
        <v>0.22396048855369419</v>
      </c>
      <c r="AB49" s="3" cm="1">
        <f t="array" aca="1" ref="AB49" ca="1">INDIRECT(ADDRESS(5+2,$B49))</f>
        <v>0.12578718982805875</v>
      </c>
      <c r="AC49" s="3" cm="1">
        <f t="array" aca="1" ref="AC49" ca="1">INDIRECT(ADDRESS(6+2,$B49))</f>
        <v>0.13205963310663363</v>
      </c>
      <c r="AD49" s="3" cm="1">
        <f t="array" aca="1" ref="AD49" ca="1">INDIRECT(ADDRESS(7+2,$B49))</f>
        <v>0.43338979722446302</v>
      </c>
      <c r="AE49" s="3" cm="1">
        <f t="array" aca="1" ref="AE49" ca="1">INDIRECT(ADDRESS(8+2,$B49))</f>
        <v>0.24642429588557749</v>
      </c>
      <c r="AF49" s="3" cm="1">
        <f t="array" aca="1" ref="AF49" ca="1">INDIRECT(ADDRESS(9+2,$B49))</f>
        <v>5.3809971777986833E-2</v>
      </c>
      <c r="AG49" s="3" cm="1">
        <f t="array" aca="1" ref="AG49" ca="1">INDIRECT(ADDRESS(10+2,$B49))</f>
        <v>0.38007502206531335</v>
      </c>
      <c r="AH49" s="3" cm="1">
        <f t="array" aca="1" ref="AH49" ca="1">INDIRECT(ADDRESS(11+2,$B49))</f>
        <v>1.3308615474680456</v>
      </c>
      <c r="AI49" s="3" cm="1">
        <f t="array" aca="1" ref="AI49" ca="1">INDIRECT(ADDRESS(12+2,$B49))</f>
        <v>0.10909485700105465</v>
      </c>
      <c r="AJ49" s="3" cm="1">
        <f t="array" aca="1" ref="AJ49" ca="1">INDIRECT(ADDRESS(13+2,$B49))</f>
        <v>0.25314106225014277</v>
      </c>
      <c r="AK49" s="3" cm="1">
        <f t="array" aca="1" ref="AK49" ca="1">INDIRECT(ADDRESS(14+2,$B49))</f>
        <v>0.18827031528473667</v>
      </c>
      <c r="AL49" s="3" cm="1">
        <f t="array" aca="1" ref="AL49" ca="1">INDIRECT(ADDRESS(15+2,$B49))</f>
        <v>0.39636363636363636</v>
      </c>
      <c r="AM49" s="3" cm="1">
        <f t="array" aca="1" ref="AM49" ca="1">INDIRECT(ADDRESS(16+2,$B49))</f>
        <v>0</v>
      </c>
      <c r="AN49" s="3" t="b">
        <f t="shared" ca="1" si="44"/>
        <v>0</v>
      </c>
      <c r="AO49" s="3" t="b">
        <f t="shared" ca="1" si="34"/>
        <v>0</v>
      </c>
      <c r="AP49" s="3" t="b">
        <f t="shared" ca="1" si="35"/>
        <v>0</v>
      </c>
      <c r="AQ49" s="3" t="e">
        <f t="shared" ca="1" si="36"/>
        <v>#N/A</v>
      </c>
      <c r="AR49" s="3" t="b">
        <f t="shared" ca="1" si="37"/>
        <v>0</v>
      </c>
      <c r="AS49" s="3" t="b">
        <f t="shared" ca="1" si="38"/>
        <v>0</v>
      </c>
      <c r="AT49" s="3" t="b">
        <f t="shared" ca="1" si="21"/>
        <v>0</v>
      </c>
      <c r="AU49" s="3" t="b">
        <f t="shared" ca="1" si="22"/>
        <v>0</v>
      </c>
      <c r="AV49" s="3" t="b">
        <f t="shared" ca="1" si="23"/>
        <v>0</v>
      </c>
      <c r="AW49" s="3" t="b">
        <f t="shared" ca="1" si="24"/>
        <v>0</v>
      </c>
      <c r="AX49" s="3" t="b">
        <f t="shared" ca="1" si="25"/>
        <v>0</v>
      </c>
      <c r="AY49" s="3" t="b">
        <f t="shared" ca="1" si="26"/>
        <v>1</v>
      </c>
      <c r="AZ49" s="3" t="b">
        <f t="shared" ca="1" si="27"/>
        <v>0</v>
      </c>
      <c r="BA49" s="3" t="b">
        <f t="shared" ca="1" si="28"/>
        <v>0</v>
      </c>
      <c r="BB49" s="3" t="b">
        <f t="shared" ca="1" si="29"/>
        <v>0</v>
      </c>
      <c r="BC49" s="3" t="b">
        <f t="shared" ca="1" si="30"/>
        <v>0</v>
      </c>
      <c r="BD49" s="3" t="b">
        <f t="shared" ca="1" si="31"/>
        <v>0</v>
      </c>
    </row>
    <row r="50" spans="1:56">
      <c r="A50" s="110" t="s">
        <v>348</v>
      </c>
      <c r="B50" s="103">
        <f t="shared" ref="B50" si="54">MATCH(A50, SKCOLNAMES, 0)</f>
        <v>31</v>
      </c>
      <c r="C50" s="103" t="str">
        <f t="shared" si="33"/>
        <v>$AE$2:$AE$17</v>
      </c>
      <c r="D50" s="3" cm="1">
        <f t="array" aca="1" ref="D50" ca="1">MIN(_xlfn.IFNA(INDIRECT($C50), ""))</f>
        <v>1.5733303993838706E-2</v>
      </c>
      <c r="E50" s="3" cm="1">
        <f t="array" aca="1" ref="E50" ca="1">PERCENTILE(_xlfn.IFNA(INDIRECT($C50), ""),E$36)</f>
        <v>1.9573942792705058E-2</v>
      </c>
      <c r="F50" s="3" cm="1">
        <f t="array" aca="1" ref="F50" ca="1">PERCENTILE(_xlfn.IFNA(INDIRECT($C50), ""),F$36)</f>
        <v>2.6029261416068799E-2</v>
      </c>
      <c r="G50" s="3" cm="1">
        <f t="array" aca="1" ref="G50" ca="1">PERCENTILE(_xlfn.IFNA(INDIRECT($C50), ""),G$36)</f>
        <v>4.8323416949891576E-2</v>
      </c>
      <c r="H50" s="3" cm="1">
        <f t="array" aca="1" ref="H50" ca="1">PERCENTILE(_xlfn.IFNA(INDIRECT($C50), ""),H$36)</f>
        <v>6.1754210330241449E-2</v>
      </c>
      <c r="I50" s="3" cm="1">
        <f t="array" aca="1" ref="I50" ca="1">PERCENTILE(_xlfn.IFNA(INDIRECT($C50), ""),I$36)</f>
        <v>0.1088456487449786</v>
      </c>
      <c r="J50" s="3" cm="1">
        <f t="array" aca="1" ref="J50" ca="1">MAX(_xlfn.IFNA(INDIRECT($C50), ""))</f>
        <v>0.29255946635780622</v>
      </c>
      <c r="K50" s="3" cm="1">
        <f t="array" aca="1" ref="K50" ca="1">INDIRECT(ADDRESS($B$22,$B50))</f>
        <v>6.9430973165211768E-2</v>
      </c>
      <c r="L50" s="123" t="s">
        <v>53</v>
      </c>
      <c r="S50" s="3">
        <f t="shared" ca="1" si="40"/>
        <v>3.5724948914172647E-2</v>
      </c>
      <c r="T50" s="3">
        <f t="shared" ca="1" si="41"/>
        <v>5.358742337125897E-2</v>
      </c>
      <c r="U50" s="3">
        <f t="shared" ca="1" si="42"/>
        <v>-2.7558161955190171E-2</v>
      </c>
      <c r="V50" s="3">
        <f t="shared" ca="1" si="43"/>
        <v>0.11534163370150041</v>
      </c>
      <c r="W50" s="3" cm="1">
        <f t="array" aca="1" ref="W50" ca="1">INDIRECT(ADDRESS(0+2,$B50))</f>
        <v>0.13512209913148984</v>
      </c>
      <c r="X50" s="3" cm="1">
        <f t="array" aca="1" ref="X50" ca="1">INDIRECT(ADDRESS(1+2,$B50))</f>
        <v>6.9430973165211768E-2</v>
      </c>
      <c r="Y50" s="3" cm="1">
        <f t="array" aca="1" ref="Y50" ca="1">INDIRECT(ADDRESS(2+2,$B50))</f>
        <v>2.4807209469153511E-2</v>
      </c>
      <c r="Z50" s="3" t="e" cm="1">
        <f t="array" aca="1" ref="Z50" ca="1">INDIRECT(ADDRESS(3+2,$B50))</f>
        <v>#N/A</v>
      </c>
      <c r="AA50" s="3" cm="1">
        <f t="array" aca="1" ref="AA50" ca="1">INDIRECT(ADDRESS(4+2,$B50))</f>
        <v>5.4462178681910098E-2</v>
      </c>
      <c r="AB50" s="3" cm="1">
        <f t="array" aca="1" ref="AB50" ca="1">INDIRECT(ADDRESS(5+2,$B50))</f>
        <v>1.7259231639533332E-2</v>
      </c>
      <c r="AC50" s="3" cm="1">
        <f t="array" aca="1" ref="AC50" ca="1">INDIRECT(ADDRESS(6+2,$B50))</f>
        <v>3.1623001833132595E-2</v>
      </c>
      <c r="AD50" s="3" cm="1">
        <f t="array" aca="1" ref="AD50" ca="1">INDIRECT(ADDRESS(7+2,$B50))</f>
        <v>4.8323416949891576E-2</v>
      </c>
      <c r="AE50" s="3" cm="1">
        <f t="array" aca="1" ref="AE50" ca="1">INDIRECT(ADDRESS(8+2,$B50))</f>
        <v>2.3046009522462642E-2</v>
      </c>
      <c r="AF50" s="3" cm="1">
        <f t="array" aca="1" ref="AF50" ca="1">INDIRECT(ADDRESS(9+2,$B50))</f>
        <v>1.5733303993838706E-2</v>
      </c>
      <c r="AG50" s="3" cm="1">
        <f t="array" aca="1" ref="AG50" ca="1">INDIRECT(ADDRESS(10+2,$B50))</f>
        <v>3.6886737906075336E-2</v>
      </c>
      <c r="AH50" s="3" cm="1">
        <f t="array" aca="1" ref="AH50" ca="1">INDIRECT(ADDRESS(11+2,$B50))</f>
        <v>0.29255946635780622</v>
      </c>
      <c r="AI50" s="3" cm="1">
        <f t="array" aca="1" ref="AI50" ca="1">INDIRECT(ADDRESS(12+2,$B50))</f>
        <v>2.7251313362984086E-2</v>
      </c>
      <c r="AJ50" s="3" cm="1">
        <f t="array" aca="1" ref="AJ50" ca="1">INDIRECT(ADDRESS(13+2,$B50))</f>
        <v>5.2852799141477377E-2</v>
      </c>
      <c r="AK50" s="3" cm="1">
        <f t="array" aca="1" ref="AK50" ca="1">INDIRECT(ADDRESS(14+2,$B50))</f>
        <v>5.0500465320835769E-2</v>
      </c>
      <c r="AL50" s="3" cm="1">
        <f t="array" aca="1" ref="AL50" ca="1">INDIRECT(ADDRESS(15+2,$B50))</f>
        <v>6.90462419785728E-2</v>
      </c>
      <c r="AM50" s="3" cm="1">
        <f t="array" aca="1" ref="AM50" ca="1">INDIRECT(ADDRESS(16+2,$B50))</f>
        <v>0</v>
      </c>
      <c r="AN50" s="3" t="b">
        <f t="shared" ca="1" si="44"/>
        <v>1</v>
      </c>
      <c r="AO50" s="3" t="b">
        <f t="shared" ca="1" si="34"/>
        <v>0</v>
      </c>
      <c r="AP50" s="3" t="b">
        <f t="shared" ca="1" si="35"/>
        <v>0</v>
      </c>
      <c r="AQ50" s="3" t="e">
        <f t="shared" ca="1" si="36"/>
        <v>#N/A</v>
      </c>
      <c r="AR50" s="3" t="b">
        <f t="shared" ca="1" si="37"/>
        <v>0</v>
      </c>
      <c r="AS50" s="3" t="b">
        <f t="shared" ca="1" si="38"/>
        <v>0</v>
      </c>
      <c r="AT50" s="3" t="b">
        <f t="shared" ca="1" si="21"/>
        <v>0</v>
      </c>
      <c r="AU50" s="3" t="b">
        <f t="shared" ca="1" si="22"/>
        <v>0</v>
      </c>
      <c r="AV50" s="3" t="b">
        <f t="shared" ca="1" si="23"/>
        <v>0</v>
      </c>
      <c r="AW50" s="3" t="b">
        <f t="shared" ca="1" si="24"/>
        <v>0</v>
      </c>
      <c r="AX50" s="3" t="b">
        <f t="shared" ca="1" si="25"/>
        <v>0</v>
      </c>
      <c r="AY50" s="3" t="b">
        <f t="shared" ca="1" si="26"/>
        <v>1</v>
      </c>
      <c r="AZ50" s="3" t="b">
        <f t="shared" ca="1" si="27"/>
        <v>0</v>
      </c>
      <c r="BA50" s="3" t="b">
        <f t="shared" ca="1" si="28"/>
        <v>0</v>
      </c>
      <c r="BB50" s="3" t="b">
        <f t="shared" ca="1" si="29"/>
        <v>0</v>
      </c>
      <c r="BC50" s="3" t="b">
        <f t="shared" ca="1" si="30"/>
        <v>0</v>
      </c>
      <c r="BD50" s="3" t="b">
        <f t="shared" ca="1" si="31"/>
        <v>0</v>
      </c>
    </row>
    <row r="51" spans="1:56">
      <c r="A51" s="110" t="s">
        <v>349</v>
      </c>
      <c r="B51" s="103">
        <f t="shared" ref="B51" si="55">MATCH(A51, SKCOLNAMES, 0)</f>
        <v>32</v>
      </c>
      <c r="C51" s="103" t="str">
        <f t="shared" si="33"/>
        <v>$AF$2:$AF$17</v>
      </c>
      <c r="D51" s="3" cm="1">
        <f t="array" aca="1" ref="D51" ca="1">MIN(_xlfn.IFNA(INDIRECT($C51), ""))</f>
        <v>0</v>
      </c>
      <c r="E51" s="3" cm="1">
        <f t="array" aca="1" ref="E51" ca="1">PERCENTILE(_xlfn.IFNA(INDIRECT($C51), ""),E$36)</f>
        <v>1.9278847867129689E-2</v>
      </c>
      <c r="F51" s="3" cm="1">
        <f t="array" aca="1" ref="F51" ca="1">PERCENTILE(_xlfn.IFNA(INDIRECT($C51), ""),F$36)</f>
        <v>3.5141492844980096E-2</v>
      </c>
      <c r="G51" s="3" cm="1">
        <f t="array" aca="1" ref="G51" ca="1">PERCENTILE(_xlfn.IFNA(INDIRECT($C51), ""),G$36)</f>
        <v>5.3584286950314759E-2</v>
      </c>
      <c r="H51" s="3" cm="1">
        <f t="array" aca="1" ref="H51" ca="1">PERCENTILE(_xlfn.IFNA(INDIRECT($C51), ""),H$36)</f>
        <v>0.10499540034210783</v>
      </c>
      <c r="I51" s="3" cm="1">
        <f t="array" aca="1" ref="I51" ca="1">PERCENTILE(_xlfn.IFNA(INDIRECT($C51), ""),I$36)</f>
        <v>0.14426961782706113</v>
      </c>
      <c r="J51" s="3" cm="1">
        <f t="array" aca="1" ref="J51" ca="1">MAX(_xlfn.IFNA(INDIRECT($C51), ""))</f>
        <v>0.35966670182470201</v>
      </c>
      <c r="K51" s="3" cm="1">
        <f t="array" aca="1" ref="K51" ca="1">INDIRECT(ADDRESS($B$22,$B51))</f>
        <v>9.8837878264871712E-2</v>
      </c>
      <c r="L51" s="123" t="s">
        <v>54</v>
      </c>
      <c r="S51" s="3">
        <f t="shared" ca="1" si="40"/>
        <v>6.9853907497127735E-2</v>
      </c>
      <c r="T51" s="3">
        <f t="shared" ca="1" si="41"/>
        <v>0.10478086124569161</v>
      </c>
      <c r="U51" s="3">
        <f t="shared" ca="1" si="42"/>
        <v>-6.9639368400711513E-2</v>
      </c>
      <c r="V51" s="3">
        <f t="shared" ca="1" si="43"/>
        <v>0.20977626158779944</v>
      </c>
      <c r="W51" s="3" cm="1">
        <f t="array" aca="1" ref="W51" ca="1">INDIRECT(ADDRESS(0+2,$B51))</f>
        <v>0.15625292891884848</v>
      </c>
      <c r="X51" s="3" cm="1">
        <f t="array" aca="1" ref="X51" ca="1">INDIRECT(ADDRESS(1+2,$B51))</f>
        <v>9.8837878264871712E-2</v>
      </c>
      <c r="Y51" s="3" cm="1">
        <f t="array" aca="1" ref="Y51" ca="1">INDIRECT(ADDRESS(2+2,$B51))</f>
        <v>5.0052467795628885E-2</v>
      </c>
      <c r="Z51" s="3" cm="1">
        <f t="array" aca="1" ref="Z51" ca="1">INDIRECT(ADDRESS(3+2,$B51))</f>
        <v>0</v>
      </c>
      <c r="AA51" s="3" cm="1">
        <f t="array" aca="1" ref="AA51" ca="1">INDIRECT(ADDRESS(4+2,$B51))</f>
        <v>9.5185685271124323E-2</v>
      </c>
      <c r="AB51" s="3" cm="1">
        <f t="array" aca="1" ref="AB51" ca="1">INDIRECT(ADDRESS(5+2,$B51))</f>
        <v>1.8389865538927595E-2</v>
      </c>
      <c r="AC51" s="3" cm="1">
        <f t="array" aca="1" ref="AC51" ca="1">INDIRECT(ADDRESS(6+2,$B51))</f>
        <v>3.6701998821357398E-2</v>
      </c>
      <c r="AD51" s="3" cm="1">
        <f t="array" aca="1" ref="AD51" ca="1">INDIRECT(ADDRESS(7+2,$B51))</f>
        <v>5.3883700683345408E-2</v>
      </c>
      <c r="AE51" s="3" cm="1">
        <f t="array" aca="1" ref="AE51" ca="1">INDIRECT(ADDRESS(8+2,$B51))</f>
        <v>5.0134598128445076E-2</v>
      </c>
      <c r="AF51" s="3" cm="1">
        <f t="array" aca="1" ref="AF51" ca="1">INDIRECT(ADDRESS(9+2,$B51))</f>
        <v>2.0167830195331783E-2</v>
      </c>
      <c r="AG51" s="3" cm="1">
        <f t="array" aca="1" ref="AG51" ca="1">INDIRECT(ADDRESS(10+2,$B51))</f>
        <v>0.13228630673527378</v>
      </c>
      <c r="AH51" s="3" cm="1">
        <f t="array" aca="1" ref="AH51" ca="1">INDIRECT(ADDRESS(11+2,$B51))</f>
        <v>0.35966670182470201</v>
      </c>
      <c r="AI51" s="3" cm="1">
        <f t="array" aca="1" ref="AI51" ca="1">INDIRECT(ADDRESS(12+2,$B51))</f>
        <v>5.5667231200240586E-2</v>
      </c>
      <c r="AJ51" s="3" cm="1">
        <f t="array" aca="1" ref="AJ51" ca="1">INDIRECT(ADDRESS(13+2,$B51))</f>
        <v>0.12346796657381616</v>
      </c>
      <c r="AK51" s="3" cm="1">
        <f t="array" aca="1" ref="AK51" ca="1">INDIRECT(ADDRESS(14+2,$B51))</f>
        <v>3.0459974915848176E-2</v>
      </c>
      <c r="AL51" s="3" cm="1">
        <f t="array" aca="1" ref="AL51" ca="1">INDIRECT(ADDRESS(15+2,$B51))</f>
        <v>5.3284873217284111E-2</v>
      </c>
      <c r="AM51" s="3" cm="1">
        <f t="array" aca="1" ref="AM51" ca="1">INDIRECT(ADDRESS(16+2,$B51))</f>
        <v>0</v>
      </c>
      <c r="AN51" s="3" t="b">
        <f t="shared" ca="1" si="44"/>
        <v>0</v>
      </c>
      <c r="AO51" s="3" t="b">
        <f t="shared" ca="1" si="34"/>
        <v>0</v>
      </c>
      <c r="AP51" s="3" t="b">
        <f t="shared" ca="1" si="35"/>
        <v>0</v>
      </c>
      <c r="AQ51" s="3" t="b">
        <f t="shared" ca="1" si="36"/>
        <v>0</v>
      </c>
      <c r="AR51" s="3" t="b">
        <f t="shared" ca="1" si="37"/>
        <v>0</v>
      </c>
      <c r="AS51" s="3" t="b">
        <f t="shared" ca="1" si="38"/>
        <v>0</v>
      </c>
      <c r="AT51" s="3" t="b">
        <f t="shared" ca="1" si="21"/>
        <v>0</v>
      </c>
      <c r="AU51" s="3" t="b">
        <f t="shared" ca="1" si="22"/>
        <v>0</v>
      </c>
      <c r="AV51" s="3" t="b">
        <f t="shared" ca="1" si="23"/>
        <v>0</v>
      </c>
      <c r="AW51" s="3" t="b">
        <f t="shared" ca="1" si="24"/>
        <v>0</v>
      </c>
      <c r="AX51" s="3" t="b">
        <f t="shared" ca="1" si="25"/>
        <v>0</v>
      </c>
      <c r="AY51" s="3" t="b">
        <f t="shared" ca="1" si="26"/>
        <v>1</v>
      </c>
      <c r="AZ51" s="3" t="b">
        <f t="shared" ca="1" si="27"/>
        <v>0</v>
      </c>
      <c r="BA51" s="3" t="b">
        <f t="shared" ca="1" si="28"/>
        <v>0</v>
      </c>
      <c r="BB51" s="3" t="b">
        <f t="shared" ca="1" si="29"/>
        <v>0</v>
      </c>
      <c r="BC51" s="3" t="b">
        <f t="shared" ca="1" si="30"/>
        <v>0</v>
      </c>
      <c r="BD51" s="3" t="b">
        <f t="shared" ca="1" si="31"/>
        <v>0</v>
      </c>
    </row>
    <row r="52" spans="1:56">
      <c r="A52" s="110" t="s">
        <v>350</v>
      </c>
      <c r="B52" s="103">
        <f t="shared" ref="B52" si="56">MATCH(A52, SKCOLNAMES, 0)</f>
        <v>33</v>
      </c>
      <c r="C52" s="103" t="str">
        <f t="shared" si="33"/>
        <v>$AG$2:$AG$17</v>
      </c>
      <c r="D52" s="3" cm="1">
        <f t="array" aca="1" ref="D52" ca="1">MIN(_xlfn.IFNA(INDIRECT($C52), ""))</f>
        <v>0.63857008466603948</v>
      </c>
      <c r="E52" s="3" cm="1">
        <f t="array" aca="1" ref="E52" ca="1">PERCENTILE(_xlfn.IFNA(INDIRECT($C52), ""),E$36)</f>
        <v>0.68211889996205022</v>
      </c>
      <c r="F52" s="3" cm="1">
        <f t="array" aca="1" ref="F52" ca="1">PERCENTILE(_xlfn.IFNA(INDIRECT($C52), ""),F$36)</f>
        <v>0.75695108021896895</v>
      </c>
      <c r="G52" s="3" cm="1">
        <f t="array" aca="1" ref="G52" ca="1">PERCENTILE(_xlfn.IFNA(INDIRECT($C52), ""),G$36)</f>
        <v>0.99227714033539272</v>
      </c>
      <c r="H52" s="3" cm="1">
        <f t="array" aca="1" ref="H52" ca="1">PERCENTILE(_xlfn.IFNA(INDIRECT($C52), ""),H$36)</f>
        <v>1.4678267843530999</v>
      </c>
      <c r="I52" s="3" cm="1">
        <f t="array" aca="1" ref="I52" ca="1">PERCENTILE(_xlfn.IFNA(INDIRECT($C52), ""),I$36)</f>
        <v>1.9966019275535634</v>
      </c>
      <c r="J52" s="3" cm="1">
        <f t="array" aca="1" ref="J52" ca="1">MAX(_xlfn.IFNA(INDIRECT($C52), ""))</f>
        <v>2.2466582105571273</v>
      </c>
      <c r="K52" s="3" cm="1">
        <f t="array" aca="1" ref="K52" ca="1">INDIRECT(ADDRESS($B$22,$B52))</f>
        <v>0.775609756097561</v>
      </c>
      <c r="L52" s="123" t="s">
        <v>99</v>
      </c>
      <c r="M52" s="90" cm="1">
        <f t="array" aca="1" ref="M52" ca="1">_xlfn.IFS(K52&lt;=D52,0,K52&lt;=E52,0.1,K52&lt;=F52,0.25,K52&gt;=J52,1,K52&gt;=I52,0.9,K52&gt;=H52,0.75,TRUE,0.5)</f>
        <v>0.5</v>
      </c>
      <c r="N52" s="41" cm="1">
        <f t="array" aca="1" ref="N52" ca="1">_xlfn.IFS(K52&lt;=F52,0,K52&lt;=G52,1,K52&lt;=H52,2,TRUE,3)</f>
        <v>1</v>
      </c>
      <c r="O52" s="3" t="b">
        <v>0</v>
      </c>
      <c r="P52" s="90">
        <f ca="1">IF(O52,1-M52, M52)</f>
        <v>0.5</v>
      </c>
      <c r="Q52" s="3">
        <f ca="1">IF(O52,3-N52,N52)</f>
        <v>1</v>
      </c>
      <c r="S52" s="3">
        <f t="shared" ca="1" si="40"/>
        <v>0.71087570413413093</v>
      </c>
      <c r="T52" s="3">
        <f t="shared" ca="1" si="41"/>
        <v>1.0663135562011963</v>
      </c>
      <c r="U52" s="3">
        <f t="shared" ca="1" si="42"/>
        <v>-0.30936247598222733</v>
      </c>
      <c r="V52" s="3">
        <f t="shared" ca="1" si="43"/>
        <v>2.5341403405542962</v>
      </c>
      <c r="W52" s="3" cm="1">
        <f t="array" aca="1" ref="W52" ca="1">INDIRECT(ADDRESS(0+2,$B52))</f>
        <v>1.2364082769379496</v>
      </c>
      <c r="X52" s="3" cm="1">
        <f t="array" aca="1" ref="X52" ca="1">INDIRECT(ADDRESS(1+2,$B52))</f>
        <v>0.775609756097561</v>
      </c>
      <c r="Y52" s="3" cm="1">
        <f t="array" aca="1" ref="Y52" ca="1">INDIRECT(ADDRESS(2+2,$B52))</f>
        <v>0.87786700736144063</v>
      </c>
      <c r="Z52" s="3" t="e" cm="1">
        <f t="array" aca="1" ref="Z52" ca="1">INDIRECT(ADDRESS(3+2,$B52))</f>
        <v>#N/A</v>
      </c>
      <c r="AA52" s="3" cm="1">
        <f t="array" aca="1" ref="AA52" ca="1">INDIRECT(ADDRESS(4+2,$B52))</f>
        <v>0.68361476339851834</v>
      </c>
      <c r="AB52" s="3" cm="1">
        <f t="array" aca="1" ref="AB52" ca="1">INDIRECT(ADDRESS(5+2,$B52))</f>
        <v>1.8680551624000505</v>
      </c>
      <c r="AC52" s="3" cm="1">
        <f t="array" aca="1" ref="AC52" ca="1">INDIRECT(ADDRESS(6+2,$B52))</f>
        <v>0.90089210620567894</v>
      </c>
      <c r="AD52" s="3" cm="1">
        <f t="array" aca="1" ref="AD52" ca="1">INDIRECT(ADDRESS(7+2,$B52))</f>
        <v>2.0822997709892386</v>
      </c>
      <c r="AE52" s="3" cm="1">
        <f t="array" aca="1" ref="AE52" ca="1">INDIRECT(ADDRESS(8+2,$B52))</f>
        <v>1.2429588557746836</v>
      </c>
      <c r="AF52" s="3" cm="1">
        <f t="array" aca="1" ref="AF52" ca="1">INDIRECT(ADDRESS(9+2,$B52))</f>
        <v>0.63857008466603948</v>
      </c>
      <c r="AG52" s="3" cm="1">
        <f t="array" aca="1" ref="AG52" ca="1">INDIRECT(ADDRESS(10+2,$B52))</f>
        <v>0.99227714033539272</v>
      </c>
      <c r="AH52" s="3" cm="1">
        <f t="array" aca="1" ref="AH52" ca="1">INDIRECT(ADDRESS(11+2,$B52))</f>
        <v>2.2466582105571273</v>
      </c>
      <c r="AI52" s="3" cm="1">
        <f t="array" aca="1" ref="AI52" ca="1">INDIRECT(ADDRESS(12+2,$B52))</f>
        <v>0.68112165767107147</v>
      </c>
      <c r="AJ52" s="3" cm="1">
        <f t="array" aca="1" ref="AJ52" ca="1">INDIRECT(ADDRESS(13+2,$B52))</f>
        <v>0.73829240434037691</v>
      </c>
      <c r="AK52" s="3" cm="1">
        <f t="array" aca="1" ref="AK52" ca="1">INDIRECT(ADDRESS(14+2,$B52))</f>
        <v>1.3827681932121283</v>
      </c>
      <c r="AL52" s="3" cm="1">
        <f t="array" aca="1" ref="AL52" ca="1">INDIRECT(ADDRESS(15+2,$B52))</f>
        <v>1.5528853754940712</v>
      </c>
      <c r="AM52" s="3" cm="1">
        <f t="array" aca="1" ref="AM52" ca="1">INDIRECT(ADDRESS(16+2,$B52))</f>
        <v>0</v>
      </c>
      <c r="AN52" s="3" t="b">
        <f t="shared" ca="1" si="44"/>
        <v>0</v>
      </c>
      <c r="AO52" s="3" t="b">
        <f t="shared" ca="1" si="34"/>
        <v>0</v>
      </c>
      <c r="AP52" s="3" t="b">
        <f t="shared" ca="1" si="35"/>
        <v>0</v>
      </c>
      <c r="AQ52" s="3" t="e">
        <f t="shared" ca="1" si="36"/>
        <v>#N/A</v>
      </c>
      <c r="AR52" s="3" t="b">
        <f t="shared" ca="1" si="37"/>
        <v>0</v>
      </c>
      <c r="AS52" s="3" t="b">
        <f t="shared" ca="1" si="38"/>
        <v>0</v>
      </c>
      <c r="AT52" s="3" t="b">
        <f t="shared" ca="1" si="21"/>
        <v>0</v>
      </c>
      <c r="AU52" s="3" t="b">
        <f t="shared" ca="1" si="22"/>
        <v>0</v>
      </c>
      <c r="AV52" s="3" t="b">
        <f t="shared" ca="1" si="23"/>
        <v>0</v>
      </c>
      <c r="AW52" s="3" t="b">
        <f t="shared" ca="1" si="24"/>
        <v>0</v>
      </c>
      <c r="AX52" s="3" t="b">
        <f t="shared" ca="1" si="25"/>
        <v>0</v>
      </c>
      <c r="AY52" s="3" t="b">
        <f t="shared" ca="1" si="26"/>
        <v>0</v>
      </c>
      <c r="AZ52" s="3" t="b">
        <f t="shared" ca="1" si="27"/>
        <v>0</v>
      </c>
      <c r="BA52" s="3" t="b">
        <f t="shared" ca="1" si="28"/>
        <v>0</v>
      </c>
      <c r="BB52" s="3" t="b">
        <f t="shared" ca="1" si="29"/>
        <v>0</v>
      </c>
      <c r="BC52" s="3" t="b">
        <f t="shared" ca="1" si="30"/>
        <v>0</v>
      </c>
      <c r="BD52" s="3" t="b">
        <f t="shared" ca="1" si="31"/>
        <v>0</v>
      </c>
    </row>
    <row r="53" spans="1:56">
      <c r="A53" s="110" t="s">
        <v>351</v>
      </c>
      <c r="B53" s="103">
        <f t="shared" ref="B53" si="57">MATCH(A53, SKCOLNAMES, 0)</f>
        <v>34</v>
      </c>
      <c r="C53" s="103" t="str">
        <f t="shared" si="33"/>
        <v>$AH$2:$AH$17</v>
      </c>
      <c r="D53" s="3" cm="1">
        <f t="array" aca="1" ref="D53" ca="1">MIN(_xlfn.IFNA(INDIRECT($C53), ""))</f>
        <v>9.6301689616035288E-2</v>
      </c>
      <c r="E53" s="3" cm="1">
        <f t="array" aca="1" ref="E53" ca="1">PERCENTILE(_xlfn.IFNA(INDIRECT($C53), ""),E$36)</f>
        <v>0.12150188511200294</v>
      </c>
      <c r="F53" s="3" cm="1">
        <f t="array" aca="1" ref="F53" ca="1">PERCENTILE(_xlfn.IFNA(INDIRECT($C53), ""),F$36)</f>
        <v>0.16019317825610546</v>
      </c>
      <c r="G53" s="3" cm="1">
        <f t="array" aca="1" ref="G53" ca="1">PERCENTILE(_xlfn.IFNA(INDIRECT($C53), ""),G$36)</f>
        <v>0.19277400581959264</v>
      </c>
      <c r="H53" s="3" cm="1">
        <f t="array" aca="1" ref="H53" ca="1">PERCENTILE(_xlfn.IFNA(INDIRECT($C53), ""),H$36)</f>
        <v>0.26341343320013749</v>
      </c>
      <c r="I53" s="3" cm="1">
        <f t="array" aca="1" ref="I53" ca="1">PERCENTILE(_xlfn.IFNA(INDIRECT($C53), ""),I$36)</f>
        <v>0.43002432689309167</v>
      </c>
      <c r="J53" s="3" cm="1">
        <f t="array" aca="1" ref="J53" ca="1">MAX(_xlfn.IFNA(INDIRECT($C53), ""))</f>
        <v>0.49387641292924089</v>
      </c>
      <c r="K53" s="3" cm="1">
        <f t="array" aca="1" ref="K53" ca="1">INDIRECT(ADDRESS($B$22,$B53))</f>
        <v>0.19277400581959264</v>
      </c>
      <c r="L53" s="123" t="s">
        <v>56</v>
      </c>
      <c r="S53" s="3">
        <f t="shared" ca="1" si="40"/>
        <v>0.10322025494403203</v>
      </c>
      <c r="T53" s="3">
        <f t="shared" ca="1" si="41"/>
        <v>0.15483038241604805</v>
      </c>
      <c r="U53" s="3">
        <f t="shared" ca="1" si="42"/>
        <v>5.3627958400574161E-3</v>
      </c>
      <c r="V53" s="3">
        <f t="shared" ca="1" si="43"/>
        <v>0.41824381561618551</v>
      </c>
      <c r="W53" s="3" cm="1">
        <f t="array" aca="1" ref="W53" ca="1">INDIRECT(ADDRESS(0+2,$B53))</f>
        <v>0.4694370843755864</v>
      </c>
      <c r="X53" s="3" cm="1">
        <f t="array" aca="1" ref="X53" ca="1">INDIRECT(ADDRESS(1+2,$B53))</f>
        <v>0.19277400581959264</v>
      </c>
      <c r="Y53" s="3" cm="1">
        <f t="array" aca="1" ref="Y53" ca="1">INDIRECT(ADDRESS(2+2,$B53))</f>
        <v>0.12938934720229556</v>
      </c>
      <c r="Z53" s="3" t="e" cm="1">
        <f t="array" aca="1" ref="Z53" ca="1">INDIRECT(ADDRESS(3+2,$B53))</f>
        <v>#N/A</v>
      </c>
      <c r="AA53" s="3" cm="1">
        <f t="array" aca="1" ref="AA53" ca="1">INDIRECT(ADDRESS(4+2,$B53))</f>
        <v>0.16623981146958292</v>
      </c>
      <c r="AB53" s="3" cm="1">
        <f t="array" aca="1" ref="AB53" ca="1">INDIRECT(ADDRESS(5+2,$B53))</f>
        <v>0.25631542295650073</v>
      </c>
      <c r="AC53" s="3" cm="1">
        <f t="array" aca="1" ref="AC53" ca="1">INDIRECT(ADDRESS(6+2,$B53))</f>
        <v>0.21572763800572617</v>
      </c>
      <c r="AD53" s="3" cm="1">
        <f t="array" aca="1" ref="AD53" ca="1">INDIRECT(ADDRESS(7+2,$B53))</f>
        <v>0.23217860847808841</v>
      </c>
      <c r="AE53" s="3" cm="1">
        <f t="array" aca="1" ref="AE53" ca="1">INDIRECT(ADDRESS(8+2,$B53))</f>
        <v>0.11624357705180785</v>
      </c>
      <c r="AF53" s="3" cm="1">
        <f t="array" aca="1" ref="AF53" ca="1">INDIRECT(ADDRESS(9+2,$B53))</f>
        <v>0.1867092089338761</v>
      </c>
      <c r="AG53" s="3" cm="1">
        <f t="array" aca="1" ref="AG53" ca="1">INDIRECT(ADDRESS(10+2,$B53))</f>
        <v>9.6301689616035288E-2</v>
      </c>
      <c r="AH53" s="3" cm="1">
        <f t="array" aca="1" ref="AH53" ca="1">INDIRECT(ADDRESS(11+2,$B53))</f>
        <v>0.49387641292924089</v>
      </c>
      <c r="AI53" s="3" cm="1">
        <f t="array" aca="1" ref="AI53" ca="1">INDIRECT(ADDRESS(12+2,$B53))</f>
        <v>0.17014055695888672</v>
      </c>
      <c r="AJ53" s="3" cm="1">
        <f t="array" aca="1" ref="AJ53" ca="1">INDIRECT(ADDRESS(13+2,$B53))</f>
        <v>0.15414654504262804</v>
      </c>
      <c r="AK53" s="3" cm="1">
        <f t="array" aca="1" ref="AK53" ca="1">INDIRECT(ADDRESS(14+2,$B53))</f>
        <v>0.37090519066934963</v>
      </c>
      <c r="AL53" s="3" cm="1">
        <f t="array" aca="1" ref="AL53" ca="1">INDIRECT(ADDRESS(15+2,$B53))</f>
        <v>0.27051144344377426</v>
      </c>
      <c r="AM53" s="3" cm="1">
        <f t="array" aca="1" ref="AM53" ca="1">INDIRECT(ADDRESS(16+2,$B53))</f>
        <v>0</v>
      </c>
      <c r="AN53" s="3" t="b">
        <f t="shared" ca="1" si="44"/>
        <v>1</v>
      </c>
      <c r="AO53" s="3" t="b">
        <f t="shared" ca="1" si="34"/>
        <v>0</v>
      </c>
      <c r="AP53" s="3" t="b">
        <f t="shared" ca="1" si="35"/>
        <v>0</v>
      </c>
      <c r="AQ53" s="3" t="e">
        <f t="shared" ca="1" si="36"/>
        <v>#N/A</v>
      </c>
      <c r="AR53" s="3" t="b">
        <f t="shared" ca="1" si="37"/>
        <v>0</v>
      </c>
      <c r="AS53" s="3" t="b">
        <f t="shared" ca="1" si="38"/>
        <v>0</v>
      </c>
      <c r="AT53" s="3" t="b">
        <f t="shared" ca="1" si="21"/>
        <v>0</v>
      </c>
      <c r="AU53" s="3" t="b">
        <f t="shared" ca="1" si="22"/>
        <v>0</v>
      </c>
      <c r="AV53" s="3" t="b">
        <f t="shared" ca="1" si="23"/>
        <v>0</v>
      </c>
      <c r="AW53" s="3" t="b">
        <f t="shared" ca="1" si="24"/>
        <v>0</v>
      </c>
      <c r="AX53" s="3" t="b">
        <f t="shared" ca="1" si="25"/>
        <v>0</v>
      </c>
      <c r="AY53" s="3" t="b">
        <f t="shared" ca="1" si="26"/>
        <v>1</v>
      </c>
      <c r="AZ53" s="3" t="b">
        <f t="shared" ca="1" si="27"/>
        <v>0</v>
      </c>
      <c r="BA53" s="3" t="b">
        <f t="shared" ca="1" si="28"/>
        <v>0</v>
      </c>
      <c r="BB53" s="3" t="b">
        <f t="shared" ca="1" si="29"/>
        <v>0</v>
      </c>
      <c r="BC53" s="3" t="b">
        <f t="shared" ca="1" si="30"/>
        <v>0</v>
      </c>
      <c r="BD53" s="3" t="b">
        <f t="shared" ca="1" si="31"/>
        <v>0</v>
      </c>
    </row>
    <row r="54" spans="1:56">
      <c r="A54" s="110" t="s">
        <v>352</v>
      </c>
      <c r="B54" s="103">
        <f t="shared" ref="B54" si="58">MATCH(A54, SKCOLNAMES, 0)</f>
        <v>35</v>
      </c>
      <c r="C54" s="103" t="str">
        <f t="shared" si="33"/>
        <v>$AI$2:$AI$17</v>
      </c>
      <c r="D54" s="3" cm="1">
        <f t="array" aca="1" ref="D54" ca="1">MIN(_xlfn.IFNA(INDIRECT($C54), ""))</f>
        <v>0.18386141425615643</v>
      </c>
      <c r="E54" s="3" cm="1">
        <f t="array" aca="1" ref="E54" ca="1">PERCENTILE(_xlfn.IFNA(INDIRECT($C54), ""),E$36)</f>
        <v>0.19746739339918543</v>
      </c>
      <c r="F54" s="3" cm="1">
        <f t="array" aca="1" ref="F54" ca="1">PERCENTILE(_xlfn.IFNA(INDIRECT($C54), ""),F$36)</f>
        <v>0.28244659887538553</v>
      </c>
      <c r="G54" s="3" cm="1">
        <f t="array" aca="1" ref="G54" ca="1">PERCENTILE(_xlfn.IFNA(INDIRECT($C54), ""),G$36)</f>
        <v>0.73085468147812294</v>
      </c>
      <c r="H54" s="3" cm="1">
        <f t="array" aca="1" ref="H54" ca="1">PERCENTILE(_xlfn.IFNA(INDIRECT($C54), ""),H$36)</f>
        <v>1.0647027052059885</v>
      </c>
      <c r="I54" s="3" cm="1">
        <f t="array" aca="1" ref="I54" ca="1">PERCENTILE(_xlfn.IFNA(INDIRECT($C54), ""),I$36)</f>
        <v>2.0763946222577228</v>
      </c>
      <c r="J54" s="3" cm="1">
        <f t="array" aca="1" ref="J54" ca="1">MAX(_xlfn.IFNA(INDIRECT($C54), ""))</f>
        <v>4.2704166666666667</v>
      </c>
      <c r="K54" s="3" cm="1">
        <f t="array" aca="1" ref="K54" ca="1">INDIRECT(ADDRESS($B$22,$B54))</f>
        <v>1.1997658993367148</v>
      </c>
      <c r="L54" s="123" t="s">
        <v>164</v>
      </c>
      <c r="S54" s="3">
        <f t="shared" ca="1" si="40"/>
        <v>0.78225610633060305</v>
      </c>
      <c r="T54" s="3">
        <f t="shared" ca="1" si="41"/>
        <v>1.1733841594959045</v>
      </c>
      <c r="U54" s="3">
        <f t="shared" ca="1" si="42"/>
        <v>-0.89093756062051899</v>
      </c>
      <c r="V54" s="3">
        <f t="shared" ca="1" si="43"/>
        <v>2.2380868647018932</v>
      </c>
      <c r="W54" s="3" cm="1">
        <f t="array" aca="1" ref="W54" ca="1">INDIRECT(ADDRESS(0+2,$B54))</f>
        <v>2.5081487431893952</v>
      </c>
      <c r="X54" s="3" cm="1">
        <f t="array" aca="1" ref="X54" ca="1">INDIRECT(ADDRESS(1+2,$B54))</f>
        <v>1.1997658993367148</v>
      </c>
      <c r="Y54" s="3" cm="1">
        <f t="array" aca="1" ref="Y54" ca="1">INDIRECT(ADDRESS(2+2,$B54))</f>
        <v>0.41738931704777743</v>
      </c>
      <c r="Z54" s="3" t="e" cm="1">
        <f t="array" aca="1" ref="Z54" ca="1">INDIRECT(ADDRESS(3+2,$B54))</f>
        <v>#N/A</v>
      </c>
      <c r="AA54" s="3" cm="1">
        <f t="array" aca="1" ref="AA54" ca="1">INDIRECT(ADDRESS(4+2,$B54))</f>
        <v>0.9296395110752621</v>
      </c>
      <c r="AB54" s="3" cm="1">
        <f t="array" aca="1" ref="AB54" ca="1">INDIRECT(ADDRESS(5+2,$B54))</f>
        <v>0.20801230851080041</v>
      </c>
      <c r="AC54" s="3" cm="1">
        <f t="array" aca="1" ref="AC54" ca="1">INDIRECT(ADDRESS(6+2,$B54))</f>
        <v>0.9042821615469735</v>
      </c>
      <c r="AD54" s="3" cm="1">
        <f t="array" aca="1" ref="AD54" ca="1">INDIRECT(ADDRESS(7+2,$B54))</f>
        <v>0.20302276691004281</v>
      </c>
      <c r="AE54" s="3" cm="1">
        <f t="array" aca="1" ref="AE54" ca="1">INDIRECT(ADDRESS(8+2,$B54))</f>
        <v>0.19376381105861382</v>
      </c>
      <c r="AF54" s="3" cm="1">
        <f t="array" aca="1" ref="AF54" ca="1">INDIRECT(ADDRESS(9+2,$B54))</f>
        <v>1.428763440860215</v>
      </c>
      <c r="AG54" s="3" cm="1">
        <f t="array" aca="1" ref="AG54" ca="1">INDIRECT(ADDRESS(10+2,$B54))</f>
        <v>0.18386141425615643</v>
      </c>
      <c r="AH54" s="3" cm="1">
        <f t="array" aca="1" ref="AH54" ca="1">INDIRECT(ADDRESS(11+2,$B54))</f>
        <v>4.2704166666666667</v>
      </c>
      <c r="AI54" s="3" cm="1">
        <f t="array" aca="1" ref="AI54" ca="1">INDIRECT(ADDRESS(12+2,$B54))</f>
        <v>0.73085468147812294</v>
      </c>
      <c r="AJ54" s="3" cm="1">
        <f t="array" aca="1" ref="AJ54" ca="1">INDIRECT(ADDRESS(13+2,$B54))</f>
        <v>0.49552513353850508</v>
      </c>
      <c r="AK54" s="3" cm="1">
        <f t="array" aca="1" ref="AK54" ca="1">INDIRECT(ADDRESS(14+2,$B54))</f>
        <v>0.92772556536855666</v>
      </c>
      <c r="AL54" s="3" cm="1">
        <f t="array" aca="1" ref="AL54" ca="1">INDIRECT(ADDRESS(15+2,$B54))</f>
        <v>0.35688088923997063</v>
      </c>
      <c r="AM54" s="3" cm="1">
        <f t="array" aca="1" ref="AM54" ca="1">INDIRECT(ADDRESS(16+2,$B54))</f>
        <v>0</v>
      </c>
      <c r="AN54" s="3" t="b">
        <f t="shared" ca="1" si="44"/>
        <v>1</v>
      </c>
      <c r="AO54" s="3" t="b">
        <f t="shared" ca="1" si="34"/>
        <v>0</v>
      </c>
      <c r="AP54" s="3" t="b">
        <f t="shared" ca="1" si="35"/>
        <v>0</v>
      </c>
      <c r="AQ54" s="3" t="e">
        <f t="shared" ca="1" si="36"/>
        <v>#N/A</v>
      </c>
      <c r="AR54" s="3" t="b">
        <f t="shared" ca="1" si="37"/>
        <v>0</v>
      </c>
      <c r="AS54" s="3" t="b">
        <f t="shared" ca="1" si="38"/>
        <v>0</v>
      </c>
      <c r="AT54" s="3" t="b">
        <f t="shared" ca="1" si="21"/>
        <v>0</v>
      </c>
      <c r="AU54" s="3" t="b">
        <f t="shared" ca="1" si="22"/>
        <v>0</v>
      </c>
      <c r="AV54" s="3" t="b">
        <f t="shared" ca="1" si="23"/>
        <v>0</v>
      </c>
      <c r="AW54" s="3" t="b">
        <f t="shared" ca="1" si="24"/>
        <v>0</v>
      </c>
      <c r="AX54" s="3" t="b">
        <f t="shared" ca="1" si="25"/>
        <v>0</v>
      </c>
      <c r="AY54" s="3" t="b">
        <f t="shared" ca="1" si="26"/>
        <v>1</v>
      </c>
      <c r="AZ54" s="3" t="b">
        <f t="shared" ca="1" si="27"/>
        <v>0</v>
      </c>
      <c r="BA54" s="3" t="b">
        <f t="shared" ca="1" si="28"/>
        <v>0</v>
      </c>
      <c r="BB54" s="3" t="b">
        <f t="shared" ca="1" si="29"/>
        <v>0</v>
      </c>
      <c r="BC54" s="3" t="b">
        <f t="shared" ca="1" si="30"/>
        <v>0</v>
      </c>
      <c r="BD54" s="3" t="b">
        <f t="shared" ca="1" si="31"/>
        <v>0</v>
      </c>
    </row>
    <row r="55" spans="1:56">
      <c r="A55" s="110" t="s">
        <v>353</v>
      </c>
      <c r="B55" s="103">
        <f t="shared" ref="B55" si="59">MATCH(A55, SKCOLNAMES, 0)</f>
        <v>36</v>
      </c>
      <c r="C55" s="103" t="str">
        <f t="shared" si="33"/>
        <v>$AJ$2:$AJ$17</v>
      </c>
      <c r="D55" s="3" cm="1">
        <f t="array" aca="1" ref="D55" ca="1">MIN(_xlfn.IFNA(INDIRECT($C55), ""))</f>
        <v>0.31438054469880272</v>
      </c>
      <c r="E55" s="3" cm="1">
        <f t="array" aca="1" ref="E55" ca="1">PERCENTILE(_xlfn.IFNA(INDIRECT($C55), ""),E$36)</f>
        <v>0.40897120400015319</v>
      </c>
      <c r="F55" s="3" cm="1">
        <f t="array" aca="1" ref="F55" ca="1">PERCENTILE(_xlfn.IFNA(INDIRECT($C55), ""),F$36)</f>
        <v>0.4927916896602057</v>
      </c>
      <c r="G55" s="3" cm="1">
        <f t="array" aca="1" ref="G55" ca="1">PERCENTILE(_xlfn.IFNA(INDIRECT($C55), ""),G$36)</f>
        <v>0.67884821372314297</v>
      </c>
      <c r="H55" s="3" cm="1">
        <f t="array" aca="1" ref="H55" ca="1">PERCENTILE(_xlfn.IFNA(INDIRECT($C55), ""),H$36)</f>
        <v>0.82080577156001278</v>
      </c>
      <c r="I55" s="3" cm="1">
        <f t="array" aca="1" ref="I55" ca="1">PERCENTILE(_xlfn.IFNA(INDIRECT($C55), ""),I$36)</f>
        <v>1.0857033941351399</v>
      </c>
      <c r="J55" s="3" cm="1">
        <f t="array" aca="1" ref="J55" ca="1">MAX(_xlfn.IFNA(INDIRECT($C55), ""))</f>
        <v>1.7717826129378473</v>
      </c>
      <c r="K55" s="3" cm="1">
        <f t="array" aca="1" ref="K55" ca="1">INDIRECT(ADDRESS($B$22,$B55))</f>
        <v>0.49235772357723578</v>
      </c>
      <c r="L55" s="123" t="s">
        <v>58</v>
      </c>
      <c r="S55" s="3">
        <f t="shared" ca="1" si="40"/>
        <v>0.32801408189980708</v>
      </c>
      <c r="T55" s="3">
        <f t="shared" ca="1" si="41"/>
        <v>0.49202112284971061</v>
      </c>
      <c r="U55" s="3">
        <f t="shared" ca="1" si="42"/>
        <v>7.7056681049508802E-4</v>
      </c>
      <c r="V55" s="3">
        <f t="shared" ca="1" si="43"/>
        <v>1.3128268944097234</v>
      </c>
      <c r="W55" s="3" cm="1">
        <f t="array" aca="1" ref="W55" ca="1">INDIRECT(ADDRESS(0+2,$B55))</f>
        <v>0.7815324917366262</v>
      </c>
      <c r="X55" s="3" cm="1">
        <f t="array" aca="1" ref="X55" ca="1">INDIRECT(ADDRESS(1+2,$B55))</f>
        <v>0.49235772357723578</v>
      </c>
      <c r="Y55" s="3" cm="1">
        <f t="array" aca="1" ref="Y55" ca="1">INDIRECT(ADDRESS(2+2,$B55))</f>
        <v>0.45911662712173756</v>
      </c>
      <c r="Z55" s="3" t="e" cm="1">
        <f t="array" aca="1" ref="Z55" ca="1">INDIRECT(ADDRESS(3+2,$B55))</f>
        <v>#N/A</v>
      </c>
      <c r="AA55" s="3" cm="1">
        <f t="array" aca="1" ref="AA55" ca="1">INDIRECT(ADDRESS(4+2,$B55))</f>
        <v>0.49322565574317562</v>
      </c>
      <c r="AB55" s="3" cm="1">
        <f t="array" aca="1" ref="AB55" ca="1">INDIRECT(ADDRESS(5+2,$B55))</f>
        <v>1.041584936575229</v>
      </c>
      <c r="AC55" s="3" cm="1">
        <f t="array" aca="1" ref="AC55" ca="1">INDIRECT(ADDRESS(6+2,$B55))</f>
        <v>0.5044272419868665</v>
      </c>
      <c r="AD55" s="3" cm="1">
        <f t="array" aca="1" ref="AD55" ca="1">INDIRECT(ADDRESS(7+2,$B55))</f>
        <v>1.1151156991750808</v>
      </c>
      <c r="AE55" s="3" cm="1">
        <f t="array" aca="1" ref="AE55" ca="1">INDIRECT(ADDRESS(8+2,$B55))</f>
        <v>0.67884821372314297</v>
      </c>
      <c r="AF55" s="3" cm="1">
        <f t="array" aca="1" ref="AF55" ca="1">INDIRECT(ADDRESS(9+2,$B55))</f>
        <v>0.37554092191909688</v>
      </c>
      <c r="AG55" s="3" cm="1">
        <f t="array" aca="1" ref="AG55" ca="1">INDIRECT(ADDRESS(10+2,$B55))</f>
        <v>0.69119593998234774</v>
      </c>
      <c r="AH55" s="3" cm="1">
        <f t="array" aca="1" ref="AH55" ca="1">INDIRECT(ADDRESS(11+2,$B55))</f>
        <v>1.7717826129378473</v>
      </c>
      <c r="AI55" s="3" cm="1">
        <f t="array" aca="1" ref="AI55" ca="1">INDIRECT(ADDRESS(12+2,$B55))</f>
        <v>0.31438054469880272</v>
      </c>
      <c r="AJ55" s="3" cm="1">
        <f t="array" aca="1" ref="AJ55" ca="1">INDIRECT(ADDRESS(13+2,$B55))</f>
        <v>0.54497430039977157</v>
      </c>
      <c r="AK55" s="3" cm="1">
        <f t="array" aca="1" ref="AK55" ca="1">INDIRECT(ADDRESS(14+2,$B55))</f>
        <v>0.72372400633589373</v>
      </c>
      <c r="AL55" s="3" cm="1">
        <f t="array" aca="1" ref="AL55" ca="1">INDIRECT(ADDRESS(15+2,$B55))</f>
        <v>0.86007905138339924</v>
      </c>
      <c r="AM55" s="3" cm="1">
        <f t="array" aca="1" ref="AM55" ca="1">INDIRECT(ADDRESS(16+2,$B55))</f>
        <v>0</v>
      </c>
      <c r="AN55" s="3" t="b">
        <f t="shared" ca="1" si="44"/>
        <v>0</v>
      </c>
      <c r="AO55" s="3" t="b">
        <f t="shared" ca="1" si="34"/>
        <v>0</v>
      </c>
      <c r="AP55" s="3" t="b">
        <f t="shared" ca="1" si="35"/>
        <v>0</v>
      </c>
      <c r="AQ55" s="3" t="e">
        <f t="shared" ca="1" si="36"/>
        <v>#N/A</v>
      </c>
      <c r="AR55" s="3" t="b">
        <f t="shared" ca="1" si="37"/>
        <v>0</v>
      </c>
      <c r="AS55" s="3" t="b">
        <f t="shared" ca="1" si="38"/>
        <v>0</v>
      </c>
      <c r="AT55" s="3" t="b">
        <f t="shared" ca="1" si="21"/>
        <v>0</v>
      </c>
      <c r="AU55" s="3" t="b">
        <f t="shared" ca="1" si="22"/>
        <v>0</v>
      </c>
      <c r="AV55" s="3" t="b">
        <f t="shared" ca="1" si="23"/>
        <v>0</v>
      </c>
      <c r="AW55" s="3" t="b">
        <f t="shared" ca="1" si="24"/>
        <v>0</v>
      </c>
      <c r="AX55" s="3" t="b">
        <f t="shared" ca="1" si="25"/>
        <v>0</v>
      </c>
      <c r="AY55" s="3" t="b">
        <f t="shared" ca="1" si="26"/>
        <v>1</v>
      </c>
      <c r="AZ55" s="3" t="b">
        <f t="shared" ca="1" si="27"/>
        <v>0</v>
      </c>
      <c r="BA55" s="3" t="b">
        <f t="shared" ca="1" si="28"/>
        <v>0</v>
      </c>
      <c r="BB55" s="3" t="b">
        <f t="shared" ca="1" si="29"/>
        <v>0</v>
      </c>
      <c r="BC55" s="3" t="b">
        <f t="shared" ca="1" si="30"/>
        <v>0</v>
      </c>
      <c r="BD55" s="3" t="b">
        <f t="shared" ca="1" si="31"/>
        <v>0</v>
      </c>
    </row>
    <row r="56" spans="1:56">
      <c r="A56" s="110" t="s">
        <v>354</v>
      </c>
      <c r="B56" s="103">
        <f t="shared" ref="B56" si="60">MATCH(A56, SKCOLNAMES, 0)</f>
        <v>37</v>
      </c>
      <c r="C56" s="103" t="str">
        <f t="shared" si="33"/>
        <v>$AK$2:$AK$17</v>
      </c>
      <c r="D56" s="3" cm="1">
        <f t="array" aca="1" ref="D56" ca="1">MIN(_xlfn.IFNA(INDIRECT($C56), ""))</f>
        <v>6.3487012680903218E-2</v>
      </c>
      <c r="E56" s="3" cm="1">
        <f t="array" aca="1" ref="E56" ca="1">PERCENTILE(_xlfn.IFNA(INDIRECT($C56), ""),E$36)</f>
        <v>6.7316628785980645E-2</v>
      </c>
      <c r="F56" s="3" cm="1">
        <f t="array" aca="1" ref="F56" ca="1">PERCENTILE(_xlfn.IFNA(INDIRECT($C56), ""),F$36)</f>
        <v>9.4166820895488376E-2</v>
      </c>
      <c r="G56" s="3" cm="1">
        <f t="array" aca="1" ref="G56" ca="1">PERCENTILE(_xlfn.IFNA(INDIRECT($C56), ""),G$36)</f>
        <v>0.12079015534711054</v>
      </c>
      <c r="H56" s="3" cm="1">
        <f t="array" aca="1" ref="H56" ca="1">PERCENTILE(_xlfn.IFNA(INDIRECT($C56), ""),H$36)</f>
        <v>0.1463703719598225</v>
      </c>
      <c r="I56" s="3" cm="1">
        <f t="array" aca="1" ref="I56" ca="1">PERCENTILE(_xlfn.IFNA(INDIRECT($C56), ""),I$36)</f>
        <v>0.25568934088867412</v>
      </c>
      <c r="J56" s="3" cm="1">
        <f t="array" aca="1" ref="J56" ca="1">MAX(_xlfn.IFNA(INDIRECT($C56), ""))</f>
        <v>0.38948587606975094</v>
      </c>
      <c r="K56" s="3" cm="1">
        <f t="array" aca="1" ref="K56" ca="1">INDIRECT(ADDRESS($B$22,$B56))</f>
        <v>0.12237310054962819</v>
      </c>
      <c r="L56" s="123" t="s">
        <v>59</v>
      </c>
      <c r="S56" s="3">
        <f t="shared" ca="1" si="40"/>
        <v>5.2203551064334122E-2</v>
      </c>
      <c r="T56" s="3">
        <f t="shared" ca="1" si="41"/>
        <v>7.830532659650119E-2</v>
      </c>
      <c r="U56" s="3">
        <f t="shared" ca="1" si="42"/>
        <v>1.5861494298987186E-2</v>
      </c>
      <c r="V56" s="3">
        <f t="shared" ca="1" si="43"/>
        <v>0.22467569855632369</v>
      </c>
      <c r="W56" s="3" cm="1">
        <f t="array" aca="1" ref="W56" ca="1">INDIRECT(ADDRESS(0+2,$B56))</f>
        <v>0.29673073296972208</v>
      </c>
      <c r="X56" s="3" cm="1">
        <f t="array" aca="1" ref="X56" ca="1">INDIRECT(ADDRESS(1+2,$B56))</f>
        <v>0.12237310054962819</v>
      </c>
      <c r="Y56" s="3" cm="1">
        <f t="array" aca="1" ref="Y56" ca="1">INDIRECT(ADDRESS(2+2,$B56))</f>
        <v>6.7669476327116215E-2</v>
      </c>
      <c r="Z56" s="3" t="e" cm="1">
        <f t="array" aca="1" ref="Z56" ca="1">INDIRECT(ADDRESS(3+2,$B56))</f>
        <v>#N/A</v>
      </c>
      <c r="AA56" s="3" cm="1">
        <f t="array" aca="1" ref="AA56" ca="1">INDIRECT(ADDRESS(4+2,$B56))</f>
        <v>0.11994144130984494</v>
      </c>
      <c r="AB56" s="3" cm="1">
        <f t="array" aca="1" ref="AB56" ca="1">INDIRECT(ADDRESS(5+2,$B56))</f>
        <v>0.14291563168851773</v>
      </c>
      <c r="AC56" s="3" cm="1">
        <f t="array" aca="1" ref="AC56" ca="1">INDIRECT(ADDRESS(6+2,$B56))</f>
        <v>0.12079015534711054</v>
      </c>
      <c r="AD56" s="3" cm="1">
        <f t="array" aca="1" ref="AD56" ca="1">INDIRECT(ADDRESS(7+2,$B56))</f>
        <v>0.12433657004319908</v>
      </c>
      <c r="AE56" s="3" cm="1">
        <f t="array" aca="1" ref="AE56" ca="1">INDIRECT(ADDRESS(8+2,$B56))</f>
        <v>6.3487012680903218E-2</v>
      </c>
      <c r="AF56" s="3" cm="1">
        <f t="array" aca="1" ref="AF56" ca="1">INDIRECT(ADDRESS(9+2,$B56))</f>
        <v>0.10980305864231489</v>
      </c>
      <c r="AG56" s="3" cm="1">
        <f t="array" aca="1" ref="AG56" ca="1">INDIRECT(ADDRESS(10+2,$B56))</f>
        <v>6.7081397091890274E-2</v>
      </c>
      <c r="AH56" s="3" cm="1">
        <f t="array" aca="1" ref="AH56" ca="1">INDIRECT(ADDRESS(11+2,$B56))</f>
        <v>0.38948587606975094</v>
      </c>
      <c r="AI56" s="3" cm="1">
        <f t="array" aca="1" ref="AI56" ca="1">INDIRECT(ADDRESS(12+2,$B56))</f>
        <v>7.8530583148661862E-2</v>
      </c>
      <c r="AJ56" s="3" cm="1">
        <f t="array" aca="1" ref="AJ56" ca="1">INDIRECT(ADDRESS(13+2,$B56))</f>
        <v>0.11378405771179873</v>
      </c>
      <c r="AK56" s="3" cm="1">
        <f t="array" aca="1" ref="AK56" ca="1">INDIRECT(ADDRESS(14+2,$B56))</f>
        <v>0.19412725276710233</v>
      </c>
      <c r="AL56" s="3" cm="1">
        <f t="array" aca="1" ref="AL56" ca="1">INDIRECT(ADDRESS(15+2,$B56))</f>
        <v>0.14982511223112727</v>
      </c>
      <c r="AM56" s="3" cm="1">
        <f t="array" aca="1" ref="AM56" ca="1">INDIRECT(ADDRESS(16+2,$B56))</f>
        <v>0</v>
      </c>
      <c r="AN56" s="3" t="b">
        <f t="shared" ca="1" si="44"/>
        <v>1</v>
      </c>
      <c r="AO56" s="3" t="b">
        <f t="shared" ca="1" si="34"/>
        <v>0</v>
      </c>
      <c r="AP56" s="3" t="b">
        <f t="shared" ca="1" si="35"/>
        <v>0</v>
      </c>
      <c r="AQ56" s="3" t="e">
        <f t="shared" ca="1" si="36"/>
        <v>#N/A</v>
      </c>
      <c r="AR56" s="3" t="b">
        <f t="shared" ca="1" si="37"/>
        <v>0</v>
      </c>
      <c r="AS56" s="3" t="b">
        <f t="shared" ca="1" si="38"/>
        <v>0</v>
      </c>
      <c r="AT56" s="3" t="b">
        <f t="shared" ca="1" si="21"/>
        <v>0</v>
      </c>
      <c r="AU56" s="3" t="b">
        <f t="shared" ca="1" si="22"/>
        <v>0</v>
      </c>
      <c r="AV56" s="3" t="b">
        <f t="shared" ca="1" si="23"/>
        <v>0</v>
      </c>
      <c r="AW56" s="3" t="b">
        <f t="shared" ca="1" si="24"/>
        <v>0</v>
      </c>
      <c r="AX56" s="3" t="b">
        <f t="shared" ca="1" si="25"/>
        <v>0</v>
      </c>
      <c r="AY56" s="3" t="b">
        <f t="shared" ca="1" si="26"/>
        <v>1</v>
      </c>
      <c r="AZ56" s="3" t="b">
        <f t="shared" ca="1" si="27"/>
        <v>0</v>
      </c>
      <c r="BA56" s="3" t="b">
        <f t="shared" ca="1" si="28"/>
        <v>0</v>
      </c>
      <c r="BB56" s="3" t="b">
        <f t="shared" ca="1" si="29"/>
        <v>0</v>
      </c>
      <c r="BC56" s="3" t="b">
        <f t="shared" ca="1" si="30"/>
        <v>0</v>
      </c>
      <c r="BD56" s="3" t="b">
        <f t="shared" ca="1" si="31"/>
        <v>0</v>
      </c>
    </row>
    <row r="57" spans="1:56">
      <c r="A57" s="110" t="s">
        <v>355</v>
      </c>
      <c r="B57" s="103">
        <f t="shared" ref="B57" si="61">MATCH(A57, SKCOLNAMES, 0)</f>
        <v>38</v>
      </c>
      <c r="C57" s="103" t="str">
        <f t="shared" si="33"/>
        <v>$AL$2:$AL$17</v>
      </c>
      <c r="D57" s="3" cm="1">
        <f t="array" aca="1" ref="D57" ca="1">MIN(_xlfn.IFNA(INDIRECT($C57), ""))</f>
        <v>0.2113697559280813</v>
      </c>
      <c r="E57" s="3" cm="1">
        <f t="array" aca="1" ref="E57" ca="1">PERCENTILE(_xlfn.IFNA(INDIRECT($C57), ""),E$36)</f>
        <v>0.26850834455207745</v>
      </c>
      <c r="F57" s="3" cm="1">
        <f t="array" aca="1" ref="F57" ca="1">PERCENTILE(_xlfn.IFNA(INDIRECT($C57), ""),F$36)</f>
        <v>0.33431183332564129</v>
      </c>
      <c r="G57" s="3" cm="1">
        <f t="array" aca="1" ref="G57" ca="1">PERCENTILE(_xlfn.IFNA(INDIRECT($C57), ""),G$36)</f>
        <v>0.44008029539588084</v>
      </c>
      <c r="H57" s="3" cm="1">
        <f t="array" aca="1" ref="H57" ca="1">PERCENTILE(_xlfn.IFNA(INDIRECT($C57), ""),H$36)</f>
        <v>0.45916188551954806</v>
      </c>
      <c r="I57" s="3" cm="1">
        <f t="array" aca="1" ref="I57" ca="1">PERCENTILE(_xlfn.IFNA(INDIRECT($C57), ""),I$36)</f>
        <v>0.4768502221268468</v>
      </c>
      <c r="J57" s="3" cm="1">
        <f t="array" aca="1" ref="J57" ca="1">MAX(_xlfn.IFNA(INDIRECT($C57), ""))</f>
        <v>0.53843701612168682</v>
      </c>
      <c r="K57" s="3" cm="1">
        <f t="array" aca="1" ref="K57" ca="1">INDIRECT(ADDRESS($B$22,$B57))</f>
        <v>0.36519916142557651</v>
      </c>
      <c r="L57" s="123" t="s">
        <v>60</v>
      </c>
      <c r="S57" s="3">
        <f t="shared" ca="1" si="40"/>
        <v>0.12485005219390677</v>
      </c>
      <c r="T57" s="3">
        <f t="shared" ca="1" si="41"/>
        <v>0.18727507829086015</v>
      </c>
      <c r="U57" s="3">
        <f t="shared" ca="1" si="42"/>
        <v>0.14703675503478114</v>
      </c>
      <c r="V57" s="3">
        <f t="shared" ca="1" si="43"/>
        <v>0.64643696381040816</v>
      </c>
      <c r="W57" s="3" cm="1">
        <f t="array" aca="1" ref="W57" ca="1">INDIRECT(ADDRESS(0+2,$B57))</f>
        <v>0.3679009544710059</v>
      </c>
      <c r="X57" s="3" cm="1">
        <f t="array" aca="1" ref="X57" ca="1">INDIRECT(ADDRESS(1+2,$B57))</f>
        <v>0.36519916142557651</v>
      </c>
      <c r="Y57" s="3" cm="1">
        <f t="array" aca="1" ref="Y57" ca="1">INDIRECT(ADDRESS(2+2,$B57))</f>
        <v>0.47700890536747631</v>
      </c>
      <c r="Z57" s="3" t="e" cm="1">
        <f t="array" aca="1" ref="Z57" ca="1">INDIRECT(ADDRESS(3+2,$B57))</f>
        <v>#N/A</v>
      </c>
      <c r="AA57" s="3" cm="1">
        <f t="array" aca="1" ref="AA57" ca="1">INDIRECT(ADDRESS(4+2,$B57))</f>
        <v>0.27850350496944132</v>
      </c>
      <c r="AB57" s="3" cm="1">
        <f t="array" aca="1" ref="AB57" ca="1">INDIRECT(ADDRESS(5+2,$B57))</f>
        <v>0.44242281623149959</v>
      </c>
      <c r="AC57" s="3" cm="1">
        <f t="array" aca="1" ref="AC57" ca="1">INDIRECT(ADDRESS(6+2,$B57))</f>
        <v>0.44008029539588084</v>
      </c>
      <c r="AD57" s="3" cm="1">
        <f t="array" aca="1" ref="AD57" ca="1">INDIRECT(ADDRESS(7+2,$B57))</f>
        <v>0.46447878700705886</v>
      </c>
      <c r="AE57" s="3" cm="1">
        <f t="array" aca="1" ref="AE57" ca="1">INDIRECT(ADDRESS(8+2,$B57))</f>
        <v>0.45384498403203727</v>
      </c>
      <c r="AF57" s="3" cm="1">
        <f t="array" aca="1" ref="AF57" ca="1">INDIRECT(ADDRESS(9+2,$B57))</f>
        <v>0.41190335886859164</v>
      </c>
      <c r="AG57" s="3" cm="1">
        <f t="array" aca="1" ref="AG57" ca="1">INDIRECT(ADDRESS(10+2,$B57))</f>
        <v>0.30342450522570602</v>
      </c>
      <c r="AH57" s="3" cm="1">
        <f t="array" aca="1" ref="AH57" ca="1">INDIRECT(ADDRESS(11+2,$B57))</f>
        <v>0.2113697559280813</v>
      </c>
      <c r="AI57" s="3" cm="1">
        <f t="array" aca="1" ref="AI57" ca="1">INDIRECT(ADDRESS(12+2,$B57))</f>
        <v>0.53843701612168682</v>
      </c>
      <c r="AJ57" s="3" cm="1">
        <f t="array" aca="1" ref="AJ57" ca="1">INDIRECT(ADDRESS(13+2,$B57))</f>
        <v>0.26184490427383483</v>
      </c>
      <c r="AK57" s="3" cm="1">
        <f t="array" aca="1" ref="AK57" ca="1">INDIRECT(ADDRESS(14+2,$B57))</f>
        <v>0.47661219726590259</v>
      </c>
      <c r="AL57" s="3" cm="1">
        <f t="array" aca="1" ref="AL57" ca="1">INDIRECT(ADDRESS(15+2,$B57))</f>
        <v>0.44614131541437591</v>
      </c>
      <c r="AM57" s="3" cm="1">
        <f t="array" aca="1" ref="AM57" ca="1">INDIRECT(ADDRESS(16+2,$B57))</f>
        <v>0</v>
      </c>
      <c r="AN57" s="3" t="b">
        <f t="shared" ca="1" si="44"/>
        <v>0</v>
      </c>
      <c r="AO57" s="3" t="b">
        <f t="shared" ca="1" si="34"/>
        <v>0</v>
      </c>
      <c r="AP57" s="3" t="b">
        <f t="shared" ca="1" si="35"/>
        <v>0</v>
      </c>
      <c r="AQ57" s="3" t="e">
        <f t="shared" ca="1" si="36"/>
        <v>#N/A</v>
      </c>
      <c r="AR57" s="3" t="b">
        <f t="shared" ca="1" si="37"/>
        <v>0</v>
      </c>
      <c r="AS57" s="3" t="b">
        <f t="shared" ca="1" si="38"/>
        <v>0</v>
      </c>
      <c r="AT57" s="3" t="b">
        <f t="shared" ca="1" si="21"/>
        <v>0</v>
      </c>
      <c r="AU57" s="3" t="b">
        <f t="shared" ca="1" si="22"/>
        <v>0</v>
      </c>
      <c r="AV57" s="3" t="b">
        <f t="shared" ca="1" si="23"/>
        <v>0</v>
      </c>
      <c r="AW57" s="3" t="b">
        <f t="shared" ca="1" si="24"/>
        <v>0</v>
      </c>
      <c r="AX57" s="3" t="b">
        <f t="shared" ca="1" si="25"/>
        <v>0</v>
      </c>
      <c r="AY57" s="3" t="b">
        <f t="shared" ca="1" si="26"/>
        <v>0</v>
      </c>
      <c r="AZ57" s="3" t="b">
        <f t="shared" ca="1" si="27"/>
        <v>0</v>
      </c>
      <c r="BA57" s="3" t="b">
        <f t="shared" ca="1" si="28"/>
        <v>0</v>
      </c>
      <c r="BB57" s="3" t="b">
        <f t="shared" ca="1" si="29"/>
        <v>0</v>
      </c>
      <c r="BC57" s="3" t="b">
        <f t="shared" ca="1" si="30"/>
        <v>0</v>
      </c>
      <c r="BD57" s="3" t="b">
        <f t="shared" ca="1" si="31"/>
        <v>0</v>
      </c>
    </row>
    <row r="58" spans="1:56">
      <c r="A58" s="110" t="s">
        <v>368</v>
      </c>
      <c r="B58" s="103">
        <f t="shared" ref="B58" si="62">MATCH(A58, SKCOLNAMES, 0)</f>
        <v>62</v>
      </c>
      <c r="C58" s="103" t="str">
        <f t="shared" si="33"/>
        <v>$BJ$2:$BJ$17</v>
      </c>
      <c r="D58" s="3" cm="1">
        <f t="array" aca="1" ref="D58" ca="1">MIN(_xlfn.IFNA(INDIRECT($C58), ""))</f>
        <v>-3.674149581530689E-2</v>
      </c>
      <c r="E58" s="3" cm="1">
        <f t="array" aca="1" ref="E58" ca="1">PERCENTILE(_xlfn.IFNA(INDIRECT($C58), ""),E$36)</f>
        <v>2.7497561241372658E-2</v>
      </c>
      <c r="F58" s="3" cm="1">
        <f t="array" aca="1" ref="F58" ca="1">PERCENTILE(_xlfn.IFNA(INDIRECT($C58), ""),F$36)</f>
        <v>4.854222015424068E-2</v>
      </c>
      <c r="G58" s="3" cm="1">
        <f t="array" aca="1" ref="G58" ca="1">PERCENTILE(_xlfn.IFNA(INDIRECT($C58), ""),G$36)</f>
        <v>5.5688672230025611E-2</v>
      </c>
      <c r="H58" s="3" cm="1">
        <f t="array" aca="1" ref="H58" ca="1">PERCENTILE(_xlfn.IFNA(INDIRECT($C58), ""),H$36)</f>
        <v>7.7787100572157195E-2</v>
      </c>
      <c r="I58" s="3" cm="1">
        <f t="array" aca="1" ref="I58" ca="1">PERCENTILE(_xlfn.IFNA(INDIRECT($C58), ""),I$36)</f>
        <v>0.10878762699605482</v>
      </c>
      <c r="J58" s="3" cm="1">
        <f t="array" aca="1" ref="J58" ca="1">MAX(_xlfn.IFNA(INDIRECT($C58), ""))</f>
        <v>0.13158745554477852</v>
      </c>
      <c r="K58" s="3" cm="1">
        <f t="array" aca="1" ref="K58" ca="1">INDIRECT(ADDRESS($B$22,$B58))</f>
        <v>0.13158745554477852</v>
      </c>
      <c r="L58" s="123" t="s">
        <v>107</v>
      </c>
      <c r="M58" s="90" cm="1">
        <f t="array" aca="1" ref="M58" ca="1">_xlfn.IFS(K58&lt;=D58,0,K58&lt;=E58,0.1,K58&lt;=F58,0.25,K58&gt;=J58,1,K58&gt;=I58,0.9,K58&gt;=H58,0.75,TRUE,0.5)</f>
        <v>1</v>
      </c>
      <c r="N58" s="41" cm="1">
        <f t="array" aca="1" ref="N58" ca="1">_xlfn.IFS(K58&lt;=F58,0,K58&lt;=G58,1,K58&lt;=H58,2,TRUE,3)</f>
        <v>3</v>
      </c>
      <c r="O58" s="3" t="b">
        <v>0</v>
      </c>
      <c r="P58" s="90">
        <f ca="1">IF(O58,1-M58, M58)</f>
        <v>1</v>
      </c>
      <c r="Q58" s="3">
        <f ca="1">IF(O58,3-N58,N58)</f>
        <v>3</v>
      </c>
      <c r="S58" s="3">
        <f t="shared" ca="1" si="40"/>
        <v>2.9244880417916515E-2</v>
      </c>
      <c r="T58" s="3">
        <f t="shared" ca="1" si="41"/>
        <v>4.3867320626874776E-2</v>
      </c>
      <c r="U58" s="3">
        <f t="shared" ca="1" si="42"/>
        <v>4.6748995273659041E-3</v>
      </c>
      <c r="V58" s="3">
        <f t="shared" ca="1" si="43"/>
        <v>0.12165442119903197</v>
      </c>
      <c r="W58" s="3" cm="1">
        <f t="array" aca="1" ref="W58" ca="1">INDIRECT(ADDRESS(0+2,$B58))</f>
        <v>0.1063428918895381</v>
      </c>
      <c r="X58" s="3" cm="1">
        <f t="array" aca="1" ref="X58" ca="1">INDIRECT(ADDRESS(1+2,$B58))</f>
        <v>0.13158745554477852</v>
      </c>
      <c r="Y58" s="3" cm="1">
        <f t="array" aca="1" ref="Y58" ca="1">INDIRECT(ADDRESS(2+2,$B58))</f>
        <v>3.7665889526542325E-2</v>
      </c>
      <c r="Z58" s="3" t="e" cm="1">
        <f t="array" aca="1" ref="Z58" ca="1">INDIRECT(ADDRESS(3+2,$B58))</f>
        <v>#N/A</v>
      </c>
      <c r="AA58" s="3" cm="1">
        <f t="array" aca="1" ref="AA58" ca="1">INDIRECT(ADDRESS(4+2,$B58))</f>
        <v>7.0802779914758793E-2</v>
      </c>
      <c r="AB58" s="3" cm="1">
        <f t="array" aca="1" ref="AB58" ca="1">INDIRECT(ADDRESS(5+2,$B58))</f>
        <v>-3.674149581530689E-2</v>
      </c>
      <c r="AC58" s="3" cm="1">
        <f t="array" aca="1" ref="AC58" ca="1">INDIRECT(ADDRESS(6+2,$B58))</f>
        <v>0.1104174504003993</v>
      </c>
      <c r="AD58" s="3" cm="1">
        <f t="array" aca="1" ref="AD58" ca="1">INDIRECT(ADDRESS(7+2,$B58))</f>
        <v>7.7093622888946875E-2</v>
      </c>
      <c r="AE58" s="3" cm="1">
        <f t="array" aca="1" ref="AE58" ca="1">INDIRECT(ADDRESS(8+2,$B58))</f>
        <v>4.5932918493376697E-2</v>
      </c>
      <c r="AF58" s="3" cm="1">
        <f t="array" aca="1" ref="AF58" ca="1">INDIRECT(ADDRESS(9+2,$B58))</f>
        <v>5.2811090328969086E-2</v>
      </c>
      <c r="AG58" s="3" cm="1">
        <f t="array" aca="1" ref="AG58" ca="1">INDIRECT(ADDRESS(10+2,$B58))</f>
        <v>2.0718675717926203E-2</v>
      </c>
      <c r="AH58" s="3" cm="1">
        <f t="array" aca="1" ref="AH58" ca="1">INDIRECT(ADDRESS(11+2,$B58))</f>
        <v>7.8480578255367514E-2</v>
      </c>
      <c r="AI58" s="3" cm="1">
        <f t="array" aca="1" ref="AI58" ca="1">INDIRECT(ADDRESS(12+2,$B58))</f>
        <v>5.1279269785677754E-2</v>
      </c>
      <c r="AJ58" s="3" cm="1">
        <f t="array" aca="1" ref="AJ58" ca="1">INDIRECT(ADDRESS(13+2,$B58))</f>
        <v>5.7681988910749417E-2</v>
      </c>
      <c r="AK58" s="3" cm="1">
        <f t="array" aca="1" ref="AK58" ca="1">INDIRECT(ADDRESS(14+2,$B58))</f>
        <v>5.1151521815104663E-2</v>
      </c>
      <c r="AL58" s="3" cm="1">
        <f t="array" aca="1" ref="AL58" ca="1">INDIRECT(ADDRESS(15+2,$B58))</f>
        <v>5.5688672230025611E-2</v>
      </c>
      <c r="AM58" s="3" cm="1">
        <f t="array" aca="1" ref="AM58" ca="1">INDIRECT(ADDRESS(16+2,$B58))</f>
        <v>0</v>
      </c>
      <c r="AN58" s="3" t="b">
        <f t="shared" ca="1" si="44"/>
        <v>0</v>
      </c>
      <c r="AO58" s="3" t="b">
        <f t="shared" ca="1" si="34"/>
        <v>1</v>
      </c>
      <c r="AP58" s="3" t="b">
        <f t="shared" ca="1" si="35"/>
        <v>0</v>
      </c>
      <c r="AQ58" s="3" t="e">
        <f t="shared" ca="1" si="36"/>
        <v>#N/A</v>
      </c>
      <c r="AR58" s="3" t="b">
        <f t="shared" ca="1" si="37"/>
        <v>0</v>
      </c>
      <c r="AS58" s="3" t="b">
        <f t="shared" ca="1" si="38"/>
        <v>1</v>
      </c>
      <c r="AT58" s="3" t="b">
        <f t="shared" ca="1" si="21"/>
        <v>0</v>
      </c>
      <c r="AU58" s="3" t="b">
        <f t="shared" ca="1" si="22"/>
        <v>0</v>
      </c>
      <c r="AV58" s="3" t="b">
        <f t="shared" ca="1" si="23"/>
        <v>0</v>
      </c>
      <c r="AW58" s="3" t="b">
        <f t="shared" ca="1" si="24"/>
        <v>0</v>
      </c>
      <c r="AX58" s="3" t="b">
        <f t="shared" ca="1" si="25"/>
        <v>0</v>
      </c>
      <c r="AY58" s="3" t="b">
        <f t="shared" ca="1" si="26"/>
        <v>0</v>
      </c>
      <c r="AZ58" s="3" t="b">
        <f t="shared" ca="1" si="27"/>
        <v>0</v>
      </c>
      <c r="BA58" s="3" t="b">
        <f t="shared" ca="1" si="28"/>
        <v>0</v>
      </c>
      <c r="BB58" s="3" t="b">
        <f t="shared" ca="1" si="29"/>
        <v>0</v>
      </c>
      <c r="BC58" s="3" t="b">
        <f t="shared" ca="1" si="30"/>
        <v>0</v>
      </c>
      <c r="BD58" s="3" t="b">
        <f t="shared" ca="1" si="31"/>
        <v>0</v>
      </c>
    </row>
    <row r="59" spans="1:56">
      <c r="A59" s="110" t="s">
        <v>369</v>
      </c>
      <c r="B59" s="103">
        <f t="shared" ref="B59" si="63">MATCH(A59, SKCOLNAMES, 0)</f>
        <v>63</v>
      </c>
      <c r="C59" s="103" t="str">
        <f>ADDRESS(2,B59) &amp; ":" &amp; ADDRESS(2+$B$21-1,B59)</f>
        <v>$BK$2:$BK$17</v>
      </c>
      <c r="D59" s="3" cm="1">
        <f t="array" aca="1" ref="D59" ca="1">MIN(_xlfn.IFNA(INDIRECT($C59), ""))</f>
        <v>-5.5700721968142512E-2</v>
      </c>
      <c r="E59" s="3" cm="1">
        <f t="array" aca="1" ref="E59" ca="1">PERCENTILE(_xlfn.IFNA(INDIRECT($C59), ""),E$36)</f>
        <v>6.1617286066157295E-2</v>
      </c>
      <c r="F59" s="3" cm="1">
        <f t="array" aca="1" ref="F59" ca="1">PERCENTILE(_xlfn.IFNA(INDIRECT($C59), ""),F$36)</f>
        <v>0.11037675138032502</v>
      </c>
      <c r="G59" s="3" cm="1">
        <f t="array" aca="1" ref="G59" ca="1">PERCENTILE(_xlfn.IFNA(INDIRECT($C59), ""),G$36)</f>
        <v>0.150034005894355</v>
      </c>
      <c r="H59" s="3" cm="1">
        <f t="array" aca="1" ref="H59" ca="1">PERCENTILE(_xlfn.IFNA(INDIRECT($C59), ""),H$36)</f>
        <v>0.34382221419045655</v>
      </c>
      <c r="I59" s="3" cm="1">
        <f t="array" aca="1" ref="I59" ca="1">PERCENTILE(_xlfn.IFNA(INDIRECT($C59), ""),I$36)</f>
        <v>0.67557719011720319</v>
      </c>
      <c r="J59" s="3" cm="1">
        <f t="array" aca="1" ref="J59" ca="1">MAX(_xlfn.IFNA(INDIRECT($C59), ""))</f>
        <v>1.5245833333333332</v>
      </c>
      <c r="K59" s="3" cm="1">
        <f t="array" aca="1" ref="K59" ca="1">INDIRECT(ADDRESS($B$22,$B59))</f>
        <v>0.63519313304721026</v>
      </c>
      <c r="L59" s="123" t="s">
        <v>108</v>
      </c>
      <c r="S59" s="3">
        <f t="shared" ca="1" si="40"/>
        <v>0.23344546281013154</v>
      </c>
      <c r="T59" s="3">
        <f t="shared" ca="1" si="41"/>
        <v>0.35016819421519729</v>
      </c>
      <c r="U59" s="3">
        <f t="shared" ca="1" si="42"/>
        <v>-0.23979144283487228</v>
      </c>
      <c r="V59" s="3">
        <f t="shared" ca="1" si="43"/>
        <v>0.69399040840565385</v>
      </c>
      <c r="W59" s="3" cm="1">
        <f t="array" aca="1" ref="W59" ca="1">INDIRECT(ADDRESS(0+2,$B59))</f>
        <v>0.70249989483053188</v>
      </c>
      <c r="X59" s="3" cm="1">
        <f t="array" aca="1" ref="X59" ca="1">INDIRECT(ADDRESS(1+2,$B59))</f>
        <v>0.63519313304721026</v>
      </c>
      <c r="Y59" s="3" cm="1">
        <f t="array" aca="1" ref="Y59" ca="1">INDIRECT(ADDRESS(2+2,$B59))</f>
        <v>0.10666446591587207</v>
      </c>
      <c r="Z59" s="3" t="e" cm="1">
        <f t="array" aca="1" ref="Z59" ca="1">INDIRECT(ADDRESS(3+2,$B59))</f>
        <v>#N/A</v>
      </c>
      <c r="AA59" s="3" cm="1">
        <f t="array" aca="1" ref="AA59" ca="1">INDIRECT(ADDRESS(4+2,$B59))</f>
        <v>0.2706707203573866</v>
      </c>
      <c r="AB59" s="3" cm="1">
        <f t="array" aca="1" ref="AB59" ca="1">INDIRECT(ADDRESS(5+2,$B59))</f>
        <v>-5.5700721968142512E-2</v>
      </c>
      <c r="AC59" s="3" cm="1">
        <f t="array" aca="1" ref="AC59" ca="1">INDIRECT(ADDRESS(6+2,$B59))</f>
        <v>0.41697370802352657</v>
      </c>
      <c r="AD59" s="3" cm="1">
        <f t="array" aca="1" ref="AD59" ca="1">INDIRECT(ADDRESS(7+2,$B59))</f>
        <v>0.14037321435050609</v>
      </c>
      <c r="AE59" s="3" cm="1">
        <f t="array" aca="1" ref="AE59" ca="1">INDIRECT(ADDRESS(8+2,$B59))</f>
        <v>9.516658731030779E-2</v>
      </c>
      <c r="AF59" s="3" cm="1">
        <f t="array" aca="1" ref="AF59" ca="1">INDIRECT(ADDRESS(9+2,$B59))</f>
        <v>0.25806451612903225</v>
      </c>
      <c r="AG59" s="3" cm="1">
        <f t="array" aca="1" ref="AG59" ca="1">INDIRECT(ADDRESS(10+2,$B59))</f>
        <v>3.9251085236723597E-2</v>
      </c>
      <c r="AH59" s="3" cm="1">
        <f t="array" aca="1" ref="AH59" ca="1">INDIRECT(ADDRESS(11+2,$B59))</f>
        <v>1.5245833333333332</v>
      </c>
      <c r="AI59" s="3" cm="1">
        <f t="array" aca="1" ref="AI59" ca="1">INDIRECT(ADDRESS(12+2,$B59))</f>
        <v>0.150034005894355</v>
      </c>
      <c r="AJ59" s="3" cm="1">
        <f t="array" aca="1" ref="AJ59" ca="1">INDIRECT(ADDRESS(13+2,$B59))</f>
        <v>0.13689907672715695</v>
      </c>
      <c r="AK59" s="3" cm="1">
        <f t="array" aca="1" ref="AK59" ca="1">INDIRECT(ADDRESS(14+2,$B59))</f>
        <v>0.17691495801449703</v>
      </c>
      <c r="AL59" s="3" cm="1">
        <f t="array" aca="1" ref="AL59" ca="1">INDIRECT(ADDRESS(15+2,$B59))</f>
        <v>0.11408903684477797</v>
      </c>
      <c r="AM59" s="3" cm="1">
        <f t="array" aca="1" ref="AM59" ca="1">INDIRECT(ADDRESS(16+2,$B59))</f>
        <v>0</v>
      </c>
      <c r="AN59" s="3" t="b">
        <f t="shared" ca="1" si="44"/>
        <v>1</v>
      </c>
      <c r="AO59" s="3" t="b">
        <f t="shared" ca="1" si="34"/>
        <v>0</v>
      </c>
      <c r="AP59" s="3" t="b">
        <f t="shared" ca="1" si="35"/>
        <v>0</v>
      </c>
      <c r="AQ59" s="3" t="e">
        <f t="shared" ca="1" si="36"/>
        <v>#N/A</v>
      </c>
      <c r="AR59" s="3" t="b">
        <f t="shared" ca="1" si="37"/>
        <v>0</v>
      </c>
      <c r="AS59" s="3" t="b">
        <f t="shared" ca="1" si="38"/>
        <v>0</v>
      </c>
      <c r="AT59" s="3" t="b">
        <f t="shared" ca="1" si="21"/>
        <v>0</v>
      </c>
      <c r="AU59" s="3" t="b">
        <f t="shared" ca="1" si="22"/>
        <v>0</v>
      </c>
      <c r="AV59" s="3" t="b">
        <f t="shared" ca="1" si="23"/>
        <v>0</v>
      </c>
      <c r="AW59" s="3" t="b">
        <f t="shared" ca="1" si="24"/>
        <v>0</v>
      </c>
      <c r="AX59" s="3" t="b">
        <f t="shared" ca="1" si="25"/>
        <v>0</v>
      </c>
      <c r="AY59" s="3" t="b">
        <f t="shared" ca="1" si="26"/>
        <v>1</v>
      </c>
      <c r="AZ59" s="3" t="b">
        <f t="shared" ca="1" si="27"/>
        <v>0</v>
      </c>
      <c r="BA59" s="3" t="b">
        <f t="shared" ca="1" si="28"/>
        <v>0</v>
      </c>
      <c r="BB59" s="3" t="b">
        <f t="shared" ca="1" si="29"/>
        <v>0</v>
      </c>
      <c r="BC59" s="3" t="b">
        <f t="shared" ca="1" si="30"/>
        <v>0</v>
      </c>
      <c r="BD59" s="3" t="b">
        <f t="shared" ca="1" si="31"/>
        <v>0</v>
      </c>
    </row>
    <row r="60" spans="1:56">
      <c r="A60" s="110" t="s">
        <v>371</v>
      </c>
      <c r="B60" s="103">
        <f t="shared" ref="B60" si="64">MATCH(A60, SKCOLNAMES, 0)</f>
        <v>65</v>
      </c>
      <c r="C60" s="103" t="str">
        <f t="shared" ref="C60:C87" si="65">ADDRESS(2,B60) &amp; ":" &amp; ADDRESS(2+$B$21-1,B60)</f>
        <v>$BM$2:$BM$17</v>
      </c>
      <c r="D60" s="3" cm="1">
        <f t="array" aca="1" ref="D60" ca="1">MIN(_xlfn.IFNA(INDIRECT($C60), ""))</f>
        <v>-3.9148392110046094E-2</v>
      </c>
      <c r="E60" s="3" cm="1">
        <f t="array" aca="1" ref="E60" ca="1">PERCENTILE(_xlfn.IFNA(INDIRECT($C60), ""),E$36)</f>
        <v>1.5426333811945192E-2</v>
      </c>
      <c r="F60" s="3" cm="1">
        <f t="array" aca="1" ref="F60" ca="1">PERCENTILE(_xlfn.IFNA(INDIRECT($C60), ""),F$36)</f>
        <v>6.1516277766901759E-2</v>
      </c>
      <c r="G60" s="3" cm="1">
        <f t="array" aca="1" ref="G60" ca="1">PERCENTILE(_xlfn.IFNA(INDIRECT($C60), ""),G$36)</f>
        <v>9.1223379510046235E-2</v>
      </c>
      <c r="H60" s="3" cm="1">
        <f t="array" aca="1" ref="H60" ca="1">PERCENTILE(_xlfn.IFNA(INDIRECT($C60), ""),H$36)</f>
        <v>0.12316605100130086</v>
      </c>
      <c r="I60" s="3" cm="1">
        <f t="array" aca="1" ref="I60" ca="1">PERCENTILE(_xlfn.IFNA(INDIRECT($C60), ""),I$36)</f>
        <v>0.13145049691594662</v>
      </c>
      <c r="J60" s="3" cm="1">
        <f t="array" aca="1" ref="J60" ca="1">MAX(_xlfn.IFNA(INDIRECT($C60), ""))</f>
        <v>0.18732021631572893</v>
      </c>
      <c r="K60" s="3" cm="1">
        <f t="array" aca="1" ref="K60" ca="1">INDIRECT(ADDRESS($B$22,$B60))</f>
        <v>0.18732021631572893</v>
      </c>
      <c r="L60" s="123" t="s">
        <v>110</v>
      </c>
      <c r="S60" s="3">
        <f t="shared" ca="1" si="40"/>
        <v>6.1649773234399102E-2</v>
      </c>
      <c r="T60" s="3">
        <f t="shared" ca="1" si="41"/>
        <v>9.2474659851598653E-2</v>
      </c>
      <c r="U60" s="3">
        <f t="shared" ca="1" si="42"/>
        <v>-3.0958382084696895E-2</v>
      </c>
      <c r="V60" s="3">
        <f t="shared" ca="1" si="43"/>
        <v>0.21564071085289951</v>
      </c>
      <c r="W60" s="3" cm="1">
        <f t="array" aca="1" ref="W60" ca="1">INDIRECT(ADDRESS(0+2,$B60))</f>
        <v>0.12297313640214447</v>
      </c>
      <c r="X60" s="3" cm="1">
        <f t="array" aca="1" ref="X60" ca="1">INDIRECT(ADDRESS(1+2,$B60))</f>
        <v>0.18732021631572893</v>
      </c>
      <c r="Y60" s="3" cm="1">
        <f t="array" aca="1" ref="Y60" ca="1">INDIRECT(ADDRESS(2+2,$B60))</f>
        <v>7.5996888116948907E-2</v>
      </c>
      <c r="Z60" s="3" cm="1">
        <f t="array" aca="1" ref="Z60" ca="1">INDIRECT(ADDRESS(3+2,$B60))</f>
        <v>0</v>
      </c>
      <c r="AA60" s="3" cm="1">
        <f t="array" aca="1" ref="AA60" ca="1">INDIRECT(ADDRESS(4+2,$B60))</f>
        <v>0.12374479479877004</v>
      </c>
      <c r="AB60" s="3" cm="1">
        <f t="array" aca="1" ref="AB60" ca="1">INDIRECT(ADDRESS(5+2,$B60))</f>
        <v>-3.9148392110046094E-2</v>
      </c>
      <c r="AC60" s="3" cm="1">
        <f t="array" aca="1" ref="AC60" ca="1">INDIRECT(ADDRESS(6+2,$B60))</f>
        <v>0.12815169021072334</v>
      </c>
      <c r="AD60" s="3" cm="1">
        <f t="array" aca="1" ref="AD60" ca="1">INDIRECT(ADDRESS(7+2,$B60))</f>
        <v>8.5964320458759291E-2</v>
      </c>
      <c r="AE60" s="3" cm="1">
        <f t="array" aca="1" ref="AE60" ca="1">INDIRECT(ADDRESS(8+2,$B60))</f>
        <v>9.9923086783745674E-2</v>
      </c>
      <c r="AF60" s="3" cm="1">
        <f t="array" aca="1" ref="AF60" ca="1">INDIRECT(ADDRESS(9+2,$B60))</f>
        <v>6.7696213243071721E-2</v>
      </c>
      <c r="AG60" s="3" cm="1">
        <f t="array" aca="1" ref="AG60" ca="1">INDIRECT(ADDRESS(10+2,$B60))</f>
        <v>7.4303048920973808E-2</v>
      </c>
      <c r="AH60" s="3" cm="1">
        <f t="array" aca="1" ref="AH60" ca="1">INDIRECT(ADDRESS(11+2,$B60))</f>
        <v>9.6482438561333178E-2</v>
      </c>
      <c r="AI60" s="3" cm="1">
        <f t="array" aca="1" ref="AI60" ca="1">INDIRECT(ADDRESS(12+2,$B60))</f>
        <v>0.10474999604298897</v>
      </c>
      <c r="AJ60" s="3" cm="1">
        <f t="array" aca="1" ref="AJ60" ca="1">INDIRECT(ADDRESS(13+2,$B60))</f>
        <v>0.13474930362116991</v>
      </c>
      <c r="AK60" s="3" cm="1">
        <f t="array" aca="1" ref="AK60" ca="1">INDIRECT(ADDRESS(14+2,$B60))</f>
        <v>3.0852667623890384E-2</v>
      </c>
      <c r="AL60" s="3" cm="1">
        <f t="array" aca="1" ref="AL60" ca="1">INDIRECT(ADDRESS(15+2,$B60))</f>
        <v>4.2976471338391886E-2</v>
      </c>
      <c r="AM60" s="3" cm="1">
        <f t="array" aca="1" ref="AM60" ca="1">INDIRECT(ADDRESS(16+2,$B60))</f>
        <v>0</v>
      </c>
      <c r="AN60" s="3" t="b">
        <f t="shared" ca="1" si="44"/>
        <v>0</v>
      </c>
      <c r="AO60" s="3" t="b">
        <f t="shared" ca="1" si="34"/>
        <v>0</v>
      </c>
      <c r="AP60" s="3" t="b">
        <f t="shared" ca="1" si="35"/>
        <v>0</v>
      </c>
      <c r="AQ60" s="3" t="b">
        <f t="shared" ca="1" si="36"/>
        <v>0</v>
      </c>
      <c r="AR60" s="3" t="b">
        <f t="shared" ca="1" si="37"/>
        <v>0</v>
      </c>
      <c r="AS60" s="3" t="b">
        <f t="shared" ca="1" si="38"/>
        <v>1</v>
      </c>
      <c r="AT60" s="3" t="b">
        <f t="shared" ca="1" si="21"/>
        <v>0</v>
      </c>
      <c r="AU60" s="3" t="b">
        <f t="shared" ca="1" si="22"/>
        <v>0</v>
      </c>
      <c r="AV60" s="3" t="b">
        <f t="shared" ca="1" si="23"/>
        <v>0</v>
      </c>
      <c r="AW60" s="3" t="b">
        <f t="shared" ca="1" si="24"/>
        <v>0</v>
      </c>
      <c r="AX60" s="3" t="b">
        <f t="shared" ca="1" si="25"/>
        <v>0</v>
      </c>
      <c r="AY60" s="3" t="b">
        <f t="shared" ca="1" si="26"/>
        <v>0</v>
      </c>
      <c r="AZ60" s="3" t="b">
        <f t="shared" ca="1" si="27"/>
        <v>0</v>
      </c>
      <c r="BA60" s="3" t="b">
        <f t="shared" ca="1" si="28"/>
        <v>0</v>
      </c>
      <c r="BB60" s="3" t="b">
        <f t="shared" ca="1" si="29"/>
        <v>0</v>
      </c>
      <c r="BC60" s="3" t="b">
        <f t="shared" ca="1" si="30"/>
        <v>0</v>
      </c>
      <c r="BD60" s="3" t="b">
        <f t="shared" ca="1" si="31"/>
        <v>0</v>
      </c>
    </row>
    <row r="61" spans="1:56">
      <c r="A61" s="110" t="s">
        <v>251</v>
      </c>
      <c r="B61" s="103">
        <f t="shared" ref="B61" si="66">MATCH(A61, SKCOLNAMES, 0)</f>
        <v>134</v>
      </c>
      <c r="C61" s="103" t="str">
        <f t="shared" si="65"/>
        <v>$ED$2:$ED$17</v>
      </c>
      <c r="D61" s="3" cm="1">
        <f t="array" aca="1" ref="D61" ca="1">MIN(_xlfn.IFNA(INDIRECT($C61), ""))</f>
        <v>-2.7237897797510402E-2</v>
      </c>
      <c r="E61" s="3" cm="1">
        <f t="array" aca="1" ref="E61" ca="1">PERCENTILE(_xlfn.IFNA(INDIRECT($C61), ""),E$36)</f>
        <v>2.5361702939707222E-2</v>
      </c>
      <c r="F61" s="3" cm="1">
        <f t="array" aca="1" ref="F61" ca="1">PERCENTILE(_xlfn.IFNA(INDIRECT($C61), ""),F$36)</f>
        <v>9.6153973498717904E-2</v>
      </c>
      <c r="G61" s="3" cm="1">
        <f t="array" aca="1" ref="G61" ca="1">PERCENTILE(_xlfn.IFNA(INDIRECT($C61), ""),G$36)</f>
        <v>0.15260800048946005</v>
      </c>
      <c r="H61" s="3" cm="1">
        <f t="array" aca="1" ref="H61" ca="1">PERCENTILE(_xlfn.IFNA(INDIRECT($C61), ""),H$36)</f>
        <v>0.15947431915830848</v>
      </c>
      <c r="I61" s="3" cm="1">
        <f t="array" aca="1" ref="I61" ca="1">PERCENTILE(_xlfn.IFNA(INDIRECT($C61), ""),I$36)</f>
        <v>0.21225378945827425</v>
      </c>
      <c r="J61" s="3" cm="1">
        <f t="array" aca="1" ref="J61" ca="1">MAX(_xlfn.IFNA(INDIRECT($C61), ""))</f>
        <v>0.51674728816246152</v>
      </c>
      <c r="K61" s="3" cm="1">
        <f t="array" aca="1" ref="K61" ca="1">INDIRECT(ADDRESS($B$22,$B61))</f>
        <v>0.24703716488321251</v>
      </c>
      <c r="L61" s="123" t="s">
        <v>251</v>
      </c>
      <c r="S61" s="3">
        <f t="shared" ca="1" si="40"/>
        <v>6.3320345659590577E-2</v>
      </c>
      <c r="T61" s="3">
        <f t="shared" ca="1" si="41"/>
        <v>9.4980518489385865E-2</v>
      </c>
      <c r="U61" s="3">
        <f t="shared" ca="1" si="42"/>
        <v>1.1734550093320389E-3</v>
      </c>
      <c r="V61" s="3">
        <f t="shared" ca="1" si="43"/>
        <v>0.25445483764769433</v>
      </c>
      <c r="W61" s="3" cm="1">
        <f t="array" aca="1" ref="W61" ca="1">INDIRECT(ADDRESS(0+2,$B61))</f>
        <v>0.51674728816246152</v>
      </c>
      <c r="X61" s="3" cm="1">
        <f t="array" aca="1" ref="X61" ca="1">INDIRECT(ADDRESS(1+2,$B61))</f>
        <v>0.24703716488321251</v>
      </c>
      <c r="Y61" s="3" cm="1">
        <f t="array" aca="1" ref="Y61" ca="1">INDIRECT(ADDRESS(2+2,$B61))</f>
        <v>0.13827073382544508</v>
      </c>
      <c r="Z61" s="3" cm="1">
        <f t="array" aca="1" ref="Z61" ca="1">INDIRECT(ADDRESS(3+2,$B61))</f>
        <v>0</v>
      </c>
      <c r="AA61" s="3" cm="1">
        <f t="array" aca="1" ref="AA61" ca="1">INDIRECT(ADDRESS(4+2,$B61))</f>
        <v>0.17747041403333599</v>
      </c>
      <c r="AB61" s="3" cm="1">
        <f t="array" aca="1" ref="AB61" ca="1">INDIRECT(ADDRESS(5+2,$B61))</f>
        <v>-2.7237897797510402E-2</v>
      </c>
      <c r="AC61" s="3" cm="1">
        <f t="array" aca="1" ref="AC61" ca="1">INDIRECT(ADDRESS(6+2,$B61))</f>
        <v>0.17030337841505674</v>
      </c>
      <c r="AD61" s="3" cm="1">
        <f t="array" aca="1" ref="AD61" ca="1">INDIRECT(ADDRESS(7+2,$B61))</f>
        <v>0.10780103860914306</v>
      </c>
      <c r="AE61" s="3" cm="1">
        <f t="array" aca="1" ref="AE61" ca="1">INDIRECT(ADDRESS(8+2,$B61))</f>
        <v>0.15586463273939238</v>
      </c>
      <c r="AF61" s="3" cm="1">
        <f t="array" aca="1" ref="AF61" ca="1">INDIRECT(ADDRESS(9+2,$B61))</f>
        <v>0.11035893096396587</v>
      </c>
      <c r="AG61" s="3" cm="1">
        <f t="array" aca="1" ref="AG61" ca="1">INDIRECT(ADDRESS(10+2,$B61))</f>
        <v>0.15451962214883649</v>
      </c>
      <c r="AH61" s="3" cm="1">
        <f t="array" aca="1" ref="AH61" ca="1">INDIRECT(ADDRESS(11+2,$B61))</f>
        <v>0.15457230249973633</v>
      </c>
      <c r="AI61" s="3" cm="1">
        <f t="array" aca="1" ref="AI61" ca="1">INDIRECT(ADDRESS(12+2,$B61))</f>
        <v>0.15581126640181073</v>
      </c>
      <c r="AJ61" s="3" cm="1">
        <f t="array" aca="1" ref="AJ61" ca="1">INDIRECT(ADDRESS(13+2,$B61))</f>
        <v>0.15069637883008358</v>
      </c>
      <c r="AK61" s="3" cm="1">
        <f t="array" aca="1" ref="AK61" ca="1">INDIRECT(ADDRESS(14+2,$B61))</f>
        <v>5.0723405879414443E-2</v>
      </c>
      <c r="AL61" s="3" cm="1">
        <f t="array" aca="1" ref="AL61" ca="1">INDIRECT(ADDRESS(15+2,$B61))</f>
        <v>6.1212778167442451E-2</v>
      </c>
      <c r="AM61" s="3" cm="1">
        <f t="array" aca="1" ref="AM61" ca="1">INDIRECT(ADDRESS(16+2,$B61))</f>
        <v>0</v>
      </c>
      <c r="AN61" s="3" t="b">
        <f t="shared" ca="1" si="44"/>
        <v>1</v>
      </c>
      <c r="AO61" s="3" t="b">
        <f t="shared" ca="1" si="34"/>
        <v>0</v>
      </c>
      <c r="AP61" s="3" t="b">
        <f t="shared" ca="1" si="35"/>
        <v>0</v>
      </c>
      <c r="AQ61" s="3" t="b">
        <f t="shared" ca="1" si="36"/>
        <v>1</v>
      </c>
      <c r="AR61" s="3" t="b">
        <f t="shared" ca="1" si="37"/>
        <v>0</v>
      </c>
      <c r="AS61" s="3" t="b">
        <f t="shared" ca="1" si="38"/>
        <v>1</v>
      </c>
      <c r="AT61" s="3" t="b">
        <f t="shared" ca="1" si="21"/>
        <v>0</v>
      </c>
      <c r="AU61" s="3" t="b">
        <f t="shared" ca="1" si="22"/>
        <v>0</v>
      </c>
      <c r="AV61" s="3" t="b">
        <f t="shared" ca="1" si="23"/>
        <v>0</v>
      </c>
      <c r="AW61" s="3" t="b">
        <f t="shared" ca="1" si="24"/>
        <v>0</v>
      </c>
      <c r="AX61" s="3" t="b">
        <f t="shared" ca="1" si="25"/>
        <v>0</v>
      </c>
      <c r="AY61" s="3" t="b">
        <f t="shared" ca="1" si="26"/>
        <v>0</v>
      </c>
      <c r="AZ61" s="3" t="b">
        <f t="shared" ca="1" si="27"/>
        <v>0</v>
      </c>
      <c r="BA61" s="3" t="b">
        <f t="shared" ca="1" si="28"/>
        <v>0</v>
      </c>
      <c r="BB61" s="3" t="b">
        <f t="shared" ca="1" si="29"/>
        <v>0</v>
      </c>
      <c r="BC61" s="3" t="b">
        <f t="shared" ca="1" si="30"/>
        <v>0</v>
      </c>
      <c r="BD61" s="3" t="b">
        <f t="shared" ca="1" si="31"/>
        <v>0</v>
      </c>
    </row>
    <row r="62" spans="1:56">
      <c r="A62" s="110" t="s">
        <v>374</v>
      </c>
      <c r="B62" s="103">
        <f t="shared" ref="B62" si="67">MATCH(A62, SKCOLNAMES, 0)</f>
        <v>68</v>
      </c>
      <c r="C62" s="103" t="str">
        <f t="shared" si="65"/>
        <v>$BP$2:$BP$17</v>
      </c>
      <c r="D62" s="3" cm="1">
        <f t="array" aca="1" ref="D62" ca="1">MIN(_xlfn.IFNA(INDIRECT($C62), ""))</f>
        <v>-2.5563274862779716E-2</v>
      </c>
      <c r="E62" s="3" cm="1">
        <f t="array" aca="1" ref="E62" ca="1">PERCENTILE(_xlfn.IFNA(INDIRECT($C62), ""),E$36)</f>
        <v>5.1655142250390564E-2</v>
      </c>
      <c r="F62" s="3" cm="1">
        <f t="array" aca="1" ref="F62" ca="1">PERCENTILE(_xlfn.IFNA(INDIRECT($C62), ""),F$36)</f>
        <v>7.0089295089446307E-2</v>
      </c>
      <c r="G62" s="3" cm="1">
        <f t="array" aca="1" ref="G62" ca="1">PERCENTILE(_xlfn.IFNA(INDIRECT($C62), ""),G$36)</f>
        <v>8.4095788215350145E-2</v>
      </c>
      <c r="H62" s="3" cm="1">
        <f t="array" aca="1" ref="H62" ca="1">PERCENTILE(_xlfn.IFNA(INDIRECT($C62), ""),H$36)</f>
        <v>0.11363739054048318</v>
      </c>
      <c r="I62" s="3" cm="1">
        <f t="array" aca="1" ref="I62" ca="1">PERCENTILE(_xlfn.IFNA(INDIRECT($C62), ""),I$36)</f>
        <v>0.16281660652729027</v>
      </c>
      <c r="J62" s="3" cm="1">
        <f t="array" aca="1" ref="J62" ca="1">MAX(_xlfn.IFNA(INDIRECT($C62), ""))</f>
        <v>0.44686508457886537</v>
      </c>
      <c r="K62" s="3" cm="1">
        <f t="array" aca="1" ref="K62" ca="1">INDIRECT(ADDRESS($B$22,$B62))</f>
        <v>0.17353701907533139</v>
      </c>
      <c r="L62" s="123" t="s">
        <v>111</v>
      </c>
      <c r="S62" s="3">
        <f t="shared" ca="1" si="40"/>
        <v>4.354809545103687E-2</v>
      </c>
      <c r="T62" s="3">
        <f t="shared" ca="1" si="41"/>
        <v>6.5322143176555297E-2</v>
      </c>
      <c r="U62" s="3">
        <f t="shared" ca="1" si="42"/>
        <v>4.76715191289101E-3</v>
      </c>
      <c r="V62" s="3">
        <f t="shared" ca="1" si="43"/>
        <v>0.17895953371703849</v>
      </c>
      <c r="W62" s="3" cm="1">
        <f t="array" aca="1" ref="W62" ca="1">INDIRECT(ADDRESS(0+2,$B62))</f>
        <v>0.44686508457886537</v>
      </c>
      <c r="X62" s="3" cm="1">
        <f t="array" aca="1" ref="X62" ca="1">INDIRECT(ADDRESS(1+2,$B62))</f>
        <v>0.17353701907533139</v>
      </c>
      <c r="Y62" s="3" cm="1">
        <f t="array" aca="1" ref="Y62" ca="1">INDIRECT(ADDRESS(2+2,$B62))</f>
        <v>6.8530308464849352E-2</v>
      </c>
      <c r="Z62" s="3" t="e" cm="1">
        <f t="array" aca="1" ref="Z62" ca="1">INDIRECT(ADDRESS(3+2,$B62))</f>
        <v>#N/A</v>
      </c>
      <c r="AA62" s="3" cm="1">
        <f t="array" aca="1" ref="AA62" ca="1">INDIRECT(ADDRESS(4+2,$B62))</f>
        <v>0.10154284619904111</v>
      </c>
      <c r="AB62" s="3" cm="1">
        <f t="array" aca="1" ref="AB62" ca="1">INDIRECT(ADDRESS(5+2,$B62))</f>
        <v>-2.5563274862779716E-2</v>
      </c>
      <c r="AC62" s="3" cm="1">
        <f t="array" aca="1" ref="AC62" ca="1">INDIRECT(ADDRESS(6+2,$B62))</f>
        <v>0.14673598770522858</v>
      </c>
      <c r="AD62" s="3" cm="1">
        <f t="array" aca="1" ref="AD62" ca="1">INDIRECT(ADDRESS(7+2,$B62))</f>
        <v>9.6677000099792632E-2</v>
      </c>
      <c r="AE62" s="3" cm="1">
        <f t="array" aca="1" ref="AE62" ca="1">INDIRECT(ADDRESS(8+2,$B62))</f>
        <v>7.1648281714043277E-2</v>
      </c>
      <c r="AF62" s="3" cm="1">
        <f t="array" aca="1" ref="AF62" ca="1">INDIRECT(ADDRESS(9+2,$B62))</f>
        <v>8.6093079546704809E-2</v>
      </c>
      <c r="AG62" s="3" cm="1">
        <f t="array" aca="1" ref="AG62" ca="1">INDIRECT(ADDRESS(10+2,$B62))</f>
        <v>4.3086279632524573E-2</v>
      </c>
      <c r="AH62" s="3" cm="1">
        <f t="array" aca="1" ref="AH62" ca="1">INDIRECT(ADDRESS(11+2,$B62))</f>
        <v>0.12573193488192524</v>
      </c>
      <c r="AI62" s="3" cm="1">
        <f t="array" aca="1" ref="AI62" ca="1">INDIRECT(ADDRESS(12+2,$B62))</f>
        <v>7.627578298129524E-2</v>
      </c>
      <c r="AJ62" s="3" cm="1">
        <f t="array" aca="1" ref="AJ62" ca="1">INDIRECT(ADDRESS(13+2,$B62))</f>
        <v>6.4508436177189529E-2</v>
      </c>
      <c r="AK62" s="3" cm="1">
        <f t="array" aca="1" ref="AK62" ca="1">INDIRECT(ADDRESS(14+2,$B62))</f>
        <v>8.4095788215350145E-2</v>
      </c>
      <c r="AL62" s="3" cm="1">
        <f t="array" aca="1" ref="AL62" ca="1">INDIRECT(ADDRESS(15+2,$B62))</f>
        <v>7.9319177063537971E-2</v>
      </c>
      <c r="AM62" s="3" cm="1">
        <f t="array" aca="1" ref="AM62" ca="1">INDIRECT(ADDRESS(16+2,$B62))</f>
        <v>0</v>
      </c>
      <c r="AN62" s="3" t="b">
        <f t="shared" ca="1" si="44"/>
        <v>1</v>
      </c>
      <c r="AO62" s="3" t="b">
        <f t="shared" ca="1" si="34"/>
        <v>0</v>
      </c>
      <c r="AP62" s="3" t="b">
        <f t="shared" ca="1" si="35"/>
        <v>0</v>
      </c>
      <c r="AQ62" s="3" t="e">
        <f t="shared" ca="1" si="36"/>
        <v>#N/A</v>
      </c>
      <c r="AR62" s="3" t="b">
        <f t="shared" ca="1" si="37"/>
        <v>0</v>
      </c>
      <c r="AS62" s="3" t="b">
        <f t="shared" ca="1" si="38"/>
        <v>1</v>
      </c>
      <c r="AT62" s="3" t="b">
        <f t="shared" ca="1" si="21"/>
        <v>0</v>
      </c>
      <c r="AU62" s="3" t="b">
        <f t="shared" ca="1" si="22"/>
        <v>0</v>
      </c>
      <c r="AV62" s="3" t="b">
        <f t="shared" ca="1" si="23"/>
        <v>0</v>
      </c>
      <c r="AW62" s="3" t="b">
        <f t="shared" ca="1" si="24"/>
        <v>0</v>
      </c>
      <c r="AX62" s="3" t="b">
        <f t="shared" ca="1" si="25"/>
        <v>0</v>
      </c>
      <c r="AY62" s="3" t="b">
        <f t="shared" ca="1" si="26"/>
        <v>0</v>
      </c>
      <c r="AZ62" s="3" t="b">
        <f t="shared" ca="1" si="27"/>
        <v>0</v>
      </c>
      <c r="BA62" s="3" t="b">
        <f t="shared" ca="1" si="28"/>
        <v>0</v>
      </c>
      <c r="BB62" s="3" t="b">
        <f t="shared" ca="1" si="29"/>
        <v>0</v>
      </c>
      <c r="BC62" s="3" t="b">
        <f t="shared" ca="1" si="30"/>
        <v>0</v>
      </c>
      <c r="BD62" s="3" t="b">
        <f t="shared" ca="1" si="31"/>
        <v>0</v>
      </c>
    </row>
    <row r="63" spans="1:56">
      <c r="A63" s="110" t="s">
        <v>180</v>
      </c>
      <c r="B63" s="103">
        <f t="shared" ref="B63" si="68">MATCH(A63, SKCOLNAMES, 0)</f>
        <v>13</v>
      </c>
      <c r="C63" s="103" t="str">
        <f t="shared" si="65"/>
        <v>$M$2:$M$17</v>
      </c>
      <c r="D63" s="3" cm="1">
        <f t="array" aca="1" ref="D63" ca="1">MIN(_xlfn.IFNA(INDIRECT($C63), ""))</f>
        <v>4.5271950519670999E-2</v>
      </c>
      <c r="E63" s="3" cm="1">
        <f t="array" aca="1" ref="E63" ca="1">PERCENTILE(_xlfn.IFNA(INDIRECT($C63), ""),E$36)</f>
        <v>7.6332856139757155E-2</v>
      </c>
      <c r="F63" s="3" cm="1">
        <f t="array" aca="1" ref="F63" ca="1">PERCENTILE(_xlfn.IFNA(INDIRECT($C63), ""),F$36)</f>
        <v>0.13238178269948037</v>
      </c>
      <c r="G63" s="3" cm="1">
        <f t="array" aca="1" ref="G63" ca="1">PERCENTILE(_xlfn.IFNA(INDIRECT($C63), ""),G$36)</f>
        <v>0.17966476874563631</v>
      </c>
      <c r="H63" s="3" cm="1">
        <f t="array" aca="1" ref="H63" ca="1">PERCENTILE(_xlfn.IFNA(INDIRECT($C63), ""),H$36)</f>
        <v>0.20490943264672773</v>
      </c>
      <c r="I63" s="3" cm="1">
        <f t="array" aca="1" ref="I63" ca="1">PERCENTILE(_xlfn.IFNA(INDIRECT($C63), ""),I$36)</f>
        <v>0.22266218504739149</v>
      </c>
      <c r="J63" s="3" cm="1">
        <f t="array" aca="1" ref="J63" ca="1">MAX(_xlfn.IFNA(INDIRECT($C63), ""))</f>
        <v>0.32261636413967654</v>
      </c>
      <c r="K63" s="3" cm="1">
        <f t="array" aca="1" ref="K63" ca="1">INDIRECT(ADDRESS($B$22,$B63))</f>
        <v>0.18053158439765274</v>
      </c>
      <c r="L63" s="123" t="s">
        <v>180</v>
      </c>
      <c r="M63" s="90" cm="1">
        <f t="array" aca="1" ref="M63" ca="1">_xlfn.IFS(K63&lt;=D63,0,K63&lt;=E63,0.1,K63&lt;=F63,0.25,K63&gt;=J63,1,K63&gt;=I63,0.9,K63&gt;=H63,0.75,TRUE,0.5)</f>
        <v>0.5</v>
      </c>
      <c r="N63" s="41" cm="1">
        <f t="array" aca="1" ref="N63" ca="1">_xlfn.IFS(K63&lt;=F63,0,K63&lt;=G63,1,K63&lt;=H63,2,TRUE,3)</f>
        <v>2</v>
      </c>
      <c r="O63" s="3" t="b">
        <v>0</v>
      </c>
      <c r="P63" s="90">
        <f ca="1">IF(O63,1-M63, M63)</f>
        <v>0.5</v>
      </c>
      <c r="Q63" s="3">
        <f ca="1">IF(O63,3-N63,N63)</f>
        <v>2</v>
      </c>
      <c r="S63" s="3">
        <f t="shared" ca="1" si="40"/>
        <v>7.2527649947247363E-2</v>
      </c>
      <c r="T63" s="3">
        <f t="shared" ca="1" si="41"/>
        <v>0.10879147492087105</v>
      </c>
      <c r="U63" s="3">
        <f t="shared" ca="1" si="42"/>
        <v>2.3590307778609321E-2</v>
      </c>
      <c r="V63" s="3">
        <f t="shared" ca="1" si="43"/>
        <v>0.31370090756759877</v>
      </c>
      <c r="W63" s="3" cm="1">
        <f t="array" aca="1" ref="W63" ca="1">INDIRECT(ADDRESS(0+2,$B63))</f>
        <v>0.152128055784988</v>
      </c>
      <c r="X63" s="3" cm="1">
        <f t="array" aca="1" ref="X63" ca="1">INDIRECT(ADDRESS(1+2,$B63))</f>
        <v>0.18053158439765274</v>
      </c>
      <c r="Y63" s="3" cm="1">
        <f t="array" aca="1" ref="Y63" ca="1">INDIRECT(ADDRESS(2+2,$B63))</f>
        <v>0.14677413518598931</v>
      </c>
      <c r="Z63" s="3" cm="1">
        <f t="array" aca="1" ref="Z63" ca="1">INDIRECT(ADDRESS(3+2,$B63))</f>
        <v>0.32261636413967654</v>
      </c>
      <c r="AA63" s="3" cm="1">
        <f t="array" aca="1" ref="AA63" ca="1">INDIRECT(ADDRESS(4+2,$B63))</f>
        <v>0.17879795309361987</v>
      </c>
      <c r="AB63" s="3" cm="1">
        <f t="array" aca="1" ref="AB63" ca="1">INDIRECT(ADDRESS(5+2,$B63))</f>
        <v>0.15793150893688748</v>
      </c>
      <c r="AC63" s="3" cm="1">
        <f t="array" aca="1" ref="AC63" ca="1">INDIRECT(ADDRESS(6+2,$B63))</f>
        <v>0.223082802485293</v>
      </c>
      <c r="AD63" s="3" cm="1">
        <f t="array" aca="1" ref="AD63" ca="1">INDIRECT(ADDRESS(7+2,$B63))</f>
        <v>7.4921556281913104E-2</v>
      </c>
      <c r="AE63" s="3" cm="1">
        <f t="array" aca="1" ref="AE63" ca="1">INDIRECT(ADDRESS(8+2,$B63))</f>
        <v>0.18898859120625561</v>
      </c>
      <c r="AF63" s="3" cm="1">
        <f t="array" aca="1" ref="AF63" ca="1">INDIRECT(ADDRESS(9+2,$B63))</f>
        <v>0.19801142373598499</v>
      </c>
      <c r="AG63" s="3" cm="1">
        <f t="array" aca="1" ref="AG63" ca="1">INDIRECT(ADDRESS(10+2,$B63))</f>
        <v>0.20052223331541399</v>
      </c>
      <c r="AH63" s="3" cm="1">
        <f t="array" aca="1" ref="AH63" ca="1">INDIRECT(ADDRESS(11+2,$B63))</f>
        <v>8.9204725239953597E-2</v>
      </c>
      <c r="AI63" s="3" cm="1">
        <f t="array" aca="1" ref="AI63" ca="1">INDIRECT(ADDRESS(12+2,$B63))</f>
        <v>0.22224156760948999</v>
      </c>
      <c r="AJ63" s="3" cm="1">
        <f t="array" aca="1" ref="AJ63" ca="1">INDIRECT(ADDRESS(13+2,$B63))</f>
        <v>0.21807103064066899</v>
      </c>
      <c r="AK63" s="3" cm="1">
        <f t="array" aca="1" ref="AK63" ca="1">INDIRECT(ADDRESS(14+2,$B63))</f>
        <v>7.7744155997601205E-2</v>
      </c>
      <c r="AL63" s="3" cm="1">
        <f t="array" aca="1" ref="AL63" ca="1">INDIRECT(ADDRESS(15+2,$B63))</f>
        <v>4.5271950519670999E-2</v>
      </c>
      <c r="AM63" s="3" cm="1">
        <f t="array" aca="1" ref="AM63" ca="1">INDIRECT(ADDRESS(16+2,$B63))</f>
        <v>0</v>
      </c>
      <c r="AN63" s="3" t="b">
        <f t="shared" ca="1" si="44"/>
        <v>0</v>
      </c>
      <c r="AO63" s="3" t="b">
        <f t="shared" ca="1" si="34"/>
        <v>0</v>
      </c>
      <c r="AP63" s="3" t="b">
        <f t="shared" ca="1" si="35"/>
        <v>0</v>
      </c>
      <c r="AQ63" s="3" t="b">
        <f t="shared" ca="1" si="36"/>
        <v>1</v>
      </c>
      <c r="AR63" s="3" t="b">
        <f t="shared" ca="1" si="37"/>
        <v>0</v>
      </c>
      <c r="AS63" s="3" t="b">
        <f t="shared" ca="1" si="38"/>
        <v>0</v>
      </c>
      <c r="AT63" s="3" t="b">
        <f t="shared" ca="1" si="21"/>
        <v>0</v>
      </c>
      <c r="AU63" s="3" t="b">
        <f t="shared" ca="1" si="22"/>
        <v>0</v>
      </c>
      <c r="AV63" s="3" t="b">
        <f t="shared" ca="1" si="23"/>
        <v>0</v>
      </c>
      <c r="AW63" s="3" t="b">
        <f t="shared" ca="1" si="24"/>
        <v>0</v>
      </c>
      <c r="AX63" s="3" t="b">
        <f t="shared" ca="1" si="25"/>
        <v>0</v>
      </c>
      <c r="AY63" s="3" t="b">
        <f t="shared" ca="1" si="26"/>
        <v>0</v>
      </c>
      <c r="AZ63" s="3" t="b">
        <f t="shared" ca="1" si="27"/>
        <v>0</v>
      </c>
      <c r="BA63" s="3" t="b">
        <f t="shared" ca="1" si="28"/>
        <v>0</v>
      </c>
      <c r="BB63" s="3" t="b">
        <f t="shared" ca="1" si="29"/>
        <v>0</v>
      </c>
      <c r="BC63" s="3" t="b">
        <f t="shared" ca="1" si="30"/>
        <v>0</v>
      </c>
      <c r="BD63" s="3" t="b">
        <f t="shared" ca="1" si="31"/>
        <v>0</v>
      </c>
    </row>
    <row r="64" spans="1:56">
      <c r="A64" s="110" t="s">
        <v>403</v>
      </c>
      <c r="B64" s="103">
        <f t="shared" ref="B64" si="69">MATCH(A64, SKCOLNAMES, 0)</f>
        <v>100</v>
      </c>
      <c r="C64" s="103" t="str">
        <f t="shared" si="65"/>
        <v>$CV$2:$CV$17</v>
      </c>
      <c r="D64" s="3" cm="1">
        <f t="array" aca="1" ref="D64" ca="1">MIN(_xlfn.IFNA(INDIRECT($C64), ""))</f>
        <v>0.51601671984560327</v>
      </c>
      <c r="E64" s="3" cm="1">
        <f t="array" aca="1" ref="E64" ca="1">PERCENTILE(_xlfn.IFNA(INDIRECT($C64), ""),E$36)</f>
        <v>0.84855948213908805</v>
      </c>
      <c r="F64" s="3" cm="1">
        <f t="array" aca="1" ref="F64" ca="1">PERCENTILE(_xlfn.IFNA(INDIRECT($C64), ""),F$36)</f>
        <v>1.0565812488678108</v>
      </c>
      <c r="G64" s="3" cm="1">
        <f t="array" aca="1" ref="G64" ca="1">PERCENTILE(_xlfn.IFNA(INDIRECT($C64), ""),G$36)</f>
        <v>1.9225345726592609</v>
      </c>
      <c r="H64" s="3" cm="1">
        <f t="array" aca="1" ref="H64" ca="1">PERCENTILE(_xlfn.IFNA(INDIRECT($C64), ""),H$36)</f>
        <v>3.2649167384515709</v>
      </c>
      <c r="I64" s="3" cm="1">
        <f t="array" aca="1" ref="I64" ca="1">PERCENTILE(_xlfn.IFNA(INDIRECT($C64), ""),I$36)</f>
        <v>4.8677753911738462</v>
      </c>
      <c r="J64" s="3" cm="1">
        <f t="array" aca="1" ref="J64" ca="1">MAX(_xlfn.IFNA(INDIRECT($C64), ""))</f>
        <v>18.42625</v>
      </c>
      <c r="K64" s="3" cm="1">
        <f t="array" aca="1" ref="K64" ca="1">INDIRECT(ADDRESS($B$22,$B64))</f>
        <v>3.8248146703082324</v>
      </c>
      <c r="L64" s="123" t="s">
        <v>122</v>
      </c>
      <c r="M64" s="90" cm="1">
        <f t="array" aca="1" ref="M64" ca="1">_xlfn.IFS(K64&lt;=D64,0,K64&lt;=E64,0.1,K64&lt;=F64,0.25,K64&gt;=J64,1,K64&gt;=I64,0.9,K64&gt;=H64,0.75,TRUE,0.5)</f>
        <v>0.75</v>
      </c>
      <c r="N64" s="41" cm="1">
        <f t="array" aca="1" ref="N64" ca="1">_xlfn.IFS(K64&lt;=F64,0,K64&lt;=G64,1,K64&lt;=H64,2,TRUE,3)</f>
        <v>3</v>
      </c>
      <c r="O64" s="3" t="b">
        <v>0</v>
      </c>
      <c r="P64" s="90">
        <f ca="1">IF(O64,1-M64, M64)</f>
        <v>0.75</v>
      </c>
      <c r="Q64" s="3">
        <f ca="1">IF(O64,3-N64,N64)</f>
        <v>3</v>
      </c>
      <c r="S64" s="3">
        <f t="shared" ca="1" si="40"/>
        <v>2.2083354895837601</v>
      </c>
      <c r="T64" s="3">
        <f t="shared" ca="1" si="41"/>
        <v>3.3125032343756402</v>
      </c>
      <c r="U64" s="3">
        <f t="shared" ca="1" si="42"/>
        <v>-2.2559219855078294</v>
      </c>
      <c r="V64" s="3">
        <f t="shared" ca="1" si="43"/>
        <v>6.5774199728272116</v>
      </c>
      <c r="W64" s="3" cm="1">
        <f t="array" aca="1" ref="W64" ca="1">INDIRECT(ADDRESS(0+2,$B64))</f>
        <v>5.5630825384175893</v>
      </c>
      <c r="X64" s="3" cm="1">
        <f t="array" aca="1" ref="X64" ca="1">INDIRECT(ADDRESS(1+2,$B64))</f>
        <v>3.8248146703082324</v>
      </c>
      <c r="Y64" s="3" cm="1">
        <f t="array" aca="1" ref="Y64" ca="1">INDIRECT(ADDRESS(2+2,$B64))</f>
        <v>1.8223867142367414</v>
      </c>
      <c r="Z64" s="3" t="e" cm="1">
        <f t="array" aca="1" ref="Z64" ca="1">INDIRECT(ADDRESS(3+2,$B64))</f>
        <v>#N/A</v>
      </c>
      <c r="AA64" s="3" cm="1">
        <f t="array" aca="1" ref="AA64" ca="1">INDIRECT(ADDRESS(4+2,$B64))</f>
        <v>2.7191909164236518</v>
      </c>
      <c r="AB64" s="3" cm="1">
        <f t="array" aca="1" ref="AB64" ca="1">INDIRECT(ADDRESS(5+2,$B64))</f>
        <v>0.51601671984560327</v>
      </c>
      <c r="AC64" s="3" cm="1">
        <f t="array" aca="1" ref="AC64" ca="1">INDIRECT(ADDRESS(6+2,$B64))</f>
        <v>2.776338853247228</v>
      </c>
      <c r="AD64" s="3" cm="1">
        <f t="array" aca="1" ref="AD64" ca="1">INDIRECT(ADDRESS(7+2,$B64))</f>
        <v>0.8200293909993901</v>
      </c>
      <c r="AE64" s="3" cm="1">
        <f t="array" aca="1" ref="AE64" ca="1">INDIRECT(ADDRESS(8+2,$B64))</f>
        <v>1.0718602351389959</v>
      </c>
      <c r="AF64" s="3" cm="1">
        <f t="array" aca="1" ref="AF64" ca="1">INDIRECT(ADDRESS(9+2,$B64))</f>
        <v>3.7534946236559139</v>
      </c>
      <c r="AG64" s="3" cm="1">
        <f t="array" aca="1" ref="AG64" ca="1">INDIRECT(ADDRESS(10+2,$B64))</f>
        <v>0.89135461884863487</v>
      </c>
      <c r="AH64" s="3" cm="1">
        <f t="array" aca="1" ref="AH64" ca="1">INDIRECT(ADDRESS(11+2,$B64))</f>
        <v>18.42625</v>
      </c>
      <c r="AI64" s="3" cm="1">
        <f t="array" aca="1" ref="AI64" ca="1">INDIRECT(ADDRESS(12+2,$B64))</f>
        <v>1.9225345726592609</v>
      </c>
      <c r="AJ64" s="3" cm="1">
        <f t="array" aca="1" ref="AJ64" ca="1">INDIRECT(ADDRESS(13+2,$B64))</f>
        <v>1.3714316035232941</v>
      </c>
      <c r="AK64" s="3" cm="1">
        <f t="array" aca="1" ref="AK64" ca="1">INDIRECT(ADDRESS(14+2,$B64))</f>
        <v>2.4540452760488614</v>
      </c>
      <c r="AL64" s="3" cm="1">
        <f t="array" aca="1" ref="AL64" ca="1">INDIRECT(ADDRESS(15+2,$B64))</f>
        <v>1.0413022625966259</v>
      </c>
      <c r="AM64" s="3" cm="1">
        <f t="array" aca="1" ref="AM64" ca="1">INDIRECT(ADDRESS(16+2,$B64))</f>
        <v>0</v>
      </c>
      <c r="AN64" s="3" t="b">
        <f t="shared" ca="1" si="44"/>
        <v>0</v>
      </c>
      <c r="AO64" s="3" t="b">
        <f t="shared" ca="1" si="34"/>
        <v>0</v>
      </c>
      <c r="AP64" s="3" t="b">
        <f t="shared" ca="1" si="35"/>
        <v>0</v>
      </c>
      <c r="AQ64" s="3" t="e">
        <f t="shared" ca="1" si="36"/>
        <v>#N/A</v>
      </c>
      <c r="AR64" s="3" t="b">
        <f t="shared" ca="1" si="37"/>
        <v>0</v>
      </c>
      <c r="AS64" s="3" t="b">
        <f t="shared" ca="1" si="38"/>
        <v>0</v>
      </c>
      <c r="AT64" s="3" t="b">
        <f t="shared" ca="1" si="21"/>
        <v>0</v>
      </c>
      <c r="AU64" s="3" t="b">
        <f t="shared" ca="1" si="22"/>
        <v>0</v>
      </c>
      <c r="AV64" s="3" t="b">
        <f t="shared" ca="1" si="23"/>
        <v>0</v>
      </c>
      <c r="AW64" s="3" t="b">
        <f t="shared" ca="1" si="24"/>
        <v>0</v>
      </c>
      <c r="AX64" s="3" t="b">
        <f t="shared" ca="1" si="25"/>
        <v>0</v>
      </c>
      <c r="AY64" s="3" t="b">
        <f t="shared" ca="1" si="26"/>
        <v>1</v>
      </c>
      <c r="AZ64" s="3" t="b">
        <f t="shared" ca="1" si="27"/>
        <v>0</v>
      </c>
      <c r="BA64" s="3" t="b">
        <f t="shared" ca="1" si="28"/>
        <v>0</v>
      </c>
      <c r="BB64" s="3" t="b">
        <f t="shared" ca="1" si="29"/>
        <v>0</v>
      </c>
      <c r="BC64" s="3" t="b">
        <f t="shared" ca="1" si="30"/>
        <v>0</v>
      </c>
      <c r="BD64" s="3" t="b">
        <f t="shared" ca="1" si="31"/>
        <v>0</v>
      </c>
    </row>
    <row r="65" spans="1:56">
      <c r="A65" s="110" t="s">
        <v>404</v>
      </c>
      <c r="B65" s="103">
        <f t="shared" ref="B65" si="70">MATCH(A65, SKCOLNAMES, 0)</f>
        <v>101</v>
      </c>
      <c r="C65" s="103" t="str">
        <f t="shared" si="65"/>
        <v>$CW$2:$CW$17</v>
      </c>
      <c r="D65" s="3" cm="1">
        <f t="array" aca="1" ref="D65" ca="1">MIN(_xlfn.IFNA(INDIRECT($C65), ""))</f>
        <v>0.34037666807405415</v>
      </c>
      <c r="E65" s="3" cm="1">
        <f t="array" aca="1" ref="E65" ca="1">PERCENTILE(_xlfn.IFNA(INDIRECT($C65), ""),E$36)</f>
        <v>0.45841890252148193</v>
      </c>
      <c r="F65" s="3" cm="1">
        <f t="array" aca="1" ref="F65" ca="1">PERCENTILE(_xlfn.IFNA(INDIRECT($C65), ""),F$36)</f>
        <v>0.51280907254335473</v>
      </c>
      <c r="G65" s="3" cm="1">
        <f t="array" aca="1" ref="G65" ca="1">PERCENTILE(_xlfn.IFNA(INDIRECT($C65), ""),G$36)</f>
        <v>0.65709216011405724</v>
      </c>
      <c r="H65" s="3" cm="1">
        <f t="array" aca="1" ref="H65" ca="1">PERCENTILE(_xlfn.IFNA(INDIRECT($C65), ""),H$36)</f>
        <v>0.75165978072847928</v>
      </c>
      <c r="I65" s="3" cm="1">
        <f t="array" aca="1" ref="I65" ca="1">PERCENTILE(_xlfn.IFNA(INDIRECT($C65), ""),I$36)</f>
        <v>0.82221781401988803</v>
      </c>
      <c r="J65" s="3" cm="1">
        <f t="array" aca="1" ref="J65" ca="1">MAX(_xlfn.IFNA(INDIRECT($C65), ""))</f>
        <v>0.94852326105141238</v>
      </c>
      <c r="K65" s="3" cm="1">
        <f t="array" aca="1" ref="K65" ca="1">INDIRECT(ADDRESS($B$22,$B65))</f>
        <v>0.79235370190753318</v>
      </c>
      <c r="L65" s="123" t="s">
        <v>123</v>
      </c>
      <c r="S65" s="3">
        <f t="shared" ca="1" si="40"/>
        <v>0.23885070818512455</v>
      </c>
      <c r="T65" s="3">
        <f t="shared" ca="1" si="41"/>
        <v>0.35827606227768682</v>
      </c>
      <c r="U65" s="3">
        <f t="shared" ca="1" si="42"/>
        <v>0.1545330102656679</v>
      </c>
      <c r="V65" s="3">
        <f t="shared" ca="1" si="43"/>
        <v>1.1099358430061661</v>
      </c>
      <c r="W65" s="3" cm="1">
        <f t="array" aca="1" ref="W65" ca="1">INDIRECT(ADDRESS(0+2,$B65))</f>
        <v>0.84212722209479129</v>
      </c>
      <c r="X65" s="3" cm="1">
        <f t="array" aca="1" ref="X65" ca="1">INDIRECT(ADDRESS(1+2,$B65))</f>
        <v>0.79235370190753318</v>
      </c>
      <c r="Y65" s="3" cm="1">
        <f t="array" aca="1" ref="Y65" ca="1">INDIRECT(ADDRESS(2+2,$B65))</f>
        <v>0.64353030846484938</v>
      </c>
      <c r="Z65" s="3" t="e" cm="1">
        <f t="array" aca="1" ref="Z65" ca="1">INDIRECT(ADDRESS(3+2,$B65))</f>
        <v>#N/A</v>
      </c>
      <c r="AA65" s="3" cm="1">
        <f t="array" aca="1" ref="AA65" ca="1">INDIRECT(ADDRESS(4+2,$B65))</f>
        <v>0.71129332255645683</v>
      </c>
      <c r="AB65" s="3" cm="1">
        <f t="array" aca="1" ref="AB65" ca="1">INDIRECT(ADDRESS(5+2,$B65))</f>
        <v>0.34037666807405415</v>
      </c>
      <c r="AC65" s="3" cm="1">
        <f t="array" aca="1" ref="AC65" ca="1">INDIRECT(ADDRESS(6+2,$B65))</f>
        <v>0.73519325493258847</v>
      </c>
      <c r="AD65" s="3" cm="1">
        <f t="array" aca="1" ref="AD65" ca="1">INDIRECT(ADDRESS(7+2,$B65))</f>
        <v>0.45036395953507508</v>
      </c>
      <c r="AE65" s="3" cm="1">
        <f t="array" aca="1" ref="AE65" ca="1">INDIRECT(ADDRESS(8+2,$B65))</f>
        <v>0.51734196011879507</v>
      </c>
      <c r="AF65" s="3" cm="1">
        <f t="array" aca="1" ref="AF65" ca="1">INDIRECT(ADDRESS(9+2,$B65))</f>
        <v>0.76812630652437008</v>
      </c>
      <c r="AG65" s="3" cm="1">
        <f t="array" aca="1" ref="AG65" ca="1">INDIRECT(ADDRESS(10+2,$B65))</f>
        <v>0.47050131700109216</v>
      </c>
      <c r="AH65" s="3" cm="1">
        <f t="array" aca="1" ref="AH65" ca="1">INDIRECT(ADDRESS(11+2,$B65))</f>
        <v>0.94852326105141238</v>
      </c>
      <c r="AI65" s="3" cm="1">
        <f t="array" aca="1" ref="AI65" ca="1">INDIRECT(ADDRESS(12+2,$B65))</f>
        <v>0.65709216011405724</v>
      </c>
      <c r="AJ65" s="3" cm="1">
        <f t="array" aca="1" ref="AJ65" ca="1">INDIRECT(ADDRESS(13+2,$B65))</f>
        <v>0.57784832766946881</v>
      </c>
      <c r="AK65" s="3" cm="1">
        <f t="array" aca="1" ref="AK65" ca="1">INDIRECT(ADDRESS(14+2,$B65))</f>
        <v>0.70953949785739245</v>
      </c>
      <c r="AL65" s="3" cm="1">
        <f t="array" aca="1" ref="AL65" ca="1">INDIRECT(ADDRESS(15+2,$B65))</f>
        <v>0.50827618496791427</v>
      </c>
      <c r="AM65" s="3" cm="1">
        <f t="array" aca="1" ref="AM65" ca="1">INDIRECT(ADDRESS(16+2,$B65))</f>
        <v>0</v>
      </c>
      <c r="AN65" s="3" t="b">
        <f t="shared" ca="1" si="44"/>
        <v>0</v>
      </c>
      <c r="AO65" s="3" t="b">
        <f t="shared" ca="1" si="34"/>
        <v>0</v>
      </c>
      <c r="AP65" s="3" t="b">
        <f t="shared" ca="1" si="35"/>
        <v>0</v>
      </c>
      <c r="AQ65" s="3" t="e">
        <f t="shared" ca="1" si="36"/>
        <v>#N/A</v>
      </c>
      <c r="AR65" s="3" t="b">
        <f t="shared" ca="1" si="37"/>
        <v>0</v>
      </c>
      <c r="AS65" s="3" t="b">
        <f t="shared" ca="1" si="38"/>
        <v>0</v>
      </c>
      <c r="AT65" s="3" t="b">
        <f t="shared" ca="1" si="21"/>
        <v>0</v>
      </c>
      <c r="AU65" s="3" t="b">
        <f t="shared" ca="1" si="22"/>
        <v>0</v>
      </c>
      <c r="AV65" s="3" t="b">
        <f t="shared" ca="1" si="23"/>
        <v>0</v>
      </c>
      <c r="AW65" s="3" t="b">
        <f t="shared" ca="1" si="24"/>
        <v>0</v>
      </c>
      <c r="AX65" s="3" t="b">
        <f t="shared" ca="1" si="25"/>
        <v>0</v>
      </c>
      <c r="AY65" s="3" t="b">
        <f t="shared" ca="1" si="26"/>
        <v>0</v>
      </c>
      <c r="AZ65" s="3" t="b">
        <f t="shared" ca="1" si="27"/>
        <v>0</v>
      </c>
      <c r="BA65" s="3" t="b">
        <f t="shared" ca="1" si="28"/>
        <v>0</v>
      </c>
      <c r="BB65" s="3" t="b">
        <f t="shared" ca="1" si="29"/>
        <v>0</v>
      </c>
      <c r="BC65" s="3" t="b">
        <f t="shared" ca="1" si="30"/>
        <v>0</v>
      </c>
      <c r="BD65" s="3" t="b">
        <f t="shared" ca="1" si="31"/>
        <v>0</v>
      </c>
    </row>
    <row r="66" spans="1:56">
      <c r="A66" s="110" t="s">
        <v>405</v>
      </c>
      <c r="B66" s="103">
        <f t="shared" ref="B66" si="71">MATCH(A66, SKCOLNAMES, 0)</f>
        <v>102</v>
      </c>
      <c r="C66" s="103" t="str">
        <f t="shared" si="65"/>
        <v>$CX$2:$CX$17</v>
      </c>
      <c r="D66" s="3" cm="1">
        <f t="array" aca="1" ref="D66" ca="1">MIN(_xlfn.IFNA(INDIRECT($C66), ""))</f>
        <v>1.5160167198456034</v>
      </c>
      <c r="E66" s="3" cm="1">
        <f t="array" aca="1" ref="E66" ca="1">PERCENTILE(_xlfn.IFNA(INDIRECT($C66), ""),E$36)</f>
        <v>1.850280308556316</v>
      </c>
      <c r="F66" s="3" cm="1">
        <f t="array" aca="1" ref="F66" ca="1">PERCENTILE(_xlfn.IFNA(INDIRECT($C66), ""),F$36)</f>
        <v>2.0602770114362245</v>
      </c>
      <c r="G66" s="3" cm="1">
        <f t="array" aca="1" ref="G66" ca="1">PERCENTILE(_xlfn.IFNA(INDIRECT($C66), ""),G$36)</f>
        <v>2.9258218091135797</v>
      </c>
      <c r="H66" s="3" cm="1">
        <f t="array" aca="1" ref="H66" ca="1">PERCENTILE(_xlfn.IFNA(INDIRECT($C66), ""),H$36)</f>
        <v>4.3250191737066288</v>
      </c>
      <c r="I66" s="3" cm="1">
        <f t="array" aca="1" ref="I66" ca="1">PERCENTILE(_xlfn.IFNA(INDIRECT($C66), ""),I$36)</f>
        <v>5.9182166089450572</v>
      </c>
      <c r="J66" s="3" cm="1">
        <f t="array" aca="1" ref="J66" ca="1">MAX(_xlfn.IFNA(INDIRECT($C66), ""))</f>
        <v>19.42625</v>
      </c>
      <c r="K66" s="3" cm="1">
        <f t="array" aca="1" ref="K66" ca="1">INDIRECT(ADDRESS($B$22,$B66))</f>
        <v>4.8271556769410848</v>
      </c>
      <c r="L66" s="123" t="s">
        <v>124</v>
      </c>
      <c r="M66" s="90" cm="1">
        <f t="array" aca="1" ref="M66" ca="1">_xlfn.IFS(K66&lt;=D66,0,K66&lt;=E66,0.1,K66&lt;=F66,0.25,K66&gt;=J66,1,K66&gt;=I66,0.9,K66&gt;=H66,0.75,TRUE,0.5)</f>
        <v>0.75</v>
      </c>
      <c r="N66" s="41" cm="1">
        <f t="array" aca="1" ref="N66" ca="1">_xlfn.IFS(K66&lt;=F66,0,K66&lt;=G66,1,K66&lt;=H66,2,TRUE,3)</f>
        <v>3</v>
      </c>
      <c r="O66" s="3" t="b">
        <v>0</v>
      </c>
      <c r="P66" s="90">
        <f ca="1">IF(O66,1-M66, M66)</f>
        <v>0.75</v>
      </c>
      <c r="Q66" s="3">
        <f ca="1">IF(O66,3-N66,N66)</f>
        <v>3</v>
      </c>
      <c r="S66" s="3">
        <f t="shared" ca="1" si="40"/>
        <v>2.2647421622704043</v>
      </c>
      <c r="T66" s="3">
        <f t="shared" ca="1" si="41"/>
        <v>3.3971132434056064</v>
      </c>
      <c r="U66" s="3">
        <f t="shared" ca="1" si="42"/>
        <v>-1.3368362319693818</v>
      </c>
      <c r="V66" s="3">
        <f t="shared" ca="1" si="43"/>
        <v>7.7221324171122347</v>
      </c>
      <c r="W66" s="3" cm="1">
        <f t="array" aca="1" ref="W66" ca="1">INDIRECT(ADDRESS(0+2,$B66))</f>
        <v>6.6059882550517983</v>
      </c>
      <c r="X66" s="3" cm="1">
        <f t="array" aca="1" ref="X66" ca="1">INDIRECT(ADDRESS(1+2,$B66))</f>
        <v>4.8271556769410848</v>
      </c>
      <c r="Y66" s="3" cm="1">
        <f t="array" aca="1" ref="Y66" ca="1">INDIRECT(ADDRESS(2+2,$B66))</f>
        <v>2.831858407079646</v>
      </c>
      <c r="Z66" s="3" t="e" cm="1">
        <f t="array" aca="1" ref="Z66" ca="1">INDIRECT(ADDRESS(3+2,$B66))</f>
        <v>#N/A</v>
      </c>
      <c r="AA66" s="3" cm="1">
        <f t="array" aca="1" ref="AA66" ca="1">INDIRECT(ADDRESS(4+2,$B66))</f>
        <v>3.8228826704721723</v>
      </c>
      <c r="AB66" s="3" cm="1">
        <f t="array" aca="1" ref="AB66" ca="1">INDIRECT(ADDRESS(5+2,$B66))</f>
        <v>1.5160167198456034</v>
      </c>
      <c r="AC66" s="3" cm="1">
        <f t="array" aca="1" ref="AC66" ca="1">INDIRECT(ADDRESS(6+2,$B66))</f>
        <v>3.7763388532472275</v>
      </c>
      <c r="AD66" s="3" cm="1">
        <f t="array" aca="1" ref="AD66" ca="1">INDIRECT(ADDRESS(7+2,$B66))</f>
        <v>1.8208148623747165</v>
      </c>
      <c r="AE66" s="3" cm="1">
        <f t="array" aca="1" ref="AE66" ca="1">INDIRECT(ADDRESS(8+2,$B66))</f>
        <v>2.0718602351389959</v>
      </c>
      <c r="AF66" s="3" cm="1">
        <f t="array" aca="1" ref="AF66" ca="1">INDIRECT(ADDRESS(9+2,$B66))</f>
        <v>4.8865591397849464</v>
      </c>
      <c r="AG66" s="3" cm="1">
        <f t="array" aca="1" ref="AG66" ca="1">INDIRECT(ADDRESS(10+2,$B66))</f>
        <v>1.8944784778287151</v>
      </c>
      <c r="AH66" s="3" cm="1">
        <f t="array" aca="1" ref="AH66" ca="1">INDIRECT(ADDRESS(11+2,$B66))</f>
        <v>19.42625</v>
      </c>
      <c r="AI66" s="3" cm="1">
        <f t="array" aca="1" ref="AI66" ca="1">INDIRECT(ADDRESS(12+2,$B66))</f>
        <v>2.9258218091135797</v>
      </c>
      <c r="AJ66" s="3" cm="1">
        <f t="array" aca="1" ref="AJ66" ca="1">INDIRECT(ADDRESS(13+2,$B66))</f>
        <v>2.3733418231985568</v>
      </c>
      <c r="AK66" s="3" cm="1">
        <f t="array" aca="1" ref="AK66" ca="1">INDIRECT(ADDRESS(14+2,$B66))</f>
        <v>3.4586450556443729</v>
      </c>
      <c r="AL66" s="3" cm="1">
        <f t="array" aca="1" ref="AL66" ca="1">INDIRECT(ADDRESS(15+2,$B66))</f>
        <v>2.0486937877334537</v>
      </c>
      <c r="AM66" s="3" cm="1">
        <f t="array" aca="1" ref="AM66" ca="1">INDIRECT(ADDRESS(16+2,$B66))</f>
        <v>0</v>
      </c>
      <c r="AN66" s="3" t="b">
        <f t="shared" ca="1" si="44"/>
        <v>0</v>
      </c>
      <c r="AO66" s="3" t="b">
        <f t="shared" ca="1" si="34"/>
        <v>0</v>
      </c>
      <c r="AP66" s="3" t="b">
        <f t="shared" ca="1" si="35"/>
        <v>0</v>
      </c>
      <c r="AQ66" s="3" t="e">
        <f t="shared" ca="1" si="36"/>
        <v>#N/A</v>
      </c>
      <c r="AR66" s="3" t="b">
        <f t="shared" ca="1" si="37"/>
        <v>0</v>
      </c>
      <c r="AS66" s="3" t="b">
        <f t="shared" ca="1" si="38"/>
        <v>0</v>
      </c>
      <c r="AT66" s="3" t="b">
        <f t="shared" ca="1" si="21"/>
        <v>0</v>
      </c>
      <c r="AU66" s="3" t="b">
        <f t="shared" ca="1" si="22"/>
        <v>0</v>
      </c>
      <c r="AV66" s="3" t="b">
        <f t="shared" ca="1" si="23"/>
        <v>0</v>
      </c>
      <c r="AW66" s="3" t="b">
        <f t="shared" ca="1" si="24"/>
        <v>0</v>
      </c>
      <c r="AX66" s="3" t="b">
        <f t="shared" ca="1" si="25"/>
        <v>0</v>
      </c>
      <c r="AY66" s="3" t="b">
        <f t="shared" ca="1" si="26"/>
        <v>1</v>
      </c>
      <c r="AZ66" s="3" t="b">
        <f t="shared" ca="1" si="27"/>
        <v>0</v>
      </c>
      <c r="BA66" s="3" t="b">
        <f t="shared" ca="1" si="28"/>
        <v>0</v>
      </c>
      <c r="BB66" s="3" t="b">
        <f t="shared" ca="1" si="29"/>
        <v>0</v>
      </c>
      <c r="BC66" s="3" t="b">
        <f t="shared" ca="1" si="30"/>
        <v>0</v>
      </c>
      <c r="BD66" s="3" t="b">
        <f t="shared" ca="1" si="31"/>
        <v>0</v>
      </c>
    </row>
    <row r="67" spans="1:56">
      <c r="A67" s="110" t="s">
        <v>406</v>
      </c>
      <c r="B67" s="103">
        <f t="shared" ref="B67" si="72">MATCH(A67, SKCOLNAMES, 0)</f>
        <v>103</v>
      </c>
      <c r="C67" s="103" t="str">
        <f t="shared" si="65"/>
        <v>$CY$2:$CY$17</v>
      </c>
      <c r="D67" s="3" cm="1">
        <f t="array" aca="1" ref="D67" ca="1">MIN(_xlfn.IFNA(INDIRECT($C67), ""))</f>
        <v>7.3894797266373449E-2</v>
      </c>
      <c r="E67" s="3" cm="1">
        <f t="array" aca="1" ref="E67" ca="1">PERCENTILE(_xlfn.IFNA(INDIRECT($C67), ""),E$36)</f>
        <v>8.8397881750603827E-2</v>
      </c>
      <c r="F67" s="3" cm="1">
        <f t="array" aca="1" ref="F67" ca="1">PERCENTILE(_xlfn.IFNA(INDIRECT($C67), ""),F$36)</f>
        <v>0.12213108989504451</v>
      </c>
      <c r="G67" s="3" cm="1">
        <f t="array" aca="1" ref="G67" ca="1">PERCENTILE(_xlfn.IFNA(INDIRECT($C67), ""),G$36)</f>
        <v>0.17246025958074473</v>
      </c>
      <c r="H67" s="3" cm="1">
        <f t="array" aca="1" ref="H67" ca="1">PERCENTILE(_xlfn.IFNA(INDIRECT($C67), ""),H$36)</f>
        <v>0.22082386920331923</v>
      </c>
      <c r="I67" s="3" cm="1">
        <f t="array" aca="1" ref="I67" ca="1">PERCENTILE(_xlfn.IFNA(INDIRECT($C67), ""),I$36)</f>
        <v>0.35069439233491273</v>
      </c>
      <c r="J67" s="3" cm="1">
        <f t="array" aca="1" ref="J67" ca="1">MAX(_xlfn.IFNA(INDIRECT($C67), ""))</f>
        <v>1.2312190725450949</v>
      </c>
      <c r="K67" s="3" cm="1">
        <f t="array" aca="1" ref="K67" ca="1">INDIRECT(ADDRESS($B$22,$B67))</f>
        <v>0.19149280284651463</v>
      </c>
      <c r="L67" s="123" t="s">
        <v>125</v>
      </c>
      <c r="S67" s="3">
        <f t="shared" ca="1" si="40"/>
        <v>9.869277930827472E-2</v>
      </c>
      <c r="T67" s="3">
        <f t="shared" ca="1" si="41"/>
        <v>0.14803916896241209</v>
      </c>
      <c r="U67" s="3">
        <f t="shared" ca="1" si="42"/>
        <v>-2.5908079067367584E-2</v>
      </c>
      <c r="V67" s="3">
        <f t="shared" ca="1" si="43"/>
        <v>0.36886303816573129</v>
      </c>
      <c r="W67" s="3" cm="1">
        <f t="array" aca="1" ref="W67" ca="1">INDIRECT(ADDRESS(0+2,$B67))</f>
        <v>1.2312190725450949</v>
      </c>
      <c r="X67" s="3" cm="1">
        <f t="array" aca="1" ref="X67" ca="1">INDIRECT(ADDRESS(1+2,$B67))</f>
        <v>0.19149280284651463</v>
      </c>
      <c r="Y67" s="3" cm="1">
        <f t="array" aca="1" ref="Y67" ca="1">INDIRECT(ADDRESS(2+2,$B67))</f>
        <v>0.10749727837908354</v>
      </c>
      <c r="Z67" s="3" t="e" cm="1">
        <f t="array" aca="1" ref="Z67" ca="1">INDIRECT(ADDRESS(3+2,$B67))</f>
        <v>#N/A</v>
      </c>
      <c r="AA67" s="3" cm="1">
        <f t="array" aca="1" ref="AA67" ca="1">INDIRECT(ADDRESS(4+2,$B67))</f>
        <v>0.11946842124580012</v>
      </c>
      <c r="AB67" s="3" cm="1">
        <f t="array" aca="1" ref="AB67" ca="1">INDIRECT(ADDRESS(5+2,$B67))</f>
        <v>0.17246025958074473</v>
      </c>
      <c r="AC67" s="3" cm="1">
        <f t="array" aca="1" ref="AC67" ca="1">INDIRECT(ADDRESS(6+2,$B67))</f>
        <v>0.20678939988941852</v>
      </c>
      <c r="AD67" s="3" cm="1">
        <f t="array" aca="1" ref="AD67" ca="1">INDIRECT(ADDRESS(7+2,$B67))</f>
        <v>0.12836892274844905</v>
      </c>
      <c r="AE67" s="3" cm="1">
        <f t="array" aca="1" ref="AE67" ca="1">INDIRECT(ADDRESS(8+2,$B67))</f>
        <v>0.12479375854428888</v>
      </c>
      <c r="AF67" s="3" cm="1">
        <f t="array" aca="1" ref="AF67" ca="1">INDIRECT(ADDRESS(9+2,$B67))</f>
        <v>0.23485833851721993</v>
      </c>
      <c r="AG67" s="3" cm="1">
        <f t="array" aca="1" ref="AG67" ca="1">INDIRECT(ADDRESS(10+2,$B67))</f>
        <v>7.5664950664950659E-2</v>
      </c>
      <c r="AH67" s="3" cm="1">
        <f t="array" aca="1" ref="AH67" ca="1">INDIRECT(ADDRESS(11+2,$B67))</f>
        <v>0.36505587371040044</v>
      </c>
      <c r="AI67" s="3" cm="1">
        <f t="array" aca="1" ref="AI67" ca="1">INDIRECT(ADDRESS(12+2,$B67))</f>
        <v>7.3894797266373449E-2</v>
      </c>
      <c r="AJ67" s="3" cm="1">
        <f t="array" aca="1" ref="AJ67" ca="1">INDIRECT(ADDRESS(13+2,$B67))</f>
        <v>0.13874220591306424</v>
      </c>
      <c r="AK67" s="3" cm="1">
        <f t="array" aca="1" ref="AK67" ca="1">INDIRECT(ADDRESS(14+2,$B67))</f>
        <v>0.32915217027168125</v>
      </c>
      <c r="AL67" s="3" cm="1">
        <f t="array" aca="1" ref="AL67" ca="1">INDIRECT(ADDRESS(15+2,$B67))</f>
        <v>0.20128254740449997</v>
      </c>
      <c r="AM67" s="3" cm="1">
        <f t="array" aca="1" ref="AM67" ca="1">INDIRECT(ADDRESS(16+2,$B67))</f>
        <v>0</v>
      </c>
      <c r="AN67" s="3" t="b">
        <f t="shared" ca="1" si="44"/>
        <v>1</v>
      </c>
      <c r="AO67" s="3" t="b">
        <f t="shared" ca="1" si="34"/>
        <v>0</v>
      </c>
      <c r="AP67" s="3" t="b">
        <f t="shared" ca="1" si="35"/>
        <v>0</v>
      </c>
      <c r="AQ67" s="3" t="e">
        <f t="shared" ca="1" si="36"/>
        <v>#N/A</v>
      </c>
      <c r="AR67" s="3" t="b">
        <f t="shared" ca="1" si="37"/>
        <v>0</v>
      </c>
      <c r="AS67" s="3" t="b">
        <f t="shared" ca="1" si="38"/>
        <v>0</v>
      </c>
      <c r="AT67" s="3" t="b">
        <f t="shared" ca="1" si="21"/>
        <v>0</v>
      </c>
      <c r="AU67" s="3" t="b">
        <f t="shared" ca="1" si="22"/>
        <v>0</v>
      </c>
      <c r="AV67" s="3" t="b">
        <f t="shared" ca="1" si="23"/>
        <v>0</v>
      </c>
      <c r="AW67" s="3" t="b">
        <f t="shared" ca="1" si="24"/>
        <v>0</v>
      </c>
      <c r="AX67" s="3" t="b">
        <f t="shared" ca="1" si="25"/>
        <v>0</v>
      </c>
      <c r="AY67" s="3" t="b">
        <f t="shared" ca="1" si="26"/>
        <v>0</v>
      </c>
      <c r="AZ67" s="3" t="b">
        <f t="shared" ca="1" si="27"/>
        <v>0</v>
      </c>
      <c r="BA67" s="3" t="b">
        <f t="shared" ca="1" si="28"/>
        <v>0</v>
      </c>
      <c r="BB67" s="3" t="b">
        <f t="shared" ca="1" si="29"/>
        <v>0</v>
      </c>
      <c r="BC67" s="3" t="b">
        <f t="shared" ca="1" si="30"/>
        <v>0</v>
      </c>
      <c r="BD67" s="3" t="b">
        <f t="shared" ca="1" si="31"/>
        <v>0</v>
      </c>
    </row>
    <row r="68" spans="1:56">
      <c r="A68" s="110" t="s">
        <v>407</v>
      </c>
      <c r="B68" s="103">
        <f t="shared" ref="B68" si="73">MATCH(A68, SKCOLNAMES, 0)</f>
        <v>104</v>
      </c>
      <c r="C68" s="103" t="str">
        <f t="shared" si="65"/>
        <v>$CZ$2:$CZ$17</v>
      </c>
      <c r="D68" s="3" cm="1">
        <f t="array" aca="1" ref="D68" ca="1">MIN(_xlfn.IFNA(INDIRECT($C68), ""))</f>
        <v>-3.8141338377225768E-2</v>
      </c>
      <c r="E68" s="3" cm="1">
        <f t="array" aca="1" ref="E68" ca="1">PERCENTILE(_xlfn.IFNA(INDIRECT($C68), ""),E$36)</f>
        <v>3.4231569019797708E-2</v>
      </c>
      <c r="F68" s="3" cm="1">
        <f t="array" aca="1" ref="F68" ca="1">PERCENTILE(_xlfn.IFNA(INDIRECT($C68), ""),F$36)</f>
        <v>0.18872564182037116</v>
      </c>
      <c r="G68" s="3" cm="1">
        <f t="array" aca="1" ref="G68" ca="1">PERCENTILE(_xlfn.IFNA(INDIRECT($C68), ""),G$36)</f>
        <v>0.25784028451341739</v>
      </c>
      <c r="H68" s="3" cm="1">
        <f t="array" aca="1" ref="H68" ca="1">PERCENTILE(_xlfn.IFNA(INDIRECT($C68), ""),H$36)</f>
        <v>0.47059490230073187</v>
      </c>
      <c r="I68" s="3" cm="1">
        <f t="array" aca="1" ref="I68" ca="1">PERCENTILE(_xlfn.IFNA(INDIRECT($C68), ""),I$36)</f>
        <v>0.50992961676622983</v>
      </c>
      <c r="J68" s="3" cm="1">
        <f t="array" aca="1" ref="J68" ca="1">MAX(_xlfn.IFNA(INDIRECT($C68), ""))</f>
        <v>0.54203620589857116</v>
      </c>
      <c r="K68" s="3" cm="1">
        <f t="array" aca="1" ref="K68" ca="1">INDIRECT(ADDRESS($B$22,$B68))</f>
        <v>0.25784028451341739</v>
      </c>
      <c r="L68" s="123" t="s">
        <v>126</v>
      </c>
      <c r="S68" s="3">
        <f t="shared" ca="1" si="40"/>
        <v>0.28186926048036071</v>
      </c>
      <c r="T68" s="3">
        <f t="shared" ca="1" si="41"/>
        <v>0.42280389072054103</v>
      </c>
      <c r="U68" s="3">
        <f t="shared" ca="1" si="42"/>
        <v>-0.23407824890016987</v>
      </c>
      <c r="V68" s="3">
        <f t="shared" ca="1" si="43"/>
        <v>0.8933987930212729</v>
      </c>
      <c r="W68" s="3" cm="1">
        <f t="array" aca="1" ref="W68" ca="1">INDIRECT(ADDRESS(0+2,$B68))</f>
        <v>-3.8141338377225768E-2</v>
      </c>
      <c r="X68" s="3" cm="1">
        <f t="array" aca="1" ref="X68" ca="1">INDIRECT(ADDRESS(1+2,$B68))</f>
        <v>0.25784028451341739</v>
      </c>
      <c r="Y68" s="3" cm="1">
        <f t="array" aca="1" ref="Y68" ca="1">INDIRECT(ADDRESS(2+2,$B68))</f>
        <v>0.2453012912482066</v>
      </c>
      <c r="Z68" s="3" t="e" cm="1">
        <f t="array" aca="1" ref="Z68" ca="1">INDIRECT(ADDRESS(3+2,$B68))</f>
        <v>#N/A</v>
      </c>
      <c r="AA68" s="3" cm="1">
        <f t="array" aca="1" ref="AA68" ca="1">INDIRECT(ADDRESS(4+2,$B68))</f>
        <v>0.51878649774237418</v>
      </c>
      <c r="AB68" s="3" cm="1">
        <f t="array" aca="1" ref="AB68" ca="1">INDIRECT(ADDRESS(5+2,$B68))</f>
        <v>0.28064175042450096</v>
      </c>
      <c r="AC68" s="3" cm="1">
        <f t="array" aca="1" ref="AC68" ca="1">INDIRECT(ADDRESS(6+2,$B68))</f>
        <v>0.26122509191353899</v>
      </c>
      <c r="AD68" s="3" cm="1">
        <f t="array" aca="1" ref="AD68" ca="1">INDIRECT(ADDRESS(7+2,$B68))</f>
        <v>0.54203620589857116</v>
      </c>
      <c r="AE68" s="3" cm="1">
        <f t="array" aca="1" ref="AE68" ca="1">INDIRECT(ADDRESS(8+2,$B68))</f>
        <v>0.16185829444208741</v>
      </c>
      <c r="AF68" s="3" cm="1">
        <f t="array" aca="1" ref="AF68" ca="1">INDIRECT(ADDRESS(9+2,$B68))</f>
        <v>0.49664429530201343</v>
      </c>
      <c r="AG68" s="3" cm="1">
        <f t="array" aca="1" ref="AG68" ca="1">INDIRECT(ADDRESS(10+2,$B68))</f>
        <v>-1.8009722251964795E-2</v>
      </c>
      <c r="AH68" s="3" cm="1">
        <f t="array" aca="1" ref="AH68" ca="1">INDIRECT(ADDRESS(11+2,$B68))</f>
        <v>0.22834223451944316</v>
      </c>
      <c r="AI68" s="3" cm="1">
        <f t="array" aca="1" ref="AI68" ca="1">INDIRECT(ADDRESS(12+2,$B68))</f>
        <v>0.21559298919865488</v>
      </c>
      <c r="AJ68" s="3" cm="1">
        <f t="array" aca="1" ref="AJ68" ca="1">INDIRECT(ADDRESS(13+2,$B68))</f>
        <v>0.45916055565492159</v>
      </c>
      <c r="AK68" s="3" cm="1">
        <f t="array" aca="1" ref="AK68" ca="1">INDIRECT(ADDRESS(14+2,$B68))</f>
        <v>0.11259350592744136</v>
      </c>
      <c r="AL68" s="3" cm="1">
        <f t="array" aca="1" ref="AL68" ca="1">INDIRECT(ADDRESS(15+2,$B68))</f>
        <v>0.4820292489465422</v>
      </c>
      <c r="AM68" s="3" cm="1">
        <f t="array" aca="1" ref="AM68" ca="1">INDIRECT(ADDRESS(16+2,$B68))</f>
        <v>0</v>
      </c>
      <c r="AN68" s="3" t="b">
        <f t="shared" ca="1" si="44"/>
        <v>0</v>
      </c>
      <c r="AO68" s="3" t="b">
        <f t="shared" ca="1" si="34"/>
        <v>0</v>
      </c>
      <c r="AP68" s="3" t="b">
        <f t="shared" ca="1" si="35"/>
        <v>0</v>
      </c>
      <c r="AQ68" s="3" t="e">
        <f t="shared" ca="1" si="36"/>
        <v>#N/A</v>
      </c>
      <c r="AR68" s="3" t="b">
        <f t="shared" ca="1" si="37"/>
        <v>0</v>
      </c>
      <c r="AS68" s="3" t="b">
        <f t="shared" ca="1" si="38"/>
        <v>0</v>
      </c>
      <c r="AT68" s="3" t="b">
        <f t="shared" ca="1" si="21"/>
        <v>0</v>
      </c>
      <c r="AU68" s="3" t="b">
        <f t="shared" ca="1" si="22"/>
        <v>0</v>
      </c>
      <c r="AV68" s="3" t="b">
        <f t="shared" ca="1" si="23"/>
        <v>0</v>
      </c>
      <c r="AW68" s="3" t="b">
        <f t="shared" ca="1" si="24"/>
        <v>0</v>
      </c>
      <c r="AX68" s="3" t="b">
        <f t="shared" ca="1" si="25"/>
        <v>0</v>
      </c>
      <c r="AY68" s="3" t="b">
        <f t="shared" ca="1" si="26"/>
        <v>0</v>
      </c>
      <c r="AZ68" s="3" t="b">
        <f t="shared" ca="1" si="27"/>
        <v>0</v>
      </c>
      <c r="BA68" s="3" t="b">
        <f t="shared" ca="1" si="28"/>
        <v>0</v>
      </c>
      <c r="BB68" s="3" t="b">
        <f t="shared" ca="1" si="29"/>
        <v>0</v>
      </c>
      <c r="BC68" s="3" t="b">
        <f t="shared" ca="1" si="30"/>
        <v>0</v>
      </c>
      <c r="BD68" s="3" t="b">
        <f t="shared" ca="1" si="31"/>
        <v>0</v>
      </c>
    </row>
    <row r="69" spans="1:56">
      <c r="A69" s="110" t="s">
        <v>114</v>
      </c>
      <c r="B69" s="103">
        <f t="shared" ref="B69" si="74">MATCH(A69, SKCOLNAMES, 0)</f>
        <v>79</v>
      </c>
      <c r="C69" s="103" t="str">
        <f t="shared" si="65"/>
        <v>$CA$2:$CA$17</v>
      </c>
      <c r="D69" s="3" cm="1">
        <f t="array" aca="1" ref="D69" ca="1">MIN(_xlfn.IFNA(INDIRECT($C69), ""))</f>
        <v>-0.26782729805013927</v>
      </c>
      <c r="E69" s="3" cm="1">
        <f t="array" aca="1" ref="E69" ca="1">PERCENTILE(_xlfn.IFNA(INDIRECT($C69), ""),E$36)</f>
        <v>-0.11505013414760831</v>
      </c>
      <c r="F69" s="3" cm="1">
        <f t="array" aca="1" ref="F69" ca="1">PERCENTILE(_xlfn.IFNA(INDIRECT($C69), ""),F$36)</f>
        <v>-8.3290918532254607E-2</v>
      </c>
      <c r="G69" s="3" cm="1">
        <f t="array" aca="1" ref="G69" ca="1">PERCENTILE(_xlfn.IFNA(INDIRECT($C69), ""),G$36)</f>
        <v>1.0298736673296484E-2</v>
      </c>
      <c r="H69" s="3" cm="1">
        <f t="array" aca="1" ref="H69" ca="1">PERCENTILE(_xlfn.IFNA(INDIRECT($C69), ""),H$36)</f>
        <v>7.5804701449199943E-2</v>
      </c>
      <c r="I69" s="3" cm="1">
        <f t="array" aca="1" ref="I69" ca="1">PERCENTILE(_xlfn.IFNA(INDIRECT($C69), ""),I$36)</f>
        <v>0.15084581738822095</v>
      </c>
      <c r="J69" s="3" cm="1">
        <f t="array" aca="1" ref="J69" ca="1">MAX(_xlfn.IFNA(INDIRECT($C69), ""))</f>
        <v>0.33691066343212744</v>
      </c>
      <c r="K69" s="3" cm="1">
        <f t="array" aca="1" ref="K69" ca="1">INDIRECT(ADDRESS($B$22,$B69))</f>
        <v>-7.9392474974111144E-2</v>
      </c>
      <c r="L69" s="123" t="s">
        <v>114</v>
      </c>
      <c r="M69" s="90" cm="1">
        <f t="array" aca="1" ref="M69" ca="1">_xlfn.IFS(K69&lt;=D69,0,K69&lt;=E69,0.1,K69&lt;=F69,0.25,K69&gt;=J69,1,K69&gt;=I69,0.9,K69&gt;=H69,0.75,TRUE,0.5)</f>
        <v>0.5</v>
      </c>
      <c r="N69" s="41" cm="1">
        <f t="array" aca="1" ref="N69" ca="1">_xlfn.IFS(K69&lt;=F69,0,K69&lt;=G69,1,K69&lt;=H69,2,TRUE,3)</f>
        <v>1</v>
      </c>
      <c r="O69" s="3" t="b">
        <v>0</v>
      </c>
      <c r="P69" s="90">
        <f ca="1">IF(O69,1-M69, M69)</f>
        <v>0.5</v>
      </c>
      <c r="Q69" s="3">
        <f ca="1">IF(O69,3-N69,N69)</f>
        <v>1</v>
      </c>
      <c r="S69" s="3">
        <f t="shared" ca="1" si="40"/>
        <v>0.15909561998145455</v>
      </c>
      <c r="T69" s="3">
        <f t="shared" ca="1" si="41"/>
        <v>0.23864342997218183</v>
      </c>
      <c r="U69" s="3">
        <f t="shared" ca="1" si="42"/>
        <v>-0.32193434850443642</v>
      </c>
      <c r="V69" s="3">
        <f t="shared" ca="1" si="43"/>
        <v>0.31444813142138178</v>
      </c>
      <c r="W69" s="3" cm="1">
        <f t="array" aca="1" ref="W69" ca="1">INDIRECT(ADDRESS(0+2,$B69))</f>
        <v>0.17478349938738022</v>
      </c>
      <c r="X69" s="3" cm="1">
        <f t="array" aca="1" ref="X69" ca="1">INDIRECT(ADDRESS(1+2,$B69))</f>
        <v>-7.9392474974111144E-2</v>
      </c>
      <c r="Y69" s="3" cm="1">
        <f t="array" aca="1" ref="Y69" ca="1">INDIRECT(ADDRESS(2+2,$B69))</f>
        <v>-3.6320379215515994E-2</v>
      </c>
      <c r="Z69" s="3" cm="1">
        <f t="array" aca="1" ref="Z69" ca="1">INDIRECT(ADDRESS(3+2,$B69))</f>
        <v>0</v>
      </c>
      <c r="AA69" s="3" cm="1">
        <f t="array" aca="1" ref="AA69" ca="1">INDIRECT(ADDRESS(4+2,$B69))</f>
        <v>-0.13446722567029376</v>
      </c>
      <c r="AB69" s="3" cm="1">
        <f t="array" aca="1" ref="AB69" ca="1">INDIRECT(ADDRESS(5+2,$B69))</f>
        <v>0.1269081353890617</v>
      </c>
      <c r="AC69" s="3" cm="1">
        <f t="array" aca="1" ref="AC69" ca="1">INDIRECT(ADDRESS(6+2,$B69))</f>
        <v>1.2072782462636282E-2</v>
      </c>
      <c r="AD69" s="3" cm="1">
        <f t="array" aca="1" ref="AD69" ca="1">INDIRECT(ADDRESS(7+2,$B69))</f>
        <v>0.11034104562992939</v>
      </c>
      <c r="AE69" s="3" cm="1">
        <f t="array" aca="1" ref="AE69" ca="1">INDIRECT(ADDRESS(8+2,$B69))</f>
        <v>4.9429560312780417E-2</v>
      </c>
      <c r="AF69" s="3" cm="1">
        <f t="array" aca="1" ref="AF69" ca="1">INDIRECT(ADDRESS(9+2,$B69))</f>
        <v>-9.4986249206684997E-2</v>
      </c>
      <c r="AG69" s="3" cm="1">
        <f t="array" aca="1" ref="AG69" ca="1">INDIRECT(ADDRESS(10+2,$B69))</f>
        <v>8.5246908839566853E-3</v>
      </c>
      <c r="AH69" s="3" cm="1">
        <f t="array" aca="1" ref="AH69" ca="1">INDIRECT(ADDRESS(11+2,$B69))</f>
        <v>0.33691066343212744</v>
      </c>
      <c r="AI69" s="3" cm="1">
        <f t="array" aca="1" ref="AI69" ca="1">INDIRECT(ADDRESS(12+2,$B69))</f>
        <v>-9.5633042624922851E-2</v>
      </c>
      <c r="AJ69" s="3" cm="1">
        <f t="array" aca="1" ref="AJ69" ca="1">INDIRECT(ADDRESS(13+2,$B69))</f>
        <v>-0.26782729805013927</v>
      </c>
      <c r="AK69" s="3" cm="1">
        <f t="array" aca="1" ref="AK69" ca="1">INDIRECT(ADDRESS(14+2,$B69))</f>
        <v>6.4292586722290129E-2</v>
      </c>
      <c r="AL69" s="3" cm="1">
        <f t="array" aca="1" ref="AL69" ca="1">INDIRECT(ADDRESS(15+2,$B69))</f>
        <v>3.5197347446279413E-2</v>
      </c>
      <c r="AM69" s="3" cm="1">
        <f t="array" aca="1" ref="AM69" ca="1">INDIRECT(ADDRESS(16+2,$B69))</f>
        <v>0</v>
      </c>
      <c r="AN69" s="3" t="b">
        <f t="shared" ca="1" si="44"/>
        <v>0</v>
      </c>
      <c r="AO69" s="3" t="b">
        <f t="shared" ca="1" si="34"/>
        <v>0</v>
      </c>
      <c r="AP69" s="3" t="b">
        <f t="shared" ca="1" si="35"/>
        <v>0</v>
      </c>
      <c r="AQ69" s="3" t="b">
        <f t="shared" ca="1" si="36"/>
        <v>0</v>
      </c>
      <c r="AR69" s="3" t="b">
        <f t="shared" ca="1" si="37"/>
        <v>0</v>
      </c>
      <c r="AS69" s="3" t="b">
        <f t="shared" ca="1" si="38"/>
        <v>0</v>
      </c>
      <c r="AT69" s="3" t="b">
        <f t="shared" ca="1" si="21"/>
        <v>0</v>
      </c>
      <c r="AU69" s="3" t="b">
        <f t="shared" ca="1" si="22"/>
        <v>0</v>
      </c>
      <c r="AV69" s="3" t="b">
        <f t="shared" ca="1" si="23"/>
        <v>0</v>
      </c>
      <c r="AW69" s="3" t="b">
        <f t="shared" ca="1" si="24"/>
        <v>0</v>
      </c>
      <c r="AX69" s="3" t="b">
        <f t="shared" ca="1" si="25"/>
        <v>0</v>
      </c>
      <c r="AY69" s="3" t="b">
        <f t="shared" ca="1" si="26"/>
        <v>1</v>
      </c>
      <c r="AZ69" s="3" t="b">
        <f t="shared" ca="1" si="27"/>
        <v>0</v>
      </c>
      <c r="BA69" s="3" t="b">
        <f t="shared" ca="1" si="28"/>
        <v>0</v>
      </c>
      <c r="BB69" s="3" t="b">
        <f t="shared" ca="1" si="29"/>
        <v>0</v>
      </c>
      <c r="BC69" s="3" t="b">
        <f t="shared" ca="1" si="30"/>
        <v>0</v>
      </c>
      <c r="BD69" s="3" t="b">
        <f t="shared" ca="1" si="31"/>
        <v>0</v>
      </c>
    </row>
    <row r="70" spans="1:56">
      <c r="A70" s="110" t="s">
        <v>385</v>
      </c>
      <c r="B70" s="103">
        <f t="shared" ref="B70" si="75">MATCH(A70, SKCOLNAMES, 0)</f>
        <v>82</v>
      </c>
      <c r="C70" s="103" t="str">
        <f t="shared" si="65"/>
        <v>$CD$2:$CD$17</v>
      </c>
      <c r="D70" s="3" cm="1">
        <f t="array" aca="1" ref="D70" ca="1">MIN(_xlfn.IFNA(INDIRECT($C70), ""))</f>
        <v>3.2337816121119856</v>
      </c>
      <c r="E70" s="3" cm="1">
        <f t="array" aca="1" ref="E70" ca="1">PERCENTILE(_xlfn.IFNA(INDIRECT($C70), ""),E$36)</f>
        <v>4.4670935218647756</v>
      </c>
      <c r="F70" s="3" cm="1">
        <f t="array" aca="1" ref="F70" ca="1">PERCENTILE(_xlfn.IFNA(INDIRECT($C70), ""),F$36)</f>
        <v>5.6903369200116343</v>
      </c>
      <c r="G70" s="3" cm="1">
        <f t="array" aca="1" ref="G70" ca="1">PERCENTILE(_xlfn.IFNA(INDIRECT($C70), ""),G$36)</f>
        <v>6.4245769312013863</v>
      </c>
      <c r="H70" s="3" cm="1">
        <f t="array" aca="1" ref="H70" ca="1">PERCENTILE(_xlfn.IFNA(INDIRECT($C70), ""),H$36)</f>
        <v>7.1960516256030456</v>
      </c>
      <c r="I70" s="3" cm="1">
        <f t="array" aca="1" ref="I70" ca="1">PERCENTILE(_xlfn.IFNA(INDIRECT($C70), ""),I$36)</f>
        <v>8.8796845386693501</v>
      </c>
      <c r="J70" s="3" cm="1">
        <f t="array" aca="1" ref="J70" ca="1">MAX(_xlfn.IFNA(INDIRECT($C70), ""))</f>
        <v>10.26832641770401</v>
      </c>
      <c r="K70" s="3" cm="1">
        <f t="array" aca="1" ref="K70" ca="1">INDIRECT(ADDRESS($B$22,$B70))</f>
        <v>6.5350172215843854</v>
      </c>
      <c r="L70" s="123" t="s">
        <v>115</v>
      </c>
      <c r="M70" s="90" cm="1">
        <f t="array" aca="1" ref="M70" ca="1">_xlfn.IFS(K70&lt;=D70,0,K70&lt;=E70,0.1,K70&lt;=F70,0.25,K70&gt;=J70,1,K70&gt;=I70,0.9,K70&gt;=H70,0.75,TRUE,0.5)</f>
        <v>0.5</v>
      </c>
      <c r="N70" s="41" cm="1">
        <f t="array" aca="1" ref="N70" ca="1">_xlfn.IFS(K70&lt;=F70,0,K70&lt;=G70,1,K70&lt;=H70,2,TRUE,3)</f>
        <v>2</v>
      </c>
      <c r="O70" s="3" t="b">
        <v>0</v>
      </c>
      <c r="P70" s="90">
        <f ca="1">IF(O70,1-M70, M70)</f>
        <v>0.5</v>
      </c>
      <c r="Q70" s="3">
        <f ca="1">IF(O70,3-N70,N70)</f>
        <v>2</v>
      </c>
      <c r="S70" s="3">
        <f t="shared" ca="1" si="40"/>
        <v>1.5057147055914113</v>
      </c>
      <c r="T70" s="3">
        <f t="shared" ca="1" si="41"/>
        <v>2.2585720583871169</v>
      </c>
      <c r="U70" s="3">
        <f t="shared" ca="1" si="42"/>
        <v>3.4317648616245173</v>
      </c>
      <c r="V70" s="3">
        <f t="shared" ca="1" si="43"/>
        <v>9.4546236839901621</v>
      </c>
      <c r="W70" s="3" cm="1">
        <f t="array" aca="1" ref="W70" ca="1">INDIRECT(ADDRESS(0+2,$B70))</f>
        <v>3.9542333558090315</v>
      </c>
      <c r="X70" s="3" cm="1">
        <f t="array" aca="1" ref="X70" ca="1">INDIRECT(ADDRESS(1+2,$B70))</f>
        <v>6.5350172215843854</v>
      </c>
      <c r="Y70" s="3" cm="1">
        <f t="array" aca="1" ref="Y70" ca="1">INDIRECT(ADDRESS(2+2,$B70))</f>
        <v>5.8003777422635485</v>
      </c>
      <c r="Z70" s="3" cm="1">
        <f t="array" aca="1" ref="Z70" ca="1">INDIRECT(ADDRESS(3+2,$B70))</f>
        <v>10.26832641770401</v>
      </c>
      <c r="AA70" s="3" cm="1">
        <f t="array" aca="1" ref="AA70" ca="1">INDIRECT(ADDRESS(4+2,$B70))</f>
        <v>8.060506204865737</v>
      </c>
      <c r="AB70" s="3" cm="1">
        <f t="array" aca="1" ref="AB70" ca="1">INDIRECT(ADDRESS(5+2,$B70))</f>
        <v>6.3993754281339408</v>
      </c>
      <c r="AC70" s="3" cm="1">
        <f t="array" aca="1" ref="AC70" ca="1">INDIRECT(ADDRESS(6+2,$B70))</f>
        <v>4.9799536879205188</v>
      </c>
      <c r="AD70" s="3" cm="1">
        <f t="array" aca="1" ref="AD70" ca="1">INDIRECT(ADDRESS(7+2,$B70))</f>
        <v>6.9079000991821484</v>
      </c>
      <c r="AE70" s="3" cm="1">
        <f t="array" aca="1" ref="AE70" ca="1">INDIRECT(ADDRESS(8+2,$B70))</f>
        <v>5.3602144532558924</v>
      </c>
      <c r="AF70" s="3" cm="1">
        <f t="array" aca="1" ref="AF70" ca="1">INDIRECT(ADDRESS(9+2,$B70))</f>
        <v>6.8819742489270386</v>
      </c>
      <c r="AG70" s="3" cm="1">
        <f t="array" aca="1" ref="AG70" ca="1">INDIRECT(ADDRESS(10+2,$B70))</f>
        <v>6.3613045071454746</v>
      </c>
      <c r="AH70" s="3" cm="1">
        <f t="array" aca="1" ref="AH70" ca="1">INDIRECT(ADDRESS(11+2,$B70))</f>
        <v>5.952742962810766</v>
      </c>
      <c r="AI70" s="3" cm="1">
        <f t="array" aca="1" ref="AI70" ca="1">INDIRECT(ADDRESS(12+2,$B70))</f>
        <v>3.2337816121119856</v>
      </c>
      <c r="AJ70" s="3" cm="1">
        <f t="array" aca="1" ref="AJ70" ca="1">INDIRECT(ADDRESS(13+2,$B70))</f>
        <v>6.4497784342688327</v>
      </c>
      <c r="AK70" s="3" cm="1">
        <f t="array" aca="1" ref="AK70" ca="1">INDIRECT(ADDRESS(14+2,$B70))</f>
        <v>8.511765243472885</v>
      </c>
      <c r="AL70" s="3" cm="1">
        <f t="array" aca="1" ref="AL70" ca="1">INDIRECT(ADDRESS(15+2,$B70))</f>
        <v>9.2476038338658153</v>
      </c>
      <c r="AM70" s="3" cm="1">
        <f t="array" aca="1" ref="AM70" ca="1">INDIRECT(ADDRESS(16+2,$B70))</f>
        <v>0</v>
      </c>
      <c r="AN70" s="3" t="b">
        <f t="shared" ca="1" si="44"/>
        <v>0</v>
      </c>
      <c r="AO70" s="3" t="b">
        <f t="shared" ca="1" si="34"/>
        <v>0</v>
      </c>
      <c r="AP70" s="3" t="b">
        <f t="shared" ca="1" si="35"/>
        <v>0</v>
      </c>
      <c r="AQ70" s="3" t="b">
        <f t="shared" ca="1" si="36"/>
        <v>1</v>
      </c>
      <c r="AR70" s="3" t="b">
        <f t="shared" ca="1" si="37"/>
        <v>0</v>
      </c>
      <c r="AS70" s="3" t="b">
        <f t="shared" ca="1" si="38"/>
        <v>0</v>
      </c>
      <c r="AT70" s="3" t="b">
        <f t="shared" ref="AT70:AT86" ca="1" si="76">AND((AT$35-46+6)&lt; CompanyCount, OR(AC70&lt;$U70, AC70&gt;$V70))</f>
        <v>0</v>
      </c>
      <c r="AU70" s="3" t="b">
        <f t="shared" ref="AU70:AU86" ca="1" si="77">AND((AU$35-46+6)&lt; CompanyCount, OR(AD70&lt;$U70, AD70&gt;$V70))</f>
        <v>0</v>
      </c>
      <c r="AV70" s="3" t="b">
        <f t="shared" ref="AV70:AV86" ca="1" si="78">AND((AV$35-46+6)&lt; CompanyCount, OR(AE70&lt;$U70, AE70&gt;$V70))</f>
        <v>0</v>
      </c>
      <c r="AW70" s="3" t="b">
        <f t="shared" ref="AW70:AW86" ca="1" si="79">AND((AW$35-46+6)&lt; CompanyCount, OR(AF70&lt;$U70, AF70&gt;$V70))</f>
        <v>0</v>
      </c>
      <c r="AX70" s="3" t="b">
        <f t="shared" ref="AX70:AX86" ca="1" si="80">AND((AX$35-46+6)&lt; CompanyCount, OR(AG70&lt;$U70, AG70&gt;$V70))</f>
        <v>0</v>
      </c>
      <c r="AY70" s="3" t="b">
        <f t="shared" ref="AY70:AY86" ca="1" si="81">AND((AY$35-46+6)&lt; CompanyCount, OR(AH70&lt;$U70, AH70&gt;$V70))</f>
        <v>0</v>
      </c>
      <c r="AZ70" s="3" t="b">
        <f t="shared" ref="AZ70:AZ86" ca="1" si="82">AND((AZ$35-46+6)&lt; CompanyCount, OR(AI70&lt;$U70, AI70&gt;$V70))</f>
        <v>1</v>
      </c>
      <c r="BA70" s="3" t="b">
        <f t="shared" ref="BA70:BA86" ca="1" si="83">AND((BA$35-46+6)&lt; CompanyCount, OR(AJ70&lt;$U70, AJ70&gt;$V70))</f>
        <v>0</v>
      </c>
      <c r="BB70" s="3" t="b">
        <f t="shared" ref="BB70:BB86" ca="1" si="84">AND((BB$35-46+6)&lt; CompanyCount, OR(AK70&lt;$U70, AK70&gt;$V70))</f>
        <v>0</v>
      </c>
      <c r="BC70" s="3" t="b">
        <f t="shared" ref="BC70:BC86" ca="1" si="85">AND((BC$35-46+6)&lt; CompanyCount, OR(AL70&lt;$U70, AL70&gt;$V70))</f>
        <v>0</v>
      </c>
      <c r="BD70" s="3" t="b">
        <f t="shared" ref="BD70:BD86" ca="1" si="86">AND((BD$35-46+6)&lt; CompanyCount, OR(AM70&lt;$U70, AM70&gt;$V70))</f>
        <v>0</v>
      </c>
    </row>
    <row r="71" spans="1:56">
      <c r="A71" s="110" t="s">
        <v>386</v>
      </c>
      <c r="B71" s="103">
        <f t="shared" ref="B71" si="87">MATCH(A71, SKCOLNAMES, 0)</f>
        <v>83</v>
      </c>
      <c r="C71" s="103" t="str">
        <f t="shared" si="65"/>
        <v>$CE$2:$CE$17</v>
      </c>
      <c r="D71" s="3" cm="1">
        <f t="array" aca="1" ref="D71" ca="1">MIN(_xlfn.IFNA(INDIRECT($C71), ""))</f>
        <v>0.70695669766176106</v>
      </c>
      <c r="E71" s="3" cm="1">
        <f t="array" aca="1" ref="E71" ca="1">PERCENTILE(_xlfn.IFNA(INDIRECT($C71), ""),E$36)</f>
        <v>2.5720572759761628</v>
      </c>
      <c r="F71" s="3" cm="1">
        <f t="array" aca="1" ref="F71" ca="1">PERCENTILE(_xlfn.IFNA(INDIRECT($C71), ""),F$36)</f>
        <v>3.542412915036997</v>
      </c>
      <c r="G71" s="3" cm="1">
        <f t="array" aca="1" ref="G71" ca="1">PERCENTILE(_xlfn.IFNA(INDIRECT($C71), ""),G$36)</f>
        <v>4.166631601582619</v>
      </c>
      <c r="H71" s="3" cm="1">
        <f t="array" aca="1" ref="H71" ca="1">PERCENTILE(_xlfn.IFNA(INDIRECT($C71), ""),H$36)</f>
        <v>5.2428081883739335</v>
      </c>
      <c r="I71" s="3" cm="1">
        <f t="array" aca="1" ref="I71" ca="1">PERCENTILE(_xlfn.IFNA(INDIRECT($C71), ""),I$36)</f>
        <v>6.5637616369383069</v>
      </c>
      <c r="J71" s="3" cm="1">
        <f t="array" aca="1" ref="J71" ca="1">MAX(_xlfn.IFNA(INDIRECT($C71), ""))</f>
        <v>6.9892039277863818</v>
      </c>
      <c r="K71" s="3" cm="1">
        <f t="array" aca="1" ref="K71" ca="1">INDIRECT(ADDRESS($B$22,$B71))</f>
        <v>3.670185810810811</v>
      </c>
      <c r="L71" s="123" t="s">
        <v>116</v>
      </c>
      <c r="S71" s="3">
        <f t="shared" ca="1" si="40"/>
        <v>1.7003952733369365</v>
      </c>
      <c r="T71" s="3">
        <f t="shared" ca="1" si="41"/>
        <v>2.5505929100054048</v>
      </c>
      <c r="U71" s="3">
        <f t="shared" ca="1" si="42"/>
        <v>0.99182000503159218</v>
      </c>
      <c r="V71" s="3">
        <f t="shared" ca="1" si="43"/>
        <v>7.7934010983793378</v>
      </c>
      <c r="W71" s="3" cm="1">
        <f t="array" aca="1" ref="W71" ca="1">INDIRECT(ADDRESS(0+2,$B71))</f>
        <v>0.70695669766176106</v>
      </c>
      <c r="X71" s="3" cm="1">
        <f t="array" aca="1" ref="X71" ca="1">INDIRECT(ADDRESS(1+2,$B71))</f>
        <v>3.670185810810811</v>
      </c>
      <c r="Y71" s="3" cm="1">
        <f t="array" aca="1" ref="Y71" ca="1">INDIRECT(ADDRESS(2+2,$B71))</f>
        <v>4.6260462002008707</v>
      </c>
      <c r="Z71" s="3" t="e" cm="1">
        <f t="array" aca="1" ref="Z71" ca="1">INDIRECT(ADDRESS(3+2,$B71))</f>
        <v>#N/A</v>
      </c>
      <c r="AA71" s="3" cm="1">
        <f t="array" aca="1" ref="AA71" ca="1">INDIRECT(ADDRESS(4+2,$B71))</f>
        <v>4.9228062335921354</v>
      </c>
      <c r="AB71" s="3" cm="1">
        <f t="array" aca="1" ref="AB71" ca="1">INDIRECT(ADDRESS(5+2,$B71))</f>
        <v>5.441941492391785</v>
      </c>
      <c r="AC71" s="3" cm="1">
        <f t="array" aca="1" ref="AC71" ca="1">INDIRECT(ADDRESS(6+2,$B71))</f>
        <v>4.166631601582619</v>
      </c>
      <c r="AD71" s="3" cm="1">
        <f t="array" aca="1" ref="AD71" ca="1">INDIRECT(ADDRESS(7+2,$B71))</f>
        <v>6.9892039277863818</v>
      </c>
      <c r="AE71" s="3" cm="1">
        <f t="array" aca="1" ref="AE71" ca="1">INDIRECT(ADDRESS(8+2,$B71))</f>
        <v>3.6835395221456224</v>
      </c>
      <c r="AF71" s="3" cm="1">
        <f t="array" aca="1" ref="AF71" ca="1">INDIRECT(ADDRESS(9+2,$B71))</f>
        <v>3.4146400192631834</v>
      </c>
      <c r="AG71" s="3" cm="1">
        <f t="array" aca="1" ref="AG71" ca="1">INDIRECT(ADDRESS(10+2,$B71))</f>
        <v>3.6912827781715096</v>
      </c>
      <c r="AH71" s="3" cm="1">
        <f t="array" aca="1" ref="AH71" ca="1">INDIRECT(ADDRESS(11+2,$B71))</f>
        <v>2.2282021151586369</v>
      </c>
      <c r="AI71" s="3" cm="1">
        <f t="array" aca="1" ref="AI71" ca="1">INDIRECT(ADDRESS(12+2,$B71))</f>
        <v>6.63226957799706</v>
      </c>
      <c r="AJ71" s="3" cm="1">
        <f t="array" aca="1" ref="AJ71" ca="1">INDIRECT(ADDRESS(13+2,$B71))</f>
        <v>3.0878400172024514</v>
      </c>
      <c r="AK71" s="3" cm="1">
        <f t="array" aca="1" ref="AK71" ca="1">INDIRECT(ADDRESS(14+2,$B71))</f>
        <v>5.0436748843560819</v>
      </c>
      <c r="AL71" s="3" cm="1">
        <f t="array" aca="1" ref="AL71" ca="1">INDIRECT(ADDRESS(15+2,$B71))</f>
        <v>6.4609997253501783</v>
      </c>
      <c r="AM71" s="3" cm="1">
        <f t="array" aca="1" ref="AM71" ca="1">INDIRECT(ADDRESS(16+2,$B71))</f>
        <v>0</v>
      </c>
      <c r="AN71" s="3" t="b">
        <f t="shared" ca="1" si="44"/>
        <v>1</v>
      </c>
      <c r="AO71" s="3" t="b">
        <f t="shared" ca="1" si="34"/>
        <v>0</v>
      </c>
      <c r="AP71" s="3" t="b">
        <f t="shared" ca="1" si="35"/>
        <v>0</v>
      </c>
      <c r="AQ71" s="3" t="e">
        <f t="shared" ca="1" si="36"/>
        <v>#N/A</v>
      </c>
      <c r="AR71" s="3" t="b">
        <f t="shared" ca="1" si="37"/>
        <v>0</v>
      </c>
      <c r="AS71" s="3" t="b">
        <f t="shared" ca="1" si="38"/>
        <v>0</v>
      </c>
      <c r="AT71" s="3" t="b">
        <f t="shared" ca="1" si="76"/>
        <v>0</v>
      </c>
      <c r="AU71" s="3" t="b">
        <f t="shared" ca="1" si="77"/>
        <v>0</v>
      </c>
      <c r="AV71" s="3" t="b">
        <f t="shared" ca="1" si="78"/>
        <v>0</v>
      </c>
      <c r="AW71" s="3" t="b">
        <f t="shared" ca="1" si="79"/>
        <v>0</v>
      </c>
      <c r="AX71" s="3" t="b">
        <f t="shared" ca="1" si="80"/>
        <v>0</v>
      </c>
      <c r="AY71" s="3" t="b">
        <f t="shared" ca="1" si="81"/>
        <v>0</v>
      </c>
      <c r="AZ71" s="3" t="b">
        <f t="shared" ca="1" si="82"/>
        <v>0</v>
      </c>
      <c r="BA71" s="3" t="b">
        <f t="shared" ca="1" si="83"/>
        <v>0</v>
      </c>
      <c r="BB71" s="3" t="b">
        <f t="shared" ca="1" si="84"/>
        <v>0</v>
      </c>
      <c r="BC71" s="3" t="b">
        <f t="shared" ca="1" si="85"/>
        <v>0</v>
      </c>
      <c r="BD71" s="3" t="b">
        <f t="shared" ca="1" si="86"/>
        <v>0</v>
      </c>
    </row>
    <row r="72" spans="1:56">
      <c r="A72" s="110" t="s">
        <v>387</v>
      </c>
      <c r="B72" s="103">
        <f t="shared" ref="B72" si="88">MATCH(A72, SKCOLNAMES, 0)</f>
        <v>84</v>
      </c>
      <c r="C72" s="103" t="str">
        <f t="shared" si="65"/>
        <v>$CF$2:$CF$17</v>
      </c>
      <c r="D72" s="3" cm="1">
        <f t="array" aca="1" ref="D72" ca="1">MIN(_xlfn.IFNA(INDIRECT($C72), ""))</f>
        <v>0.27884018245283421</v>
      </c>
      <c r="E72" s="3" cm="1">
        <f t="array" aca="1" ref="E72" ca="1">PERCENTILE(_xlfn.IFNA(INDIRECT($C72), ""),E$36)</f>
        <v>0.4407144488591298</v>
      </c>
      <c r="F72" s="3" cm="1">
        <f t="array" aca="1" ref="F72" ca="1">PERCENTILE(_xlfn.IFNA(INDIRECT($C72), ""),F$36)</f>
        <v>0.49258184507613972</v>
      </c>
      <c r="G72" s="3" cm="1">
        <f t="array" aca="1" ref="G72" ca="1">PERCENTILE(_xlfn.IFNA(INDIRECT($C72), ""),G$36)</f>
        <v>0.78011882495324014</v>
      </c>
      <c r="H72" s="3" cm="1">
        <f t="array" aca="1" ref="H72" ca="1">PERCENTILE(_xlfn.IFNA(INDIRECT($C72), ""),H$36)</f>
        <v>0.88078738334824713</v>
      </c>
      <c r="I72" s="3" cm="1">
        <f t="array" aca="1" ref="I72" ca="1">PERCENTILE(_xlfn.IFNA(INDIRECT($C72), ""),I$36)</f>
        <v>1.1528841156401111</v>
      </c>
      <c r="J72" s="3" cm="1">
        <f t="array" aca="1" ref="J72" ca="1">MAX(_xlfn.IFNA(INDIRECT($C72), ""))</f>
        <v>1.6579286575367671</v>
      </c>
      <c r="K72" s="3" cm="1">
        <f t="array" aca="1" ref="K72" ca="1">INDIRECT(ADDRESS($B$22,$B72))</f>
        <v>0.70247332686711927</v>
      </c>
      <c r="L72" s="123" t="s">
        <v>117</v>
      </c>
      <c r="M72" s="90" cm="1">
        <f t="array" aca="1" ref="M72" ca="1">_xlfn.IFS(K72&lt;=D72,0,K72&lt;=E72,0.1,K72&lt;=F72,0.25,K72&gt;=J72,1,K72&gt;=I72,0.9,K72&gt;=H72,0.75,TRUE,0.5)</f>
        <v>0.5</v>
      </c>
      <c r="N72" s="41" cm="1">
        <f t="array" aca="1" ref="N72" ca="1">_xlfn.IFS(K72&lt;=F72,0,K72&lt;=G72,1,K72&lt;=H72,2,TRUE,3)</f>
        <v>1</v>
      </c>
      <c r="O72" s="3" t="b">
        <v>0</v>
      </c>
      <c r="P72" s="90">
        <f ca="1">IF(O72,1-M72, M72)</f>
        <v>0.5</v>
      </c>
      <c r="Q72" s="3">
        <f ca="1">IF(O72,3-N72,N72)</f>
        <v>1</v>
      </c>
      <c r="S72" s="3">
        <f t="shared" ca="1" si="40"/>
        <v>0.38820553827210741</v>
      </c>
      <c r="T72" s="3">
        <f t="shared" ca="1" si="41"/>
        <v>0.58230830740816109</v>
      </c>
      <c r="U72" s="3">
        <f t="shared" ca="1" si="42"/>
        <v>-8.9726462332021362E-2</v>
      </c>
      <c r="V72" s="3">
        <f t="shared" ca="1" si="43"/>
        <v>1.4630956907564081</v>
      </c>
      <c r="W72" s="3" cm="1">
        <f t="array" aca="1" ref="W72" ca="1">INDIRECT(ADDRESS(0+2,$B72))</f>
        <v>0.86476522434767833</v>
      </c>
      <c r="X72" s="3" cm="1">
        <f t="array" aca="1" ref="X72" ca="1">INDIRECT(ADDRESS(1+2,$B72))</f>
        <v>0.70247332686711927</v>
      </c>
      <c r="Y72" s="3" cm="1">
        <f t="array" aca="1" ref="Y72" ca="1">INDIRECT(ADDRESS(2+2,$B72))</f>
        <v>0.49562410329985651</v>
      </c>
      <c r="Z72" s="3" t="e" cm="1">
        <f t="array" aca="1" ref="Z72" ca="1">INDIRECT(ADDRESS(3+2,$B72))</f>
        <v>#N/A</v>
      </c>
      <c r="AA72" s="3" cm="1">
        <f t="array" aca="1" ref="AA72" ca="1">INDIRECT(ADDRESS(4+2,$B72))</f>
        <v>0.5721677427312889</v>
      </c>
      <c r="AB72" s="3" cm="1">
        <f t="array" aca="1" ref="AB72" ca="1">INDIRECT(ADDRESS(5+2,$B72))</f>
        <v>0.9385186424011126</v>
      </c>
      <c r="AC72" s="3" cm="1">
        <f t="array" aca="1" ref="AC72" ca="1">INDIRECT(ADDRESS(6+2,$B72))</f>
        <v>0.86161524845155657</v>
      </c>
      <c r="AD72" s="3" cm="1">
        <f t="array" aca="1" ref="AD72" ca="1">INDIRECT(ADDRESS(7+2,$B72))</f>
        <v>0.89680954234881594</v>
      </c>
      <c r="AE72" s="3" cm="1">
        <f t="array" aca="1" ref="AE72" ca="1">INDIRECT(ADDRESS(8+2,$B72))</f>
        <v>0.45968274171498608</v>
      </c>
      <c r="AF72" s="3" cm="1">
        <f t="array" aca="1" ref="AF72" ca="1">INDIRECT(ADDRESS(9+2,$B72))</f>
        <v>0.78011882495324014</v>
      </c>
      <c r="AG72" s="3" cm="1">
        <f t="array" aca="1" ref="AG72" ca="1">INDIRECT(ADDRESS(10+2,$B72))</f>
        <v>0.27884018245283421</v>
      </c>
      <c r="AH72" s="3" cm="1">
        <f t="array" aca="1" ref="AH72" ca="1">INDIRECT(ADDRESS(11+2,$B72))</f>
        <v>0.81341826995259847</v>
      </c>
      <c r="AI72" s="3" cm="1">
        <f t="array" aca="1" ref="AI72" ca="1">INDIRECT(ADDRESS(12+2,$B72))</f>
        <v>0.48953958685242294</v>
      </c>
      <c r="AJ72" s="3" cm="1">
        <f t="array" aca="1" ref="AJ72" ca="1">INDIRECT(ADDRESS(13+2,$B72))</f>
        <v>0.42806892028855897</v>
      </c>
      <c r="AK72" s="3" cm="1">
        <f t="array" aca="1" ref="AK72" ca="1">INDIRECT(ADDRESS(14+2,$B72))</f>
        <v>1.6579286575367671</v>
      </c>
      <c r="AL72" s="3" cm="1">
        <f t="array" aca="1" ref="AL72" ca="1">INDIRECT(ADDRESS(15+2,$B72))</f>
        <v>1.2957944311327769</v>
      </c>
      <c r="AM72" s="3" cm="1">
        <f t="array" aca="1" ref="AM72" ca="1">INDIRECT(ADDRESS(16+2,$B72))</f>
        <v>0</v>
      </c>
      <c r="AN72" s="3" t="b">
        <f t="shared" ca="1" si="44"/>
        <v>0</v>
      </c>
      <c r="AO72" s="3" t="b">
        <f t="shared" ca="1" si="34"/>
        <v>0</v>
      </c>
      <c r="AP72" s="3" t="b">
        <f t="shared" ca="1" si="35"/>
        <v>0</v>
      </c>
      <c r="AQ72" s="3" t="e">
        <f t="shared" ca="1" si="36"/>
        <v>#N/A</v>
      </c>
      <c r="AR72" s="3" t="b">
        <f t="shared" ca="1" si="37"/>
        <v>0</v>
      </c>
      <c r="AS72" s="3" t="b">
        <f t="shared" ca="1" si="38"/>
        <v>0</v>
      </c>
      <c r="AT72" s="3" t="b">
        <f t="shared" ca="1" si="76"/>
        <v>0</v>
      </c>
      <c r="AU72" s="3" t="b">
        <f t="shared" ca="1" si="77"/>
        <v>0</v>
      </c>
      <c r="AV72" s="3" t="b">
        <f t="shared" ca="1" si="78"/>
        <v>0</v>
      </c>
      <c r="AW72" s="3" t="b">
        <f t="shared" ca="1" si="79"/>
        <v>0</v>
      </c>
      <c r="AX72" s="3" t="b">
        <f t="shared" ca="1" si="80"/>
        <v>0</v>
      </c>
      <c r="AY72" s="3" t="b">
        <f t="shared" ca="1" si="81"/>
        <v>0</v>
      </c>
      <c r="AZ72" s="3" t="b">
        <f t="shared" ca="1" si="82"/>
        <v>0</v>
      </c>
      <c r="BA72" s="3" t="b">
        <f t="shared" ca="1" si="83"/>
        <v>0</v>
      </c>
      <c r="BB72" s="3" t="b">
        <f t="shared" ca="1" si="84"/>
        <v>1</v>
      </c>
      <c r="BC72" s="3" t="b">
        <f t="shared" ca="1" si="85"/>
        <v>0</v>
      </c>
      <c r="BD72" s="3" t="b">
        <f t="shared" ca="1" si="86"/>
        <v>0</v>
      </c>
    </row>
    <row r="73" spans="1:56">
      <c r="A73" s="110" t="s">
        <v>388</v>
      </c>
      <c r="B73" s="103">
        <f t="shared" ref="B73" si="89">MATCH(A73, SKCOLNAMES, 0)</f>
        <v>85</v>
      </c>
      <c r="C73" s="103" t="str">
        <f t="shared" si="65"/>
        <v>$CG$2:$CG$17</v>
      </c>
      <c r="D73" s="3" cm="1">
        <f t="array" aca="1" ref="D73" ca="1">MIN(_xlfn.IFNA(INDIRECT($C73), ""))</f>
        <v>0.52825672441072657</v>
      </c>
      <c r="E73" s="3" cm="1">
        <f t="array" aca="1" ref="E73" ca="1">PERCENTILE(_xlfn.IFNA(INDIRECT($C73), ""),E$36)</f>
        <v>0.97782058469628419</v>
      </c>
      <c r="F73" s="3" cm="1">
        <f t="array" aca="1" ref="F73" ca="1">PERCENTILE(_xlfn.IFNA(INDIRECT($C73), ""),F$36)</f>
        <v>1.4131736187239465</v>
      </c>
      <c r="G73" s="3" cm="1">
        <f t="array" aca="1" ref="G73" ca="1">PERCENTILE(_xlfn.IFNA(INDIRECT($C73), ""),G$36)</f>
        <v>2.1873301482906244</v>
      </c>
      <c r="H73" s="3" cm="1">
        <f t="array" aca="1" ref="H73" ca="1">PERCENTILE(_xlfn.IFNA(INDIRECT($C73), ""),H$36)</f>
        <v>3.6015224409399265</v>
      </c>
      <c r="I73" s="3" cm="1">
        <f t="array" aca="1" ref="I73" ca="1">PERCENTILE(_xlfn.IFNA(INDIRECT($C73), ""),I$36)</f>
        <v>5.7255636185675902</v>
      </c>
      <c r="J73" s="3" cm="1">
        <f t="array" aca="1" ref="J73" ca="1">MAX(_xlfn.IFNA(INDIRECT($C73), ""))</f>
        <v>15.801666666666668</v>
      </c>
      <c r="K73" s="3" cm="1">
        <f t="array" aca="1" ref="K73" ca="1">INDIRECT(ADDRESS($B$22,$B73))</f>
        <v>3.3909481076863051</v>
      </c>
      <c r="L73" s="123" t="s">
        <v>118</v>
      </c>
      <c r="M73" s="90" cm="1">
        <f t="array" aca="1" ref="M73" ca="1">_xlfn.IFS(K73&lt;=D73,0,K73&lt;=E73,0.1,K73&lt;=F73,0.25,K73&gt;=J73,1,K73&gt;=I73,0.9,K73&gt;=H73,0.75,TRUE,0.5)</f>
        <v>0.5</v>
      </c>
      <c r="N73" s="41" cm="1">
        <f t="array" aca="1" ref="N73" ca="1">_xlfn.IFS(K73&lt;=F73,0,K73&lt;=G73,1,K73&lt;=H73,2,TRUE,3)</f>
        <v>2</v>
      </c>
      <c r="O73" s="3" t="b">
        <v>0</v>
      </c>
      <c r="P73" s="90">
        <f ca="1">IF(O73,1-M73, M73)</f>
        <v>0.5</v>
      </c>
      <c r="Q73" s="3">
        <f ca="1">IF(O73,3-N73,N73)</f>
        <v>2</v>
      </c>
      <c r="S73" s="3">
        <f t="shared" ca="1" si="40"/>
        <v>2.1883488222159801</v>
      </c>
      <c r="T73" s="3">
        <f t="shared" ca="1" si="41"/>
        <v>3.2825232333239702</v>
      </c>
      <c r="U73" s="3">
        <f t="shared" ca="1" si="42"/>
        <v>-1.8693496146000237</v>
      </c>
      <c r="V73" s="3">
        <f t="shared" ca="1" si="43"/>
        <v>6.8840456742638967</v>
      </c>
      <c r="W73" s="3" cm="1">
        <f t="array" aca="1" ref="W73" ca="1">INDIRECT(ADDRESS(0+2,$B73))</f>
        <v>5.712628915417997</v>
      </c>
      <c r="X73" s="3" cm="1">
        <f t="array" aca="1" ref="X73" ca="1">INDIRECT(ADDRESS(1+2,$B73))</f>
        <v>3.3909481076863051</v>
      </c>
      <c r="Y73" s="3" cm="1">
        <f t="array" aca="1" ref="Y73" ca="1">INDIRECT(ADDRESS(2+2,$B73))</f>
        <v>1.4035372836810096</v>
      </c>
      <c r="Z73" s="3" t="e" cm="1">
        <f t="array" aca="1" ref="Z73" ca="1">INDIRECT(ADDRESS(3+2,$B73))</f>
        <v>#N/A</v>
      </c>
      <c r="AA73" s="3" cm="1">
        <f t="array" aca="1" ref="AA73" ca="1">INDIRECT(ADDRESS(4+2,$B73))</f>
        <v>2.1873301482906244</v>
      </c>
      <c r="AB73" s="3" cm="1">
        <f t="array" aca="1" ref="AB73" ca="1">INDIRECT(ADDRESS(5+2,$B73))</f>
        <v>1.4228099537668835</v>
      </c>
      <c r="AC73" s="3" cm="1">
        <f t="array" aca="1" ref="AC73" ca="1">INDIRECT(ADDRESS(6+2,$B73))</f>
        <v>3.2537511392778766</v>
      </c>
      <c r="AD73" s="3" cm="1">
        <f t="array" aca="1" ref="AD73" ca="1">INDIRECT(ADDRESS(7+2,$B73))</f>
        <v>1.6329241434281918</v>
      </c>
      <c r="AE73" s="3" cm="1">
        <f t="array" aca="1" ref="AE73" ca="1">INDIRECT(ADDRESS(8+2,$B73))</f>
        <v>0.95239839333894938</v>
      </c>
      <c r="AF73" s="3" cm="1">
        <f t="array" aca="1" ref="AF73" ca="1">INDIRECT(ADDRESS(9+2,$B73))</f>
        <v>3.8120967741935483</v>
      </c>
      <c r="AG73" s="3" cm="1">
        <f t="array" aca="1" ref="AG73" ca="1">INDIRECT(ADDRESS(10+2,$B73))</f>
        <v>0.52825672441072657</v>
      </c>
      <c r="AH73" s="3" cm="1">
        <f t="array" aca="1" ref="AH73" ca="1">INDIRECT(ADDRESS(11+2,$B73))</f>
        <v>15.801666666666668</v>
      </c>
      <c r="AI73" s="3" cm="1">
        <f t="array" aca="1" ref="AI73" ca="1">INDIRECT(ADDRESS(12+2,$B73))</f>
        <v>1.4323055996372704</v>
      </c>
      <c r="AJ73" s="3" cm="1">
        <f t="array" aca="1" ref="AJ73" ca="1">INDIRECT(ADDRESS(13+2,$B73))</f>
        <v>1.0159538717322862</v>
      </c>
      <c r="AK73" s="3" cm="1">
        <f t="array" aca="1" ref="AK73" ca="1">INDIRECT(ADDRESS(14+2,$B73))</f>
        <v>5.7341867540006524</v>
      </c>
      <c r="AL73" s="3" cm="1">
        <f t="array" aca="1" ref="AL73" ca="1">INDIRECT(ADDRESS(15+2,$B73))</f>
        <v>2.6546860012413247</v>
      </c>
      <c r="AM73" s="3" cm="1">
        <f t="array" aca="1" ref="AM73" ca="1">INDIRECT(ADDRESS(16+2,$B73))</f>
        <v>0</v>
      </c>
      <c r="AN73" s="3" t="b">
        <f t="shared" ca="1" si="44"/>
        <v>0</v>
      </c>
      <c r="AO73" s="3" t="b">
        <f t="shared" ca="1" si="34"/>
        <v>0</v>
      </c>
      <c r="AP73" s="3" t="b">
        <f t="shared" ca="1" si="35"/>
        <v>0</v>
      </c>
      <c r="AQ73" s="3" t="e">
        <f t="shared" ca="1" si="36"/>
        <v>#N/A</v>
      </c>
      <c r="AR73" s="3" t="b">
        <f t="shared" ca="1" si="37"/>
        <v>0</v>
      </c>
      <c r="AS73" s="3" t="b">
        <f t="shared" ca="1" si="38"/>
        <v>0</v>
      </c>
      <c r="AT73" s="3" t="b">
        <f t="shared" ca="1" si="76"/>
        <v>0</v>
      </c>
      <c r="AU73" s="3" t="b">
        <f t="shared" ca="1" si="77"/>
        <v>0</v>
      </c>
      <c r="AV73" s="3" t="b">
        <f t="shared" ca="1" si="78"/>
        <v>0</v>
      </c>
      <c r="AW73" s="3" t="b">
        <f t="shared" ca="1" si="79"/>
        <v>0</v>
      </c>
      <c r="AX73" s="3" t="b">
        <f t="shared" ca="1" si="80"/>
        <v>0</v>
      </c>
      <c r="AY73" s="3" t="b">
        <f t="shared" ca="1" si="81"/>
        <v>1</v>
      </c>
      <c r="AZ73" s="3" t="b">
        <f t="shared" ca="1" si="82"/>
        <v>0</v>
      </c>
      <c r="BA73" s="3" t="b">
        <f t="shared" ca="1" si="83"/>
        <v>0</v>
      </c>
      <c r="BB73" s="3" t="b">
        <f t="shared" ca="1" si="84"/>
        <v>0</v>
      </c>
      <c r="BC73" s="3" t="b">
        <f t="shared" ca="1" si="85"/>
        <v>0</v>
      </c>
      <c r="BD73" s="3" t="b">
        <f t="shared" ca="1" si="86"/>
        <v>0</v>
      </c>
    </row>
    <row r="74" spans="1:56">
      <c r="A74" s="110" t="s">
        <v>389</v>
      </c>
      <c r="B74" s="103">
        <f t="shared" ref="B74" si="90">MATCH(A74, SKCOLNAMES, 0)</f>
        <v>86</v>
      </c>
      <c r="C74" s="103" t="str">
        <f t="shared" si="65"/>
        <v>$CH$2:$CH$17</v>
      </c>
      <c r="D74" s="3" cm="1">
        <f t="array" aca="1" ref="D74" ca="1">MIN(_xlfn.IFNA(INDIRECT($C74), ""))</f>
        <v>2.8591766520346423E-2</v>
      </c>
      <c r="E74" s="3" cm="1">
        <f t="array" aca="1" ref="E74" ca="1">PERCENTILE(_xlfn.IFNA(INDIRECT($C74), ""),E$36)</f>
        <v>8.7027209665854491E-2</v>
      </c>
      <c r="F74" s="3" cm="1">
        <f t="array" aca="1" ref="F74" ca="1">PERCENTILE(_xlfn.IFNA(INDIRECT($C74), ""),F$36)</f>
        <v>9.7509381299746081E-2</v>
      </c>
      <c r="G74" s="3" cm="1">
        <f t="array" aca="1" ref="G74" ca="1">PERCENTILE(_xlfn.IFNA(INDIRECT($C74), ""),G$36)</f>
        <v>0.10840562638373871</v>
      </c>
      <c r="H74" s="3" cm="1">
        <f t="array" aca="1" ref="H74" ca="1">PERCENTILE(_xlfn.IFNA(INDIRECT($C74), ""),H$36)</f>
        <v>0.12175376796350804</v>
      </c>
      <c r="I74" s="3" cm="1">
        <f t="array" aca="1" ref="I74" ca="1">PERCENTILE(_xlfn.IFNA(INDIRECT($C74), ""),I$36)</f>
        <v>0.15773529216895837</v>
      </c>
      <c r="J74" s="3" cm="1">
        <f t="array" aca="1" ref="J74" ca="1">MAX(_xlfn.IFNA(INDIRECT($C74), ""))</f>
        <v>0.19971472781660782</v>
      </c>
      <c r="K74" s="3" cm="1">
        <f t="array" aca="1" ref="K74" ca="1">INDIRECT(ADDRESS($B$22,$B74))</f>
        <v>0.10021861696007364</v>
      </c>
      <c r="L74" s="123" t="s">
        <v>174</v>
      </c>
      <c r="S74" s="3">
        <f t="shared" ca="1" si="40"/>
        <v>2.4244386663761955E-2</v>
      </c>
      <c r="T74" s="3">
        <f t="shared" ca="1" si="41"/>
        <v>3.6366579995642932E-2</v>
      </c>
      <c r="U74" s="3">
        <f t="shared" ca="1" si="42"/>
        <v>6.1142801304103149E-2</v>
      </c>
      <c r="V74" s="3">
        <f t="shared" ca="1" si="43"/>
        <v>0.15812034795915098</v>
      </c>
      <c r="W74" s="3" cm="1">
        <f t="array" aca="1" ref="W74" ca="1">INDIRECT(ADDRESS(0+2,$B74))</f>
        <v>0.19971472781660782</v>
      </c>
      <c r="X74" s="3" cm="1">
        <f t="array" aca="1" ref="X74" ca="1">INDIRECT(ADDRESS(1+2,$B74))</f>
        <v>0.10021861696007364</v>
      </c>
      <c r="Y74" s="3" cm="1">
        <f t="array" aca="1" ref="Y74" ca="1">INDIRECT(ADDRESS(2+2,$B74))</f>
        <v>0.12452959907367202</v>
      </c>
      <c r="Z74" s="3" cm="1">
        <f t="array" aca="1" ref="Z74" ca="1">INDIRECT(ADDRESS(3+2,$B74))</f>
        <v>2.8591766520346423E-2</v>
      </c>
      <c r="AA74" s="3" cm="1">
        <f t="array" aca="1" ref="AA74" ca="1">INDIRECT(ADDRESS(4+2,$B74))</f>
        <v>8.0917476994996199E-2</v>
      </c>
      <c r="AB74" s="3" cm="1">
        <f t="array" aca="1" ref="AB74" ca="1">INDIRECT(ADDRESS(5+2,$B74))</f>
        <v>0.12082849092678671</v>
      </c>
      <c r="AC74" s="3" cm="1">
        <f t="array" aca="1" ref="AC74" ca="1">INDIRECT(ADDRESS(6+2,$B74))</f>
        <v>0.11018547179757042</v>
      </c>
      <c r="AD74" s="3" cm="1">
        <f t="array" aca="1" ref="AD74" ca="1">INDIRECT(ADDRESS(7+2,$B74))</f>
        <v>0.12025077047289484</v>
      </c>
      <c r="AE74" s="3" cm="1">
        <f t="array" aca="1" ref="AE74" ca="1">INDIRECT(ADDRESS(8+2,$B74))</f>
        <v>0.11476733752083065</v>
      </c>
      <c r="AF74" s="3" cm="1">
        <f t="array" aca="1" ref="AF74" ca="1">INDIRECT(ADDRESS(9+2,$B74))</f>
        <v>9.8582610535223186E-2</v>
      </c>
      <c r="AG74" s="3" cm="1">
        <f t="array" aca="1" ref="AG74" ca="1">INDIRECT(ADDRESS(10+2,$B74))</f>
        <v>0.10479225865908916</v>
      </c>
      <c r="AH74" s="3" cm="1">
        <f t="array" aca="1" ref="AH74" ca="1">INDIRECT(ADDRESS(11+2,$B74))</f>
        <v>0.12833561860563231</v>
      </c>
      <c r="AI74" s="3" cm="1">
        <f t="array" aca="1" ref="AI74" ca="1">INDIRECT(ADDRESS(12+2,$B74))</f>
        <v>0.18713496573228447</v>
      </c>
      <c r="AJ74" s="3" cm="1">
        <f t="array" aca="1" ref="AJ74" ca="1">INDIRECT(ADDRESS(13+2,$B74))</f>
        <v>9.4289693593314766E-2</v>
      </c>
      <c r="AK74" s="3" cm="1">
        <f t="array" aca="1" ref="AK74" ca="1">INDIRECT(ADDRESS(14+2,$B74))</f>
        <v>0.10662578096990699</v>
      </c>
      <c r="AL74" s="3" cm="1">
        <f t="array" aca="1" ref="AL74" ca="1">INDIRECT(ADDRESS(15+2,$B74))</f>
        <v>9.3136942336712783E-2</v>
      </c>
      <c r="AM74" s="3" cm="1">
        <f t="array" aca="1" ref="AM74" ca="1">INDIRECT(ADDRESS(16+2,$B74))</f>
        <v>0</v>
      </c>
      <c r="AN74" s="3" t="b">
        <f t="shared" ca="1" si="44"/>
        <v>1</v>
      </c>
      <c r="AO74" s="3" t="b">
        <f t="shared" ca="1" si="34"/>
        <v>0</v>
      </c>
      <c r="AP74" s="3" t="b">
        <f t="shared" ca="1" si="35"/>
        <v>0</v>
      </c>
      <c r="AQ74" s="3" t="b">
        <f t="shared" ca="1" si="36"/>
        <v>1</v>
      </c>
      <c r="AR74" s="3" t="b">
        <f t="shared" ca="1" si="37"/>
        <v>0</v>
      </c>
      <c r="AS74" s="3" t="b">
        <f t="shared" ca="1" si="38"/>
        <v>0</v>
      </c>
      <c r="AT74" s="3" t="b">
        <f t="shared" ca="1" si="76"/>
        <v>0</v>
      </c>
      <c r="AU74" s="3" t="b">
        <f t="shared" ca="1" si="77"/>
        <v>0</v>
      </c>
      <c r="AV74" s="3" t="b">
        <f t="shared" ca="1" si="78"/>
        <v>0</v>
      </c>
      <c r="AW74" s="3" t="b">
        <f t="shared" ca="1" si="79"/>
        <v>0</v>
      </c>
      <c r="AX74" s="3" t="b">
        <f t="shared" ca="1" si="80"/>
        <v>0</v>
      </c>
      <c r="AY74" s="3" t="b">
        <f t="shared" ca="1" si="81"/>
        <v>0</v>
      </c>
      <c r="AZ74" s="3" t="b">
        <f t="shared" ca="1" si="82"/>
        <v>1</v>
      </c>
      <c r="BA74" s="3" t="b">
        <f t="shared" ca="1" si="83"/>
        <v>0</v>
      </c>
      <c r="BB74" s="3" t="b">
        <f t="shared" ca="1" si="84"/>
        <v>0</v>
      </c>
      <c r="BC74" s="3" t="b">
        <f t="shared" ca="1" si="85"/>
        <v>0</v>
      </c>
      <c r="BD74" s="3" t="b">
        <f t="shared" ca="1" si="86"/>
        <v>0</v>
      </c>
    </row>
    <row r="75" spans="1:56">
      <c r="A75" s="110" t="s">
        <v>390</v>
      </c>
      <c r="B75" s="103">
        <f t="shared" ref="B75" si="91">MATCH(A75, SKCOLNAMES, 0)</f>
        <v>87</v>
      </c>
      <c r="C75" s="103" t="str">
        <f t="shared" si="65"/>
        <v>$CI$2:$CI$17</v>
      </c>
      <c r="D75" s="3" cm="1">
        <f t="array" aca="1" ref="D75" ca="1">MIN(_xlfn.IFNA(INDIRECT($C75), ""))</f>
        <v>9.0087829360100375</v>
      </c>
      <c r="E75" s="3" cm="1">
        <f t="array" aca="1" ref="E75" ca="1">PERCENTILE(_xlfn.IFNA(INDIRECT($C75), ""),E$36)</f>
        <v>10.218734571760407</v>
      </c>
      <c r="F75" s="3" cm="1">
        <f t="array" aca="1" ref="F75" ca="1">PERCENTILE(_xlfn.IFNA(INDIRECT($C75), ""),F$36)</f>
        <v>11.394569283707465</v>
      </c>
      <c r="G75" s="3" cm="1">
        <f t="array" aca="1" ref="G75" ca="1">PERCENTILE(_xlfn.IFNA(INDIRECT($C75), ""),G$36)</f>
        <v>12.776897139404667</v>
      </c>
      <c r="H75" s="3" cm="1">
        <f t="array" aca="1" ref="H75" ca="1">PERCENTILE(_xlfn.IFNA(INDIRECT($C75), ""),H$36)</f>
        <v>14.251268063429798</v>
      </c>
      <c r="I75" s="3" cm="1">
        <f t="array" aca="1" ref="I75" ca="1">PERCENTILE(_xlfn.IFNA(INDIRECT($C75), ""),I$36)</f>
        <v>15.13288561231667</v>
      </c>
      <c r="J75" s="3" cm="1">
        <f t="array" aca="1" ref="J75" ca="1">MAX(_xlfn.IFNA(INDIRECT($C75), ""))</f>
        <v>19.603750000000002</v>
      </c>
      <c r="K75" s="3" cm="1">
        <f t="array" aca="1" ref="K75" ca="1">INDIRECT(ADDRESS($B$22,$B75))</f>
        <v>15.114782608695652</v>
      </c>
      <c r="L75" s="123" t="s">
        <v>119</v>
      </c>
      <c r="M75" s="90" cm="1">
        <f t="array" aca="1" ref="M75" ca="1">_xlfn.IFS(K75&lt;=D75,0,K75&lt;=E75,0.1,K75&lt;=F75,0.25,K75&gt;=J75,1,K75&gt;=I75,0.9,K75&gt;=H75,0.75,TRUE,0.5)</f>
        <v>0.75</v>
      </c>
      <c r="N75" s="41" cm="1">
        <f t="array" aca="1" ref="N75" ca="1">_xlfn.IFS(K75&lt;=F75,0,K75&lt;=G75,1,K75&lt;=H75,2,TRUE,3)</f>
        <v>3</v>
      </c>
      <c r="O75" s="3" t="b">
        <v>1</v>
      </c>
      <c r="P75" s="90">
        <f ca="1">IF(O75,1-M75, M75)</f>
        <v>0.25</v>
      </c>
      <c r="Q75" s="3">
        <f ca="1">IF(O75,3-N75,N75)</f>
        <v>0</v>
      </c>
      <c r="S75" s="3">
        <f t="shared" ca="1" si="40"/>
        <v>2.8566987797223327</v>
      </c>
      <c r="T75" s="3">
        <f t="shared" ca="1" si="41"/>
        <v>4.285048169583499</v>
      </c>
      <c r="U75" s="3">
        <f t="shared" ca="1" si="42"/>
        <v>7.1095211141239663</v>
      </c>
      <c r="V75" s="3">
        <f t="shared" ca="1" si="43"/>
        <v>18.536316233013295</v>
      </c>
      <c r="W75" s="3" cm="1">
        <f t="array" aca="1" ref="W75" ca="1">INDIRECT(ADDRESS(0+2,$B75))</f>
        <v>11.671110833413401</v>
      </c>
      <c r="X75" s="3" cm="1">
        <f t="array" aca="1" ref="X75" ca="1">INDIRECT(ADDRESS(1+2,$B75))</f>
        <v>15.114782608695652</v>
      </c>
      <c r="Y75" s="3" cm="1">
        <f t="array" aca="1" ref="Y75" ca="1">INDIRECT(ADDRESS(2+2,$B75))</f>
        <v>12.842007434944238</v>
      </c>
      <c r="Z75" s="3" cm="1">
        <f t="array" aca="1" ref="Z75" ca="1">INDIRECT(ADDRESS(3+2,$B75))</f>
        <v>15.150988615937688</v>
      </c>
      <c r="AA75" s="3" cm="1">
        <f t="array" aca="1" ref="AA75" ca="1">INDIRECT(ADDRESS(4+2,$B75))</f>
        <v>10.91362763915547</v>
      </c>
      <c r="AB75" s="3" cm="1">
        <f t="array" aca="1" ref="AB75" ca="1">INDIRECT(ADDRESS(5+2,$B75))</f>
        <v>12.013306505857786</v>
      </c>
      <c r="AC75" s="3" cm="1">
        <f t="array" aca="1" ref="AC75" ca="1">INDIRECT(ADDRESS(6+2,$B75))</f>
        <v>13.360860746071269</v>
      </c>
      <c r="AD75" s="3" cm="1">
        <f t="array" aca="1" ref="AD75" ca="1">INDIRECT(ADDRESS(7+2,$B75))</f>
        <v>12.711786843865095</v>
      </c>
      <c r="AE75" s="3" cm="1">
        <f t="array" aca="1" ref="AE75" ca="1">INDIRECT(ADDRESS(8+2,$B75))</f>
        <v>14.147624229234676</v>
      </c>
      <c r="AF75" s="3" cm="1">
        <f t="array" aca="1" ref="AF75" ca="1">INDIRECT(ADDRESS(9+2,$B75))</f>
        <v>9.523841504365345</v>
      </c>
      <c r="AG75" s="3" cm="1">
        <f t="array" aca="1" ref="AG75" ca="1">INDIRECT(ADDRESS(10+2,$B75))</f>
        <v>13.307102708226878</v>
      </c>
      <c r="AH75" s="3" cm="1">
        <f t="array" aca="1" ref="AH75" ca="1">INDIRECT(ADDRESS(11+2,$B75))</f>
        <v>11.085647471499561</v>
      </c>
      <c r="AI75" s="3" cm="1">
        <f t="array" aca="1" ref="AI75" ca="1">INDIRECT(ADDRESS(12+2,$B75))</f>
        <v>11.497543221110099</v>
      </c>
      <c r="AJ75" s="3" cm="1">
        <f t="array" aca="1" ref="AJ75" ca="1">INDIRECT(ADDRESS(13+2,$B75))</f>
        <v>9.0087829360100375</v>
      </c>
      <c r="AK75" s="3" cm="1">
        <f t="array" aca="1" ref="AK75" ca="1">INDIRECT(ADDRESS(14+2,$B75))</f>
        <v>14.562199566015163</v>
      </c>
      <c r="AL75" s="3" cm="1">
        <f t="array" aca="1" ref="AL75" ca="1">INDIRECT(ADDRESS(15+2,$B75))</f>
        <v>19.603750000000002</v>
      </c>
      <c r="AM75" s="3" cm="1">
        <f t="array" aca="1" ref="AM75" ca="1">INDIRECT(ADDRESS(16+2,$B75))</f>
        <v>0</v>
      </c>
      <c r="AN75" s="3" t="b">
        <f t="shared" ca="1" si="44"/>
        <v>0</v>
      </c>
      <c r="AO75" s="3" t="b">
        <f t="shared" ca="1" si="34"/>
        <v>0</v>
      </c>
      <c r="AP75" s="3" t="b">
        <f t="shared" ca="1" si="35"/>
        <v>0</v>
      </c>
      <c r="AQ75" s="3" t="b">
        <f t="shared" ca="1" si="36"/>
        <v>0</v>
      </c>
      <c r="AR75" s="3" t="b">
        <f t="shared" ca="1" si="37"/>
        <v>0</v>
      </c>
      <c r="AS75" s="3" t="b">
        <f t="shared" ca="1" si="38"/>
        <v>0</v>
      </c>
      <c r="AT75" s="3" t="b">
        <f t="shared" ca="1" si="76"/>
        <v>0</v>
      </c>
      <c r="AU75" s="3" t="b">
        <f t="shared" ca="1" si="77"/>
        <v>0</v>
      </c>
      <c r="AV75" s="3" t="b">
        <f t="shared" ca="1" si="78"/>
        <v>0</v>
      </c>
      <c r="AW75" s="3" t="b">
        <f t="shared" ca="1" si="79"/>
        <v>0</v>
      </c>
      <c r="AX75" s="3" t="b">
        <f t="shared" ca="1" si="80"/>
        <v>0</v>
      </c>
      <c r="AY75" s="3" t="b">
        <f t="shared" ca="1" si="81"/>
        <v>0</v>
      </c>
      <c r="AZ75" s="3" t="b">
        <f t="shared" ca="1" si="82"/>
        <v>0</v>
      </c>
      <c r="BA75" s="3" t="b">
        <f t="shared" ca="1" si="83"/>
        <v>0</v>
      </c>
      <c r="BB75" s="3" t="b">
        <f t="shared" ca="1" si="84"/>
        <v>0</v>
      </c>
      <c r="BC75" s="3" t="b">
        <f t="shared" ca="1" si="85"/>
        <v>1</v>
      </c>
      <c r="BD75" s="3" t="b">
        <f t="shared" ca="1" si="86"/>
        <v>0</v>
      </c>
    </row>
    <row r="76" spans="1:56">
      <c r="A76" s="110" t="s">
        <v>391</v>
      </c>
      <c r="B76" s="103">
        <f t="shared" ref="B76" si="92">MATCH(A76, SKCOLNAMES, 0)</f>
        <v>88</v>
      </c>
      <c r="C76" s="103" t="str">
        <f t="shared" si="65"/>
        <v>$CJ$2:$CJ$17</v>
      </c>
      <c r="D76" s="3" cm="1">
        <f t="array" aca="1" ref="D76" ca="1">MIN(_xlfn.IFNA(INDIRECT($C76), ""))</f>
        <v>-2.8591766520346423E-2</v>
      </c>
      <c r="E76" s="3" cm="1">
        <f t="array" aca="1" ref="E76" ca="1">PERCENTILE(_xlfn.IFNA(INDIRECT($C76), ""),E$36)</f>
        <v>0.11635718475680949</v>
      </c>
      <c r="F76" s="3" cm="1">
        <f t="array" aca="1" ref="F76" ca="1">PERCENTILE(_xlfn.IFNA(INDIRECT($C76), ""),F$36)</f>
        <v>0.13771634120718795</v>
      </c>
      <c r="G76" s="3" cm="1">
        <f t="array" aca="1" ref="G76" ca="1">PERCENTILE(_xlfn.IFNA(INDIRECT($C76), ""),G$36)</f>
        <v>0.14651479634021158</v>
      </c>
      <c r="H76" s="3" cm="1">
        <f t="array" aca="1" ref="H76" ca="1">PERCENTILE(_xlfn.IFNA(INDIRECT($C76), ""),H$36)</f>
        <v>0.21736300028681318</v>
      </c>
      <c r="I76" s="3" cm="1">
        <f t="array" aca="1" ref="I76" ca="1">PERCENTILE(_xlfn.IFNA(INDIRECT($C76), ""),I$36)</f>
        <v>0.30447112086725492</v>
      </c>
      <c r="J76" s="3" cm="1">
        <f t="array" aca="1" ref="J76" ca="1">MAX(_xlfn.IFNA(INDIRECT($C76), ""))</f>
        <v>0.47882607319902959</v>
      </c>
      <c r="K76" s="3" cm="1">
        <f t="array" aca="1" ref="K76" ca="1">INDIRECT(ADDRESS($B$22,$B76))</f>
        <v>0.17420319871131054</v>
      </c>
      <c r="L76" s="123" t="s">
        <v>120</v>
      </c>
      <c r="S76" s="3">
        <f t="shared" ca="1" si="40"/>
        <v>7.9646659079625232E-2</v>
      </c>
      <c r="T76" s="3">
        <f t="shared" ca="1" si="41"/>
        <v>0.11946998861943785</v>
      </c>
      <c r="U76" s="3">
        <f t="shared" ca="1" si="42"/>
        <v>1.8246352587750106E-2</v>
      </c>
      <c r="V76" s="3">
        <f t="shared" ca="1" si="43"/>
        <v>0.33683298890625102</v>
      </c>
      <c r="W76" s="3" cm="1">
        <f t="array" aca="1" ref="W76" ca="1">INDIRECT(ADDRESS(0+2,$B76))</f>
        <v>0.34313444229161283</v>
      </c>
      <c r="X76" s="3" cm="1">
        <f t="array" aca="1" ref="X76" ca="1">INDIRECT(ADDRESS(1+2,$B76))</f>
        <v>0.17420319871131054</v>
      </c>
      <c r="Y76" s="3" cm="1">
        <f t="array" aca="1" ref="Y76" ca="1">INDIRECT(ADDRESS(2+2,$B76))</f>
        <v>0.13653386886669563</v>
      </c>
      <c r="Z76" s="3" cm="1">
        <f t="array" aca="1" ref="Z76" ca="1">INDIRECT(ADDRESS(3+2,$B76))</f>
        <v>-2.8591766520346423E-2</v>
      </c>
      <c r="AA76" s="3" cm="1">
        <f t="array" aca="1" ref="AA76" ca="1">INDIRECT(ADDRESS(4+2,$B76))</f>
        <v>0.20962636016021241</v>
      </c>
      <c r="AB76" s="3" cm="1">
        <f t="array" aca="1" ref="AB76" ca="1">INDIRECT(ADDRESS(5+2,$B76))</f>
        <v>0.15227788264586986</v>
      </c>
      <c r="AC76" s="3" cm="1">
        <f t="array" aca="1" ref="AC76" ca="1">INDIRECT(ADDRESS(6+2,$B76))</f>
        <v>0.14019036404495788</v>
      </c>
      <c r="AD76" s="3" cm="1">
        <f t="array" aca="1" ref="AD76" ca="1">INDIRECT(ADDRESS(7+2,$B76))</f>
        <v>0.13864322821270572</v>
      </c>
      <c r="AE76" s="3" cm="1">
        <f t="array" aca="1" ref="AE76" ca="1">INDIRECT(ADDRESS(8+2,$B76))</f>
        <v>0.13811049865401873</v>
      </c>
      <c r="AF76" s="3" cm="1">
        <f t="array" aca="1" ref="AF76" ca="1">INDIRECT(ADDRESS(9+2,$B76))</f>
        <v>0.14075171003455328</v>
      </c>
      <c r="AG76" s="3" cm="1">
        <f t="array" aca="1" ref="AG76" ca="1">INDIRECT(ADDRESS(10+2,$B76))</f>
        <v>0.24057292066661548</v>
      </c>
      <c r="AH76" s="3" cm="1">
        <f t="array" aca="1" ref="AH76" ca="1">INDIRECT(ADDRESS(11+2,$B76))</f>
        <v>0.47882607319902959</v>
      </c>
      <c r="AI76" s="3" cm="1">
        <f t="array" aca="1" ref="AI76" ca="1">INDIRECT(ADDRESS(12+2,$B76))</f>
        <v>0.1604172272432296</v>
      </c>
      <c r="AJ76" s="3" cm="1">
        <f t="array" aca="1" ref="AJ76" ca="1">INDIRECT(ADDRESS(13+2,$B76))</f>
        <v>0.26580779944289695</v>
      </c>
      <c r="AK76" s="3" cm="1">
        <f t="array" aca="1" ref="AK76" ca="1">INDIRECT(ADDRESS(14+2,$B76))</f>
        <v>0.11709023297511657</v>
      </c>
      <c r="AL76" s="3" cm="1">
        <f t="array" aca="1" ref="AL76" ca="1">INDIRECT(ADDRESS(15+2,$B76))</f>
        <v>0.11562413653850241</v>
      </c>
      <c r="AM76" s="3" cm="1">
        <f t="array" aca="1" ref="AM76" ca="1">INDIRECT(ADDRESS(16+2,$B76))</f>
        <v>0</v>
      </c>
      <c r="AN76" s="3" t="b">
        <f t="shared" ca="1" si="44"/>
        <v>1</v>
      </c>
      <c r="AO76" s="3" t="b">
        <f t="shared" ca="1" si="34"/>
        <v>0</v>
      </c>
      <c r="AP76" s="3" t="b">
        <f t="shared" ca="1" si="35"/>
        <v>0</v>
      </c>
      <c r="AQ76" s="3" t="b">
        <f t="shared" ca="1" si="36"/>
        <v>1</v>
      </c>
      <c r="AR76" s="3" t="b">
        <f t="shared" ca="1" si="37"/>
        <v>0</v>
      </c>
      <c r="AS76" s="3" t="b">
        <f t="shared" ca="1" si="38"/>
        <v>0</v>
      </c>
      <c r="AT76" s="3" t="b">
        <f t="shared" ca="1" si="76"/>
        <v>0</v>
      </c>
      <c r="AU76" s="3" t="b">
        <f t="shared" ca="1" si="77"/>
        <v>0</v>
      </c>
      <c r="AV76" s="3" t="b">
        <f t="shared" ca="1" si="78"/>
        <v>0</v>
      </c>
      <c r="AW76" s="3" t="b">
        <f t="shared" ca="1" si="79"/>
        <v>0</v>
      </c>
      <c r="AX76" s="3" t="b">
        <f t="shared" ca="1" si="80"/>
        <v>0</v>
      </c>
      <c r="AY76" s="3" t="b">
        <f t="shared" ca="1" si="81"/>
        <v>1</v>
      </c>
      <c r="AZ76" s="3" t="b">
        <f t="shared" ca="1" si="82"/>
        <v>0</v>
      </c>
      <c r="BA76" s="3" t="b">
        <f t="shared" ca="1" si="83"/>
        <v>0</v>
      </c>
      <c r="BB76" s="3" t="b">
        <f t="shared" ca="1" si="84"/>
        <v>0</v>
      </c>
      <c r="BC76" s="3" t="b">
        <f t="shared" ca="1" si="85"/>
        <v>0</v>
      </c>
      <c r="BD76" s="3" t="b">
        <f t="shared" ca="1" si="86"/>
        <v>0</v>
      </c>
    </row>
    <row r="77" spans="1:56">
      <c r="A77" s="110" t="s">
        <v>392</v>
      </c>
      <c r="B77" s="103">
        <f t="shared" ref="B77" si="93">MATCH(A77, SKCOLNAMES, 0)</f>
        <v>89</v>
      </c>
      <c r="C77" s="103" t="str">
        <f t="shared" si="65"/>
        <v>$CK$2:$CK$17</v>
      </c>
      <c r="D77" s="3" cm="1">
        <f t="array" aca="1" ref="D77" ca="1">MIN(_xlfn.IFNA(INDIRECT($C77), ""))</f>
        <v>1.6470077303917312</v>
      </c>
      <c r="E77" s="3" cm="1">
        <f t="array" aca="1" ref="E77" ca="1">PERCENTILE(_xlfn.IFNA(INDIRECT($C77), ""),E$36)</f>
        <v>2.2160896788837161</v>
      </c>
      <c r="F77" s="3" cm="1">
        <f t="array" aca="1" ref="F77" ca="1">PERCENTILE(_xlfn.IFNA(INDIRECT($C77), ""),F$36)</f>
        <v>2.8863757842589619</v>
      </c>
      <c r="G77" s="3" cm="1">
        <f t="array" aca="1" ref="G77" ca="1">PERCENTILE(_xlfn.IFNA(INDIRECT($C77), ""),G$36)</f>
        <v>3.661576941315734</v>
      </c>
      <c r="H77" s="3" cm="1">
        <f t="array" aca="1" ref="H77" ca="1">PERCENTILE(_xlfn.IFNA(INDIRECT($C77), ""),H$36)</f>
        <v>3.9742371432298951</v>
      </c>
      <c r="I77" s="3" cm="1">
        <f t="array" aca="1" ref="I77" ca="1">PERCENTILE(_xlfn.IFNA(INDIRECT($C77), ""),I$36)</f>
        <v>4.3532739166531167</v>
      </c>
      <c r="J77" s="3" cm="1">
        <f t="array" aca="1" ref="J77" ca="1">MAX(_xlfn.IFNA(INDIRECT($C77), ""))</f>
        <v>4.790164935858277</v>
      </c>
      <c r="K77" s="3" cm="1">
        <f t="array" aca="1" ref="K77" ca="1">INDIRECT(ADDRESS($B$22,$B77))</f>
        <v>3.6440251572327043</v>
      </c>
      <c r="L77" s="123" t="s">
        <v>121</v>
      </c>
      <c r="S77" s="3">
        <f t="shared" ca="1" si="40"/>
        <v>1.0878613589709332</v>
      </c>
      <c r="T77" s="3">
        <f t="shared" ca="1" si="41"/>
        <v>1.6317920384563998</v>
      </c>
      <c r="U77" s="3">
        <f t="shared" ca="1" si="42"/>
        <v>1.2545837458025622</v>
      </c>
      <c r="V77" s="3">
        <f t="shared" ca="1" si="43"/>
        <v>5.6060291816862948</v>
      </c>
      <c r="W77" s="3" cm="1">
        <f t="array" aca="1" ref="W77" ca="1">INDIRECT(ADDRESS(0+2,$B77))</f>
        <v>1.8421323178971487</v>
      </c>
      <c r="X77" s="3" cm="1">
        <f t="array" aca="1" ref="X77" ca="1">INDIRECT(ADDRESS(1+2,$B77))</f>
        <v>3.6440251572327043</v>
      </c>
      <c r="Y77" s="3" cm="1">
        <f t="array" aca="1" ref="Y77" ca="1">INDIRECT(ADDRESS(2+2,$B77))</f>
        <v>3.830486156831491</v>
      </c>
      <c r="Z77" s="3" t="e" cm="1">
        <f t="array" aca="1" ref="Z77" ca="1">INDIRECT(ADDRESS(3+2,$B77))</f>
        <v>#N/A</v>
      </c>
      <c r="AA77" s="3" cm="1">
        <f t="array" aca="1" ref="AA77" ca="1">INDIRECT(ADDRESS(4+2,$B77))</f>
        <v>3.4418214125319739</v>
      </c>
      <c r="AB77" s="3" cm="1">
        <f t="array" aca="1" ref="AB77" ca="1">INDIRECT(ADDRESS(5+2,$B77))</f>
        <v>3.661576941315734</v>
      </c>
      <c r="AC77" s="3" cm="1">
        <f t="array" aca="1" ref="AC77" ca="1">INDIRECT(ADDRESS(6+2,$B77))</f>
        <v>3.9939956531146295</v>
      </c>
      <c r="AD77" s="3" cm="1">
        <f t="array" aca="1" ref="AD77" ca="1">INDIRECT(ADDRESS(7+2,$B77))</f>
        <v>3.8625847067795278</v>
      </c>
      <c r="AE77" s="3" cm="1">
        <f t="array" aca="1" ref="AE77" ca="1">INDIRECT(ADDRESS(8+2,$B77))</f>
        <v>3.9544786333451611</v>
      </c>
      <c r="AF77" s="3" cm="1">
        <f t="array" aca="1" ref="AF77" ca="1">INDIRECT(ADDRESS(9+2,$B77))</f>
        <v>4.1782557454331171</v>
      </c>
      <c r="AG77" s="3" cm="1">
        <f t="array" aca="1" ref="AG77" ca="1">INDIRECT(ADDRESS(10+2,$B77))</f>
        <v>2.8954858794752059</v>
      </c>
      <c r="AH77" s="3" cm="1">
        <f t="array" aca="1" ref="AH77" ca="1">INDIRECT(ADDRESS(11+2,$B77))</f>
        <v>1.6470077303917312</v>
      </c>
      <c r="AI77" s="3" cm="1">
        <f t="array" aca="1" ref="AI77" ca="1">INDIRECT(ADDRESS(12+2,$B77))</f>
        <v>2.8772656890427175</v>
      </c>
      <c r="AJ77" s="3" cm="1">
        <f t="array" aca="1" ref="AJ77" ca="1">INDIRECT(ADDRESS(13+2,$B77))</f>
        <v>2.7770257203635662</v>
      </c>
      <c r="AK77" s="3" cm="1">
        <f t="array" aca="1" ref="AK77" ca="1">INDIRECT(ADDRESS(14+2,$B77))</f>
        <v>4.4699526974664501</v>
      </c>
      <c r="AL77" s="3" cm="1">
        <f t="array" aca="1" ref="AL77" ca="1">INDIRECT(ADDRESS(15+2,$B77))</f>
        <v>4.790164935858277</v>
      </c>
      <c r="AM77" s="3" cm="1">
        <f t="array" aca="1" ref="AM77" ca="1">INDIRECT(ADDRESS(16+2,$B77))</f>
        <v>0</v>
      </c>
      <c r="AN77" s="3" t="b">
        <f t="shared" ca="1" si="44"/>
        <v>0</v>
      </c>
      <c r="AO77" s="3" t="b">
        <f t="shared" ca="1" si="34"/>
        <v>0</v>
      </c>
      <c r="AP77" s="3" t="b">
        <f t="shared" ca="1" si="35"/>
        <v>0</v>
      </c>
      <c r="AQ77" s="3" t="e">
        <f t="shared" ca="1" si="36"/>
        <v>#N/A</v>
      </c>
      <c r="AR77" s="3" t="b">
        <f t="shared" ca="1" si="37"/>
        <v>0</v>
      </c>
      <c r="AS77" s="3" t="b">
        <f t="shared" ca="1" si="38"/>
        <v>0</v>
      </c>
      <c r="AT77" s="3" t="b">
        <f t="shared" ca="1" si="76"/>
        <v>0</v>
      </c>
      <c r="AU77" s="3" t="b">
        <f t="shared" ca="1" si="77"/>
        <v>0</v>
      </c>
      <c r="AV77" s="3" t="b">
        <f t="shared" ca="1" si="78"/>
        <v>0</v>
      </c>
      <c r="AW77" s="3" t="b">
        <f t="shared" ca="1" si="79"/>
        <v>0</v>
      </c>
      <c r="AX77" s="3" t="b">
        <f t="shared" ca="1" si="80"/>
        <v>0</v>
      </c>
      <c r="AY77" s="3" t="b">
        <f t="shared" ca="1" si="81"/>
        <v>0</v>
      </c>
      <c r="AZ77" s="3" t="b">
        <f t="shared" ca="1" si="82"/>
        <v>0</v>
      </c>
      <c r="BA77" s="3" t="b">
        <f t="shared" ca="1" si="83"/>
        <v>0</v>
      </c>
      <c r="BB77" s="3" t="b">
        <f t="shared" ca="1" si="84"/>
        <v>0</v>
      </c>
      <c r="BC77" s="3" t="b">
        <f t="shared" ca="1" si="85"/>
        <v>0</v>
      </c>
      <c r="BD77" s="3" t="b">
        <f t="shared" ca="1" si="86"/>
        <v>0</v>
      </c>
    </row>
    <row r="78" spans="1:56">
      <c r="A78" s="110" t="s">
        <v>366</v>
      </c>
      <c r="B78" s="103">
        <f t="shared" ref="B78" si="94">MATCH(A78, SKCOLNAMES, 0)</f>
        <v>49</v>
      </c>
      <c r="C78" s="103" t="str">
        <f t="shared" si="65"/>
        <v>$AW$2:$AW$17</v>
      </c>
      <c r="D78" s="3" cm="1">
        <f t="array" aca="1" ref="D78" ca="1">MIN(_xlfn.IFNA(INDIRECT($C78), ""))</f>
        <v>0.2</v>
      </c>
      <c r="E78" s="3" cm="1">
        <f t="array" aca="1" ref="E78" ca="1">PERCENTILE(_xlfn.IFNA(INDIRECT($C78), ""),E$36)</f>
        <v>0.22666666666666668</v>
      </c>
      <c r="F78" s="3" cm="1">
        <f t="array" aca="1" ref="F78" ca="1">PERCENTILE(_xlfn.IFNA(INDIRECT($C78), ""),F$36)</f>
        <v>0.39166666666666672</v>
      </c>
      <c r="G78" s="3" cm="1">
        <f t="array" aca="1" ref="G78" ca="1">PERCENTILE(_xlfn.IFNA(INDIRECT($C78), ""),G$36)</f>
        <v>0.51666666666666672</v>
      </c>
      <c r="H78" s="3" cm="1">
        <f t="array" aca="1" ref="H78" ca="1">PERCENTILE(_xlfn.IFNA(INDIRECT($C78), ""),H$36)</f>
        <v>0.60166666666666668</v>
      </c>
      <c r="I78" s="3" cm="1">
        <f t="array" aca="1" ref="I78" ca="1">PERCENTILE(_xlfn.IFNA(INDIRECT($C78), ""),I$36)</f>
        <v>0.71333333333333337</v>
      </c>
      <c r="J78" s="3" cm="1">
        <f t="array" aca="1" ref="J78" ca="1">MAX(_xlfn.IFNA(INDIRECT($C78), ""))</f>
        <v>0.89333333333333331</v>
      </c>
      <c r="K78" s="3" cm="1">
        <f t="array" aca="1" ref="K78" ca="1">INDIRECT(ADDRESS($B$22,$B78))</f>
        <v>0.56000000000000005</v>
      </c>
      <c r="L78" s="123" t="s">
        <v>366</v>
      </c>
      <c r="M78" s="90" cm="1">
        <f t="array" aca="1" ref="M78" ca="1">_xlfn.IFS(K78&lt;=D78,0,K78&lt;=E78,0.1,K78&lt;=F78,0.25,K78&gt;=J78,1,K78&gt;=I78,0.9,K78&gt;=H78,0.75,TRUE,0.5)</f>
        <v>0.5</v>
      </c>
      <c r="N78" s="41" cm="1">
        <f t="array" aca="1" ref="N78" ca="1">_xlfn.IFS(K78&lt;=F78,0,K78&lt;=G78,1,K78&lt;=H78,2,TRUE,3)</f>
        <v>2</v>
      </c>
      <c r="O78" s="3" t="b">
        <v>0</v>
      </c>
      <c r="P78" s="90">
        <f ca="1">IF(O78,1-M78, M78)</f>
        <v>0.5</v>
      </c>
      <c r="Q78" s="3">
        <f ca="1">IF(O78,3-N78,N78)</f>
        <v>2</v>
      </c>
      <c r="S78" s="3">
        <f t="shared" ca="1" si="40"/>
        <v>0.20999999999999996</v>
      </c>
      <c r="T78" s="3">
        <f t="shared" ca="1" si="41"/>
        <v>0.31499999999999995</v>
      </c>
      <c r="U78" s="3">
        <f t="shared" ca="1" si="42"/>
        <v>7.6666666666666772E-2</v>
      </c>
      <c r="V78" s="3">
        <f t="shared" ca="1" si="43"/>
        <v>0.91666666666666663</v>
      </c>
      <c r="W78" s="3" cm="1">
        <f t="array" aca="1" ref="W78" ca="1">INDIRECT(ADDRESS(0+2,$B78))</f>
        <v>0.44666666666666666</v>
      </c>
      <c r="X78" s="3" cm="1">
        <f t="array" aca="1" ref="X78" ca="1">INDIRECT(ADDRESS(1+2,$B78))</f>
        <v>0.56000000000000005</v>
      </c>
      <c r="Y78" s="3" cm="1">
        <f t="array" aca="1" ref="Y78" ca="1">INDIRECT(ADDRESS(2+2,$B78))</f>
        <v>0.71333333333333337</v>
      </c>
      <c r="Z78" s="3" cm="1">
        <f t="array" aca="1" ref="Z78" ca="1">INDIRECT(ADDRESS(3+2,$B78))</f>
        <v>0.52000000000000013</v>
      </c>
      <c r="AA78" s="3" cm="1">
        <f t="array" aca="1" ref="AA78" ca="1">INDIRECT(ADDRESS(4+2,$B78))</f>
        <v>0.89333333333333331</v>
      </c>
      <c r="AB78" s="3" cm="1">
        <f t="array" aca="1" ref="AB78" ca="1">INDIRECT(ADDRESS(5+2,$B78))</f>
        <v>0.71333333333333326</v>
      </c>
      <c r="AC78" s="3" cm="1">
        <f t="array" aca="1" ref="AC78" ca="1">INDIRECT(ADDRESS(6+2,$B78))</f>
        <v>0.42000000000000004</v>
      </c>
      <c r="AD78" s="3" cm="1">
        <f t="array" aca="1" ref="AD78" ca="1">INDIRECT(ADDRESS(7+2,$B78))</f>
        <v>0.42666666666666664</v>
      </c>
      <c r="AE78" s="3" cm="1">
        <f t="array" aca="1" ref="AE78" ca="1">INDIRECT(ADDRESS(8+2,$B78))</f>
        <v>0.2</v>
      </c>
      <c r="AF78" s="3" cm="1">
        <f t="array" aca="1" ref="AF78" ca="1">INDIRECT(ADDRESS(9+2,$B78))</f>
        <v>0.2</v>
      </c>
      <c r="AG78" s="3" cm="1">
        <f t="array" aca="1" ref="AG78" ca="1">INDIRECT(ADDRESS(10+2,$B78))</f>
        <v>0.25333333333333335</v>
      </c>
      <c r="AH78" s="3" cm="1">
        <f t="array" aca="1" ref="AH78" ca="1">INDIRECT(ADDRESS(11+2,$B78))</f>
        <v>0.51333333333333331</v>
      </c>
      <c r="AI78" s="3" cm="1">
        <f t="array" aca="1" ref="AI78" ca="1">INDIRECT(ADDRESS(12+2,$B78))</f>
        <v>0.30666666666666664</v>
      </c>
      <c r="AJ78" s="3" cm="1">
        <f t="array" aca="1" ref="AJ78" ca="1">INDIRECT(ADDRESS(13+2,$B78))</f>
        <v>0.55999999999999994</v>
      </c>
      <c r="AK78" s="3" cm="1">
        <f t="array" aca="1" ref="AK78" ca="1">INDIRECT(ADDRESS(14+2,$B78))</f>
        <v>0.56666666666666665</v>
      </c>
      <c r="AL78" s="3" cm="1">
        <f t="array" aca="1" ref="AL78" ca="1">INDIRECT(ADDRESS(15+2,$B78))</f>
        <v>0.70666666666666667</v>
      </c>
      <c r="AM78" s="3" cm="1">
        <f t="array" aca="1" ref="AM78" ca="1">INDIRECT(ADDRESS(16+2,$B78))</f>
        <v>0</v>
      </c>
      <c r="AN78" s="3" t="b">
        <f t="shared" ca="1" si="44"/>
        <v>0</v>
      </c>
      <c r="AO78" s="3" t="b">
        <f t="shared" ca="1" si="34"/>
        <v>0</v>
      </c>
      <c r="AP78" s="3" t="b">
        <f t="shared" ca="1" si="35"/>
        <v>0</v>
      </c>
      <c r="AQ78" s="3" t="b">
        <f t="shared" ca="1" si="36"/>
        <v>0</v>
      </c>
      <c r="AR78" s="3" t="b">
        <f t="shared" ca="1" si="37"/>
        <v>0</v>
      </c>
      <c r="AS78" s="3" t="b">
        <f t="shared" ca="1" si="38"/>
        <v>0</v>
      </c>
      <c r="AT78" s="3" t="b">
        <f t="shared" ca="1" si="76"/>
        <v>0</v>
      </c>
      <c r="AU78" s="3" t="b">
        <f t="shared" ca="1" si="77"/>
        <v>0</v>
      </c>
      <c r="AV78" s="3" t="b">
        <f t="shared" ca="1" si="78"/>
        <v>0</v>
      </c>
      <c r="AW78" s="3" t="b">
        <f t="shared" ca="1" si="79"/>
        <v>0</v>
      </c>
      <c r="AX78" s="3" t="b">
        <f t="shared" ca="1" si="80"/>
        <v>0</v>
      </c>
      <c r="AY78" s="3" t="b">
        <f t="shared" ca="1" si="81"/>
        <v>0</v>
      </c>
      <c r="AZ78" s="3" t="b">
        <f t="shared" ca="1" si="82"/>
        <v>0</v>
      </c>
      <c r="BA78" s="3" t="b">
        <f t="shared" ca="1" si="83"/>
        <v>0</v>
      </c>
      <c r="BB78" s="3" t="b">
        <f t="shared" ca="1" si="84"/>
        <v>0</v>
      </c>
      <c r="BC78" s="3" t="b">
        <f t="shared" ca="1" si="85"/>
        <v>0</v>
      </c>
      <c r="BD78" s="3" t="b">
        <f t="shared" ca="1" si="86"/>
        <v>0</v>
      </c>
    </row>
    <row r="79" spans="1:56">
      <c r="A79" s="110" t="s">
        <v>382</v>
      </c>
      <c r="B79" s="103">
        <f t="shared" ref="B79" si="95">MATCH(A79, SKCOLNAMES, 0)</f>
        <v>76</v>
      </c>
      <c r="C79" s="103" t="str">
        <f t="shared" si="65"/>
        <v>$BX$2:$BX$17</v>
      </c>
      <c r="D79" s="3" cm="1">
        <f t="array" aca="1" ref="D79" ca="1">MIN(_xlfn.IFNA(INDIRECT($C79), ""))</f>
        <v>0.2095238095238095</v>
      </c>
      <c r="E79" s="3" cm="1">
        <f t="array" aca="1" ref="E79" ca="1">PERCENTILE(_xlfn.IFNA(INDIRECT($C79), ""),E$36)</f>
        <v>0.34761904761904761</v>
      </c>
      <c r="F79" s="3" cm="1">
        <f t="array" aca="1" ref="F79" ca="1">PERCENTILE(_xlfn.IFNA(INDIRECT($C79), ""),F$36)</f>
        <v>0.4</v>
      </c>
      <c r="G79" s="3" cm="1">
        <f t="array" aca="1" ref="G79" ca="1">PERCENTILE(_xlfn.IFNA(INDIRECT($C79), ""),G$36)</f>
        <v>0.54761904761904767</v>
      </c>
      <c r="H79" s="3" cm="1">
        <f t="array" aca="1" ref="H79" ca="1">PERCENTILE(_xlfn.IFNA(INDIRECT($C79), ""),H$36)</f>
        <v>0.73809523809523803</v>
      </c>
      <c r="I79" s="3" cm="1">
        <f t="array" aca="1" ref="I79" ca="1">PERCENTILE(_xlfn.IFNA(INDIRECT($C79), ""),I$36)</f>
        <v>0.85238095238095224</v>
      </c>
      <c r="J79" s="3" cm="1">
        <f t="array" aca="1" ref="J79" ca="1">MAX(_xlfn.IFNA(INDIRECT($C79), ""))</f>
        <v>0.90476190476190488</v>
      </c>
      <c r="K79" s="3" cm="1">
        <f t="array" aca="1" ref="K79" ca="1">INDIRECT(ADDRESS($B$22,$B79))</f>
        <v>0.2095238095238095</v>
      </c>
      <c r="L79" s="123" t="s">
        <v>382</v>
      </c>
      <c r="M79" s="90" cm="1">
        <f t="array" aca="1" ref="M79" ca="1">_xlfn.IFS(K79&lt;=D79,0,K79&lt;=E79,0.1,K79&lt;=F79,0.25,K79&gt;=J79,1,K79&gt;=I79,0.9,K79&gt;=H79,0.75,TRUE,0.5)</f>
        <v>0</v>
      </c>
      <c r="N79" s="41" cm="1">
        <f t="array" aca="1" ref="N79" ca="1">_xlfn.IFS(K79&lt;=F79,0,K79&lt;=G79,1,K79&lt;=H79,2,TRUE,3)</f>
        <v>0</v>
      </c>
      <c r="O79" s="3" t="b">
        <v>0</v>
      </c>
      <c r="P79" s="90">
        <f ca="1">IF(O79,1-M79, M79)</f>
        <v>0</v>
      </c>
      <c r="Q79" s="3">
        <f ca="1">IF(O79,3-N79,N79)</f>
        <v>0</v>
      </c>
      <c r="S79" s="3">
        <f t="shared" ca="1" si="40"/>
        <v>0.338095238095238</v>
      </c>
      <c r="T79" s="3">
        <f t="shared" ca="1" si="41"/>
        <v>0.50714285714285701</v>
      </c>
      <c r="U79" s="3">
        <f t="shared" ca="1" si="42"/>
        <v>-0.10714285714285698</v>
      </c>
      <c r="V79" s="3">
        <f t="shared" ca="1" si="43"/>
        <v>1.245238095238095</v>
      </c>
      <c r="W79" s="3" cm="1">
        <f t="array" aca="1" ref="W79" ca="1">INDIRECT(ADDRESS(0+2,$B79))</f>
        <v>0.78095238095238084</v>
      </c>
      <c r="X79" s="3" cm="1">
        <f t="array" aca="1" ref="X79" ca="1">INDIRECT(ADDRESS(1+2,$B79))</f>
        <v>0.2095238095238095</v>
      </c>
      <c r="Y79" s="3" cm="1">
        <f t="array" aca="1" ref="Y79" ca="1">INDIRECT(ADDRESS(2+2,$B79))</f>
        <v>0.53333333333333333</v>
      </c>
      <c r="Z79" s="3" cm="1">
        <f t="array" aca="1" ref="Z79" ca="1">INDIRECT(ADDRESS(3+2,$B79))</f>
        <v>0.62857142857142867</v>
      </c>
      <c r="AA79" s="3" cm="1">
        <f t="array" aca="1" ref="AA79" ca="1">INDIRECT(ADDRESS(4+2,$B79))</f>
        <v>0.72380952380952379</v>
      </c>
      <c r="AB79" s="3" cm="1">
        <f t="array" aca="1" ref="AB79" ca="1">INDIRECT(ADDRESS(5+2,$B79))</f>
        <v>0.81904761904761902</v>
      </c>
      <c r="AC79" s="3" cm="1">
        <f t="array" aca="1" ref="AC79" ca="1">INDIRECT(ADDRESS(6+2,$B79))</f>
        <v>0.88571428571428557</v>
      </c>
      <c r="AD79" s="3" cm="1">
        <f t="array" aca="1" ref="AD79" ca="1">INDIRECT(ADDRESS(7+2,$B79))</f>
        <v>0.55238095238095242</v>
      </c>
      <c r="AE79" s="3" cm="1">
        <f t="array" aca="1" ref="AE79" ca="1">INDIRECT(ADDRESS(8+2,$B79))</f>
        <v>0.30476190476190473</v>
      </c>
      <c r="AF79" s="3" cm="1">
        <f t="array" aca="1" ref="AF79" ca="1">INDIRECT(ADDRESS(9+2,$B79))</f>
        <v>0.54285714285714293</v>
      </c>
      <c r="AG79" s="3" cm="1">
        <f t="array" aca="1" ref="AG79" ca="1">INDIRECT(ADDRESS(10+2,$B79))</f>
        <v>0.64761904761904776</v>
      </c>
      <c r="AH79" s="3" cm="1">
        <f t="array" aca="1" ref="AH79" ca="1">INDIRECT(ADDRESS(11+2,$B79))</f>
        <v>0.90476190476190488</v>
      </c>
      <c r="AI79" s="3" cm="1">
        <f t="array" aca="1" ref="AI79" ca="1">INDIRECT(ADDRESS(12+2,$B79))</f>
        <v>0.419047619047619</v>
      </c>
      <c r="AJ79" s="3" cm="1">
        <f t="array" aca="1" ref="AJ79" ca="1">INDIRECT(ADDRESS(13+2,$B79))</f>
        <v>0.39047619047619042</v>
      </c>
      <c r="AK79" s="3" cm="1">
        <f t="array" aca="1" ref="AK79" ca="1">INDIRECT(ADDRESS(14+2,$B79))</f>
        <v>0.39999999999999997</v>
      </c>
      <c r="AL79" s="3" cm="1">
        <f t="array" aca="1" ref="AL79" ca="1">INDIRECT(ADDRESS(15+2,$B79))</f>
        <v>0.4</v>
      </c>
      <c r="AM79" s="3" cm="1">
        <f t="array" aca="1" ref="AM79" ca="1">INDIRECT(ADDRESS(16+2,$B79))</f>
        <v>0</v>
      </c>
      <c r="AN79" s="3" t="b">
        <f t="shared" ca="1" si="44"/>
        <v>0</v>
      </c>
      <c r="AO79" s="3" t="b">
        <f t="shared" ca="1" si="34"/>
        <v>0</v>
      </c>
      <c r="AP79" s="3" t="b">
        <f t="shared" ca="1" si="35"/>
        <v>0</v>
      </c>
      <c r="AQ79" s="3" t="b">
        <f t="shared" ca="1" si="36"/>
        <v>0</v>
      </c>
      <c r="AR79" s="3" t="b">
        <f t="shared" ca="1" si="37"/>
        <v>0</v>
      </c>
      <c r="AS79" s="3" t="b">
        <f t="shared" ca="1" si="38"/>
        <v>0</v>
      </c>
      <c r="AT79" s="3" t="b">
        <f t="shared" ca="1" si="76"/>
        <v>0</v>
      </c>
      <c r="AU79" s="3" t="b">
        <f t="shared" ca="1" si="77"/>
        <v>0</v>
      </c>
      <c r="AV79" s="3" t="b">
        <f t="shared" ca="1" si="78"/>
        <v>0</v>
      </c>
      <c r="AW79" s="3" t="b">
        <f t="shared" ca="1" si="79"/>
        <v>0</v>
      </c>
      <c r="AX79" s="3" t="b">
        <f t="shared" ca="1" si="80"/>
        <v>0</v>
      </c>
      <c r="AY79" s="3" t="b">
        <f t="shared" ca="1" si="81"/>
        <v>0</v>
      </c>
      <c r="AZ79" s="3" t="b">
        <f t="shared" ca="1" si="82"/>
        <v>0</v>
      </c>
      <c r="BA79" s="3" t="b">
        <f t="shared" ca="1" si="83"/>
        <v>0</v>
      </c>
      <c r="BB79" s="3" t="b">
        <f t="shared" ca="1" si="84"/>
        <v>0</v>
      </c>
      <c r="BC79" s="3" t="b">
        <f t="shared" ca="1" si="85"/>
        <v>0</v>
      </c>
      <c r="BD79" s="3" t="b">
        <f t="shared" ca="1" si="86"/>
        <v>0</v>
      </c>
    </row>
    <row r="80" spans="1:56">
      <c r="A80" s="110" t="s">
        <v>413</v>
      </c>
      <c r="B80" s="103">
        <f t="shared" ref="B80" si="96">MATCH(A80, SKCOLNAMES, 0)</f>
        <v>110</v>
      </c>
      <c r="C80" s="103" t="str">
        <f t="shared" si="65"/>
        <v>$DF$2:$DF$17</v>
      </c>
      <c r="D80" s="3" cm="1">
        <f t="array" aca="1" ref="D80" ca="1">MIN(_xlfn.IFNA(INDIRECT($C80), ""))</f>
        <v>0.2533333333333333</v>
      </c>
      <c r="E80" s="3" cm="1">
        <f t="array" aca="1" ref="E80" ca="1">PERCENTILE(_xlfn.IFNA(INDIRECT($C80), ""),E$36)</f>
        <v>0.29333333333333333</v>
      </c>
      <c r="F80" s="3" cm="1">
        <f t="array" aca="1" ref="F80" ca="1">PERCENTILE(_xlfn.IFNA(INDIRECT($C80), ""),F$36)</f>
        <v>0.41000000000000003</v>
      </c>
      <c r="G80" s="3" cm="1">
        <f t="array" aca="1" ref="G80" ca="1">PERCENTILE(_xlfn.IFNA(INDIRECT($C80), ""),G$36)</f>
        <v>0.45333333333333337</v>
      </c>
      <c r="H80" s="3" cm="1">
        <f t="array" aca="1" ref="H80" ca="1">PERCENTILE(_xlfn.IFNA(INDIRECT($C80), ""),H$36)</f>
        <v>0.6</v>
      </c>
      <c r="I80" s="3" cm="1">
        <f t="array" aca="1" ref="I80" ca="1">PERCENTILE(_xlfn.IFNA(INDIRECT($C80), ""),I$36)</f>
        <v>0.76666666666666661</v>
      </c>
      <c r="J80" s="3" cm="1">
        <f t="array" aca="1" ref="J80" ca="1">MAX(_xlfn.IFNA(INDIRECT($C80), ""))</f>
        <v>0.8</v>
      </c>
      <c r="K80" s="3" cm="1">
        <f t="array" aca="1" ref="K80" ca="1">INDIRECT(ADDRESS($B$22,$B80))</f>
        <v>0.79999999999999993</v>
      </c>
      <c r="L80" s="123" t="s">
        <v>413</v>
      </c>
      <c r="M80" s="90" cm="1">
        <f t="array" aca="1" ref="M80" ca="1">_xlfn.IFS(K80&lt;=D80,0,K80&lt;=E80,0.1,K80&lt;=F80,0.25,K80&gt;=J80,1,K80&gt;=I80,0.9,K80&gt;=H80,0.75,TRUE,0.5)</f>
        <v>1</v>
      </c>
      <c r="N80" s="41" cm="1">
        <f t="array" aca="1" ref="N80" ca="1">_xlfn.IFS(K80&lt;=F80,0,K80&lt;=G80,1,K80&lt;=H80,2,TRUE,3)</f>
        <v>3</v>
      </c>
      <c r="O80" s="3" t="b">
        <v>0</v>
      </c>
      <c r="P80" s="90">
        <f ca="1">IF(O80,1-M80, M80)</f>
        <v>1</v>
      </c>
      <c r="Q80" s="3">
        <f ca="1">IF(O80,3-N80,N80)</f>
        <v>3</v>
      </c>
      <c r="S80" s="3">
        <f t="shared" ca="1" si="40"/>
        <v>0.18999999999999995</v>
      </c>
      <c r="T80" s="3">
        <f t="shared" ca="1" si="41"/>
        <v>0.28499999999999992</v>
      </c>
      <c r="U80" s="3">
        <f t="shared" ca="1" si="42"/>
        <v>0.12500000000000011</v>
      </c>
      <c r="V80" s="3">
        <f t="shared" ca="1" si="43"/>
        <v>0.8849999999999999</v>
      </c>
      <c r="W80" s="3" cm="1">
        <f t="array" aca="1" ref="W80" ca="1">INDIRECT(ADDRESS(0+2,$B80))</f>
        <v>0.42666666666666675</v>
      </c>
      <c r="X80" s="3" cm="1">
        <f t="array" aca="1" ref="X80" ca="1">INDIRECT(ADDRESS(1+2,$B80))</f>
        <v>0.79999999999999993</v>
      </c>
      <c r="Y80" s="3" cm="1">
        <f t="array" aca="1" ref="Y80" ca="1">INDIRECT(ADDRESS(2+2,$B80))</f>
        <v>0.8</v>
      </c>
      <c r="Z80" s="3" cm="1">
        <f t="array" aca="1" ref="Z80" ca="1">INDIRECT(ADDRESS(3+2,$B80))</f>
        <v>0.6</v>
      </c>
      <c r="AA80" s="3" cm="1">
        <f t="array" aca="1" ref="AA80" ca="1">INDIRECT(ADDRESS(4+2,$B80))</f>
        <v>0.26666666666666672</v>
      </c>
      <c r="AB80" s="3" cm="1">
        <f t="array" aca="1" ref="AB80" ca="1">INDIRECT(ADDRESS(5+2,$B80))</f>
        <v>0.2533333333333333</v>
      </c>
      <c r="AC80" s="3" cm="1">
        <f t="array" aca="1" ref="AC80" ca="1">INDIRECT(ADDRESS(6+2,$B80))</f>
        <v>0.44000000000000006</v>
      </c>
      <c r="AD80" s="3" cm="1">
        <f t="array" aca="1" ref="AD80" ca="1">INDIRECT(ADDRESS(7+2,$B80))</f>
        <v>0.52</v>
      </c>
      <c r="AE80" s="3" cm="1">
        <f t="array" aca="1" ref="AE80" ca="1">INDIRECT(ADDRESS(8+2,$B80))</f>
        <v>0.6</v>
      </c>
      <c r="AF80" s="3" cm="1">
        <f t="array" aca="1" ref="AF80" ca="1">INDIRECT(ADDRESS(9+2,$B80))</f>
        <v>0.44000000000000006</v>
      </c>
      <c r="AG80" s="3" cm="1">
        <f t="array" aca="1" ref="AG80" ca="1">INDIRECT(ADDRESS(10+2,$B80))</f>
        <v>0.36</v>
      </c>
      <c r="AH80" s="3" cm="1">
        <f t="array" aca="1" ref="AH80" ca="1">INDIRECT(ADDRESS(11+2,$B80))</f>
        <v>0.31999999999999995</v>
      </c>
      <c r="AI80" s="3" cm="1">
        <f t="array" aca="1" ref="AI80" ca="1">INDIRECT(ADDRESS(12+2,$B80))</f>
        <v>0.45333333333333331</v>
      </c>
      <c r="AJ80" s="3" cm="1">
        <f t="array" aca="1" ref="AJ80" ca="1">INDIRECT(ADDRESS(13+2,$B80))</f>
        <v>0.45333333333333342</v>
      </c>
      <c r="AK80" s="3" cm="1">
        <f t="array" aca="1" ref="AK80" ca="1">INDIRECT(ADDRESS(14+2,$B80))</f>
        <v>0.53333333333333344</v>
      </c>
      <c r="AL80" s="3" cm="1">
        <f t="array" aca="1" ref="AL80" ca="1">INDIRECT(ADDRESS(15+2,$B80))</f>
        <v>0.73333333333333339</v>
      </c>
      <c r="AM80" s="3" cm="1">
        <f t="array" aca="1" ref="AM80" ca="1">INDIRECT(ADDRESS(16+2,$B80))</f>
        <v>0</v>
      </c>
      <c r="AN80" s="3" t="b">
        <f t="shared" ca="1" si="44"/>
        <v>0</v>
      </c>
      <c r="AO80" s="3" t="b">
        <f t="shared" ca="1" si="34"/>
        <v>0</v>
      </c>
      <c r="AP80" s="3" t="b">
        <f t="shared" ca="1" si="35"/>
        <v>0</v>
      </c>
      <c r="AQ80" s="3" t="b">
        <f t="shared" ca="1" si="36"/>
        <v>0</v>
      </c>
      <c r="AR80" s="3" t="b">
        <f t="shared" ca="1" si="37"/>
        <v>0</v>
      </c>
      <c r="AS80" s="3" t="b">
        <f t="shared" ca="1" si="38"/>
        <v>0</v>
      </c>
      <c r="AT80" s="3" t="b">
        <f t="shared" ca="1" si="76"/>
        <v>0</v>
      </c>
      <c r="AU80" s="3" t="b">
        <f t="shared" ca="1" si="77"/>
        <v>0</v>
      </c>
      <c r="AV80" s="3" t="b">
        <f t="shared" ca="1" si="78"/>
        <v>0</v>
      </c>
      <c r="AW80" s="3" t="b">
        <f t="shared" ca="1" si="79"/>
        <v>0</v>
      </c>
      <c r="AX80" s="3" t="b">
        <f t="shared" ca="1" si="80"/>
        <v>0</v>
      </c>
      <c r="AY80" s="3" t="b">
        <f t="shared" ca="1" si="81"/>
        <v>0</v>
      </c>
      <c r="AZ80" s="3" t="b">
        <f t="shared" ca="1" si="82"/>
        <v>0</v>
      </c>
      <c r="BA80" s="3" t="b">
        <f t="shared" ca="1" si="83"/>
        <v>0</v>
      </c>
      <c r="BB80" s="3" t="b">
        <f t="shared" ca="1" si="84"/>
        <v>0</v>
      </c>
      <c r="BC80" s="3" t="b">
        <f t="shared" ca="1" si="85"/>
        <v>0</v>
      </c>
      <c r="BD80" s="3" t="b">
        <f t="shared" ca="1" si="86"/>
        <v>0</v>
      </c>
    </row>
    <row r="81" spans="1:56">
      <c r="A81" s="110" t="s">
        <v>402</v>
      </c>
      <c r="B81" s="103">
        <f t="shared" ref="B81" si="97">MATCH(A81, SKCOLNAMES, 0)</f>
        <v>99</v>
      </c>
      <c r="C81" s="103" t="str">
        <f t="shared" si="65"/>
        <v>$CU$2:$CU$17</v>
      </c>
      <c r="D81" s="3" cm="1">
        <f t="array" aca="1" ref="D81" ca="1">MIN(_xlfn.IFNA(INDIRECT($C81), ""))</f>
        <v>0.34074074074074079</v>
      </c>
      <c r="E81" s="3" cm="1">
        <f t="array" aca="1" ref="E81" ca="1">PERCENTILE(_xlfn.IFNA(INDIRECT($C81), ""),E$36)</f>
        <v>0.3666666666666667</v>
      </c>
      <c r="F81" s="3" cm="1">
        <f t="array" aca="1" ref="F81" ca="1">PERCENTILE(_xlfn.IFNA(INDIRECT($C81), ""),F$36)</f>
        <v>0.40740740740740744</v>
      </c>
      <c r="G81" s="3" cm="1">
        <f t="array" aca="1" ref="G81" ca="1">PERCENTILE(_xlfn.IFNA(INDIRECT($C81), ""),G$36)</f>
        <v>0.47407407407407409</v>
      </c>
      <c r="H81" s="3" cm="1">
        <f t="array" aca="1" ref="H81" ca="1">PERCENTILE(_xlfn.IFNA(INDIRECT($C81), ""),H$36)</f>
        <v>0.57777777777777772</v>
      </c>
      <c r="I81" s="3" cm="1">
        <f t="array" aca="1" ref="I81" ca="1">PERCENTILE(_xlfn.IFNA(INDIRECT($C81), ""),I$36)</f>
        <v>0.68148148148148158</v>
      </c>
      <c r="J81" s="3" cm="1">
        <f t="array" aca="1" ref="J81" ca="1">MAX(_xlfn.IFNA(INDIRECT($C81), ""))</f>
        <v>0.75555555555555554</v>
      </c>
      <c r="K81" s="3" cm="1">
        <f t="array" aca="1" ref="K81" ca="1">INDIRECT(ADDRESS($B$22,$B81))</f>
        <v>0.49629629629629629</v>
      </c>
      <c r="L81" s="123" t="s">
        <v>402</v>
      </c>
      <c r="M81" s="90" cm="1">
        <f t="array" aca="1" ref="M81" ca="1">_xlfn.IFS(K81&lt;=D81,0,K81&lt;=E81,0.1,K81&lt;=F81,0.25,K81&gt;=J81,1,K81&gt;=I81,0.9,K81&gt;=H81,0.75,TRUE,0.5)</f>
        <v>0.5</v>
      </c>
      <c r="N81" s="41" cm="1">
        <f t="array" aca="1" ref="N81" ca="1">_xlfn.IFS(K81&lt;=F81,0,K81&lt;=G81,1,K81&lt;=H81,2,TRUE,3)</f>
        <v>2</v>
      </c>
      <c r="O81" s="3" t="b">
        <v>0</v>
      </c>
      <c r="P81" s="90">
        <f ca="1">IF(O81,1-M81, M81)</f>
        <v>0.5</v>
      </c>
      <c r="Q81" s="3">
        <f ca="1">IF(O81,3-N81,N81)</f>
        <v>2</v>
      </c>
      <c r="S81" s="3">
        <f t="shared" ca="1" si="40"/>
        <v>0.17037037037037028</v>
      </c>
      <c r="T81" s="3">
        <f t="shared" ca="1" si="41"/>
        <v>0.25555555555555542</v>
      </c>
      <c r="U81" s="3">
        <f t="shared" ca="1" si="42"/>
        <v>0.15185185185185202</v>
      </c>
      <c r="V81" s="3">
        <f t="shared" ca="1" si="43"/>
        <v>0.83333333333333315</v>
      </c>
      <c r="W81" s="3" cm="1">
        <f t="array" aca="1" ref="W81" ca="1">INDIRECT(ADDRESS(0+2,$B81))</f>
        <v>0.51851851851851849</v>
      </c>
      <c r="X81" s="3" cm="1">
        <f t="array" aca="1" ref="X81" ca="1">INDIRECT(ADDRESS(1+2,$B81))</f>
        <v>0.49629629629629629</v>
      </c>
      <c r="Y81" s="3" cm="1">
        <f t="array" aca="1" ref="Y81" ca="1">INDIRECT(ADDRESS(2+2,$B81))</f>
        <v>0.57037037037037031</v>
      </c>
      <c r="Z81" s="3" cm="1">
        <f t="array" aca="1" ref="Z81" ca="1">INDIRECT(ADDRESS(3+2,$B81))</f>
        <v>0.34074074074074079</v>
      </c>
      <c r="AA81" s="3" cm="1">
        <f t="array" aca="1" ref="AA81" ca="1">INDIRECT(ADDRESS(4+2,$B81))</f>
        <v>0.40740740740740744</v>
      </c>
      <c r="AB81" s="3" cm="1">
        <f t="array" aca="1" ref="AB81" ca="1">INDIRECT(ADDRESS(5+2,$B81))</f>
        <v>0.45185185185185195</v>
      </c>
      <c r="AC81" s="3" cm="1">
        <f t="array" aca="1" ref="AC81" ca="1">INDIRECT(ADDRESS(6+2,$B81))</f>
        <v>0.52592592592592591</v>
      </c>
      <c r="AD81" s="3" cm="1">
        <f t="array" aca="1" ref="AD81" ca="1">INDIRECT(ADDRESS(7+2,$B81))</f>
        <v>0.40740740740740744</v>
      </c>
      <c r="AE81" s="3" cm="1">
        <f t="array" aca="1" ref="AE81" ca="1">INDIRECT(ADDRESS(8+2,$B81))</f>
        <v>0.4148148148148148</v>
      </c>
      <c r="AF81" s="3" cm="1">
        <f t="array" aca="1" ref="AF81" ca="1">INDIRECT(ADDRESS(9+2,$B81))</f>
        <v>0.60000000000000009</v>
      </c>
      <c r="AG81" s="3" cm="1">
        <f t="array" aca="1" ref="AG81" ca="1">INDIRECT(ADDRESS(10+2,$B81))</f>
        <v>0.36296296296296293</v>
      </c>
      <c r="AH81" s="3" cm="1">
        <f t="array" aca="1" ref="AH81" ca="1">INDIRECT(ADDRESS(11+2,$B81))</f>
        <v>0.62962962962962965</v>
      </c>
      <c r="AI81" s="3" cm="1">
        <f t="array" aca="1" ref="AI81" ca="1">INDIRECT(ADDRESS(12+2,$B81))</f>
        <v>0.41481481481481486</v>
      </c>
      <c r="AJ81" s="3" cm="1">
        <f t="array" aca="1" ref="AJ81" ca="1">INDIRECT(ADDRESS(13+2,$B81))</f>
        <v>0.73333333333333339</v>
      </c>
      <c r="AK81" s="3" cm="1">
        <f t="array" aca="1" ref="AK81" ca="1">INDIRECT(ADDRESS(14+2,$B81))</f>
        <v>0.37037037037037041</v>
      </c>
      <c r="AL81" s="3" cm="1">
        <f t="array" aca="1" ref="AL81" ca="1">INDIRECT(ADDRESS(15+2,$B81))</f>
        <v>0.75555555555555554</v>
      </c>
      <c r="AM81" s="3" cm="1">
        <f t="array" aca="1" ref="AM81" ca="1">INDIRECT(ADDRESS(16+2,$B81))</f>
        <v>0</v>
      </c>
      <c r="AN81" s="3" t="b">
        <f t="shared" ca="1" si="44"/>
        <v>0</v>
      </c>
      <c r="AO81" s="3" t="b">
        <f t="shared" ca="1" si="34"/>
        <v>0</v>
      </c>
      <c r="AP81" s="3" t="b">
        <f t="shared" ca="1" si="35"/>
        <v>0</v>
      </c>
      <c r="AQ81" s="3" t="b">
        <f t="shared" ca="1" si="36"/>
        <v>0</v>
      </c>
      <c r="AR81" s="3" t="b">
        <f t="shared" ca="1" si="37"/>
        <v>0</v>
      </c>
      <c r="AS81" s="3" t="b">
        <f t="shared" ca="1" si="38"/>
        <v>0</v>
      </c>
      <c r="AT81" s="3" t="b">
        <f t="shared" ca="1" si="76"/>
        <v>0</v>
      </c>
      <c r="AU81" s="3" t="b">
        <f t="shared" ca="1" si="77"/>
        <v>0</v>
      </c>
      <c r="AV81" s="3" t="b">
        <f t="shared" ca="1" si="78"/>
        <v>0</v>
      </c>
      <c r="AW81" s="3" t="b">
        <f t="shared" ca="1" si="79"/>
        <v>0</v>
      </c>
      <c r="AX81" s="3" t="b">
        <f t="shared" ca="1" si="80"/>
        <v>0</v>
      </c>
      <c r="AY81" s="3" t="b">
        <f t="shared" ca="1" si="81"/>
        <v>0</v>
      </c>
      <c r="AZ81" s="3" t="b">
        <f t="shared" ca="1" si="82"/>
        <v>0</v>
      </c>
      <c r="BA81" s="3" t="b">
        <f t="shared" ca="1" si="83"/>
        <v>0</v>
      </c>
      <c r="BB81" s="3" t="b">
        <f t="shared" ca="1" si="84"/>
        <v>0</v>
      </c>
      <c r="BC81" s="3" t="b">
        <f t="shared" ca="1" si="85"/>
        <v>0</v>
      </c>
      <c r="BD81" s="3" t="b">
        <f t="shared" ca="1" si="86"/>
        <v>0</v>
      </c>
    </row>
    <row r="82" spans="1:56">
      <c r="A82" s="120" t="s">
        <v>403</v>
      </c>
      <c r="B82" s="103">
        <f t="shared" ref="B82" si="98">MATCH(A82, SKCOLNAMES, 0)</f>
        <v>100</v>
      </c>
      <c r="C82" s="103" t="str">
        <f t="shared" si="65"/>
        <v>$CV$2:$CV$17</v>
      </c>
      <c r="D82" s="3" cm="1">
        <f t="array" aca="1" ref="D82" ca="1">MIN(_xlfn.IFNA(INDIRECT($C82), ""))</f>
        <v>0.51601671984560327</v>
      </c>
      <c r="E82" s="3" cm="1">
        <f t="array" aca="1" ref="E82" ca="1">PERCENTILE(_xlfn.IFNA(INDIRECT($C82), ""),E$36)</f>
        <v>0.84855948213908805</v>
      </c>
      <c r="F82" s="3" cm="1">
        <f t="array" aca="1" ref="F82" ca="1">PERCENTILE(_xlfn.IFNA(INDIRECT($C82), ""),F$36)</f>
        <v>1.0565812488678108</v>
      </c>
      <c r="G82" s="3" cm="1">
        <f t="array" aca="1" ref="G82" ca="1">PERCENTILE(_xlfn.IFNA(INDIRECT($C82), ""),G$36)</f>
        <v>1.9225345726592609</v>
      </c>
      <c r="H82" s="3" cm="1">
        <f t="array" aca="1" ref="H82" ca="1">PERCENTILE(_xlfn.IFNA(INDIRECT($C82), ""),H$36)</f>
        <v>3.2649167384515709</v>
      </c>
      <c r="I82" s="3" cm="1">
        <f t="array" aca="1" ref="I82" ca="1">PERCENTILE(_xlfn.IFNA(INDIRECT($C82), ""),I$36)</f>
        <v>4.8677753911738462</v>
      </c>
      <c r="J82" s="3" cm="1">
        <f t="array" aca="1" ref="J82" ca="1">MAX(_xlfn.IFNA(INDIRECT($C82), ""))</f>
        <v>18.42625</v>
      </c>
      <c r="K82" s="3" cm="1">
        <f t="array" aca="1" ref="K82" ca="1">INDIRECT(ADDRESS($B$22,$B82))</f>
        <v>3.8248146703082324</v>
      </c>
      <c r="L82" s="120" t="s">
        <v>122</v>
      </c>
      <c r="S82" s="3">
        <f t="shared" ca="1" si="40"/>
        <v>2.2083354895837601</v>
      </c>
      <c r="T82" s="3">
        <f t="shared" ca="1" si="41"/>
        <v>3.3125032343756402</v>
      </c>
      <c r="U82" s="3">
        <f t="shared" ca="1" si="42"/>
        <v>-2.2559219855078294</v>
      </c>
      <c r="V82" s="3">
        <f t="shared" ca="1" si="43"/>
        <v>6.5774199728272116</v>
      </c>
      <c r="W82" s="3" cm="1">
        <f t="array" aca="1" ref="W82" ca="1">INDIRECT(ADDRESS(0+2,$B82))</f>
        <v>5.5630825384175893</v>
      </c>
      <c r="X82" s="3" cm="1">
        <f t="array" aca="1" ref="X82" ca="1">INDIRECT(ADDRESS(1+2,$B82))</f>
        <v>3.8248146703082324</v>
      </c>
      <c r="Y82" s="3" cm="1">
        <f t="array" aca="1" ref="Y82" ca="1">INDIRECT(ADDRESS(2+2,$B82))</f>
        <v>1.8223867142367414</v>
      </c>
      <c r="Z82" s="3" t="e" cm="1">
        <f t="array" aca="1" ref="Z82" ca="1">INDIRECT(ADDRESS(3+2,$B82))</f>
        <v>#N/A</v>
      </c>
      <c r="AA82" s="3" cm="1">
        <f t="array" aca="1" ref="AA82" ca="1">INDIRECT(ADDRESS(4+2,$B82))</f>
        <v>2.7191909164236518</v>
      </c>
      <c r="AB82" s="3" cm="1">
        <f t="array" aca="1" ref="AB82" ca="1">INDIRECT(ADDRESS(5+2,$B82))</f>
        <v>0.51601671984560327</v>
      </c>
      <c r="AC82" s="3" cm="1">
        <f t="array" aca="1" ref="AC82" ca="1">INDIRECT(ADDRESS(6+2,$B82))</f>
        <v>2.776338853247228</v>
      </c>
      <c r="AD82" s="3" cm="1">
        <f t="array" aca="1" ref="AD82" ca="1">INDIRECT(ADDRESS(7+2,$B82))</f>
        <v>0.8200293909993901</v>
      </c>
      <c r="AE82" s="3" cm="1">
        <f t="array" aca="1" ref="AE82" ca="1">INDIRECT(ADDRESS(8+2,$B82))</f>
        <v>1.0718602351389959</v>
      </c>
      <c r="AF82" s="3" cm="1">
        <f t="array" aca="1" ref="AF82" ca="1">INDIRECT(ADDRESS(9+2,$B82))</f>
        <v>3.7534946236559139</v>
      </c>
      <c r="AG82" s="3" cm="1">
        <f t="array" aca="1" ref="AG82" ca="1">INDIRECT(ADDRESS(10+2,$B82))</f>
        <v>0.89135461884863487</v>
      </c>
      <c r="AH82" s="3" cm="1">
        <f t="array" aca="1" ref="AH82" ca="1">INDIRECT(ADDRESS(11+2,$B82))</f>
        <v>18.42625</v>
      </c>
      <c r="AI82" s="3" cm="1">
        <f t="array" aca="1" ref="AI82" ca="1">INDIRECT(ADDRESS(12+2,$B82))</f>
        <v>1.9225345726592609</v>
      </c>
      <c r="AJ82" s="3" cm="1">
        <f t="array" aca="1" ref="AJ82" ca="1">INDIRECT(ADDRESS(13+2,$B82))</f>
        <v>1.3714316035232941</v>
      </c>
      <c r="AK82" s="3" cm="1">
        <f t="array" aca="1" ref="AK82" ca="1">INDIRECT(ADDRESS(14+2,$B82))</f>
        <v>2.4540452760488614</v>
      </c>
      <c r="AL82" s="3" cm="1">
        <f t="array" aca="1" ref="AL82" ca="1">INDIRECT(ADDRESS(15+2,$B82))</f>
        <v>1.0413022625966259</v>
      </c>
      <c r="AM82" s="3" cm="1">
        <f t="array" aca="1" ref="AM82" ca="1">INDIRECT(ADDRESS(16+2,$B82))</f>
        <v>0</v>
      </c>
      <c r="AN82" s="3" t="b">
        <f t="shared" ca="1" si="44"/>
        <v>0</v>
      </c>
      <c r="AO82" s="3" t="b">
        <f t="shared" ca="1" si="34"/>
        <v>0</v>
      </c>
      <c r="AP82" s="3" t="b">
        <f t="shared" ca="1" si="35"/>
        <v>0</v>
      </c>
      <c r="AQ82" s="3" t="e">
        <f t="shared" ca="1" si="36"/>
        <v>#N/A</v>
      </c>
      <c r="AR82" s="3" t="b">
        <f t="shared" ca="1" si="37"/>
        <v>0</v>
      </c>
      <c r="AS82" s="3" t="b">
        <f t="shared" ca="1" si="38"/>
        <v>0</v>
      </c>
      <c r="AT82" s="3" t="b">
        <f t="shared" ca="1" si="76"/>
        <v>0</v>
      </c>
      <c r="AU82" s="3" t="b">
        <f t="shared" ca="1" si="77"/>
        <v>0</v>
      </c>
      <c r="AV82" s="3" t="b">
        <f t="shared" ca="1" si="78"/>
        <v>0</v>
      </c>
      <c r="AW82" s="3" t="b">
        <f t="shared" ca="1" si="79"/>
        <v>0</v>
      </c>
      <c r="AX82" s="3" t="b">
        <f t="shared" ca="1" si="80"/>
        <v>0</v>
      </c>
      <c r="AY82" s="3" t="b">
        <f t="shared" ca="1" si="81"/>
        <v>1</v>
      </c>
      <c r="AZ82" s="3" t="b">
        <f t="shared" ca="1" si="82"/>
        <v>0</v>
      </c>
      <c r="BA82" s="3" t="b">
        <f t="shared" ca="1" si="83"/>
        <v>0</v>
      </c>
      <c r="BB82" s="3" t="b">
        <f t="shared" ca="1" si="84"/>
        <v>0</v>
      </c>
      <c r="BC82" s="3" t="b">
        <f t="shared" ca="1" si="85"/>
        <v>0</v>
      </c>
      <c r="BD82" s="3" t="b">
        <f t="shared" ca="1" si="86"/>
        <v>0</v>
      </c>
    </row>
    <row r="83" spans="1:56">
      <c r="A83" s="120" t="s">
        <v>404</v>
      </c>
      <c r="B83" s="103">
        <f t="shared" ref="B83" si="99">MATCH(A83, SKCOLNAMES, 0)</f>
        <v>101</v>
      </c>
      <c r="C83" s="103" t="str">
        <f t="shared" si="65"/>
        <v>$CW$2:$CW$17</v>
      </c>
      <c r="D83" s="3" cm="1">
        <f t="array" aca="1" ref="D83" ca="1">MIN(_xlfn.IFNA(INDIRECT($C83), ""))</f>
        <v>0.34037666807405415</v>
      </c>
      <c r="E83" s="3" cm="1">
        <f t="array" aca="1" ref="E83" ca="1">PERCENTILE(_xlfn.IFNA(INDIRECT($C83), ""),E$36)</f>
        <v>0.45841890252148193</v>
      </c>
      <c r="F83" s="3" cm="1">
        <f t="array" aca="1" ref="F83" ca="1">PERCENTILE(_xlfn.IFNA(INDIRECT($C83), ""),F$36)</f>
        <v>0.51280907254335473</v>
      </c>
      <c r="G83" s="3" cm="1">
        <f t="array" aca="1" ref="G83" ca="1">PERCENTILE(_xlfn.IFNA(INDIRECT($C83), ""),G$36)</f>
        <v>0.65709216011405724</v>
      </c>
      <c r="H83" s="3" cm="1">
        <f t="array" aca="1" ref="H83" ca="1">PERCENTILE(_xlfn.IFNA(INDIRECT($C83), ""),H$36)</f>
        <v>0.75165978072847928</v>
      </c>
      <c r="I83" s="3" cm="1">
        <f t="array" aca="1" ref="I83" ca="1">PERCENTILE(_xlfn.IFNA(INDIRECT($C83), ""),I$36)</f>
        <v>0.82221781401988803</v>
      </c>
      <c r="J83" s="3" cm="1">
        <f t="array" aca="1" ref="J83" ca="1">MAX(_xlfn.IFNA(INDIRECT($C83), ""))</f>
        <v>0.94852326105141238</v>
      </c>
      <c r="K83" s="3" cm="1">
        <f t="array" aca="1" ref="K83" ca="1">INDIRECT(ADDRESS($B$22,$B83))</f>
        <v>0.79235370190753318</v>
      </c>
      <c r="L83" s="120" t="s">
        <v>123</v>
      </c>
      <c r="S83" s="3">
        <f t="shared" ca="1" si="40"/>
        <v>0.23885070818512455</v>
      </c>
      <c r="T83" s="3">
        <f t="shared" ca="1" si="41"/>
        <v>0.35827606227768682</v>
      </c>
      <c r="U83" s="3">
        <f t="shared" ca="1" si="42"/>
        <v>0.1545330102656679</v>
      </c>
      <c r="V83" s="3">
        <f t="shared" ca="1" si="43"/>
        <v>1.1099358430061661</v>
      </c>
      <c r="W83" s="3" cm="1">
        <f t="array" aca="1" ref="W83" ca="1">INDIRECT(ADDRESS(0+2,$B83))</f>
        <v>0.84212722209479129</v>
      </c>
      <c r="X83" s="3" cm="1">
        <f t="array" aca="1" ref="X83" ca="1">INDIRECT(ADDRESS(1+2,$B83))</f>
        <v>0.79235370190753318</v>
      </c>
      <c r="Y83" s="3" cm="1">
        <f t="array" aca="1" ref="Y83" ca="1">INDIRECT(ADDRESS(2+2,$B83))</f>
        <v>0.64353030846484938</v>
      </c>
      <c r="Z83" s="3" t="e" cm="1">
        <f t="array" aca="1" ref="Z83" ca="1">INDIRECT(ADDRESS(3+2,$B83))</f>
        <v>#N/A</v>
      </c>
      <c r="AA83" s="3" cm="1">
        <f t="array" aca="1" ref="AA83" ca="1">INDIRECT(ADDRESS(4+2,$B83))</f>
        <v>0.71129332255645683</v>
      </c>
      <c r="AB83" s="3" cm="1">
        <f t="array" aca="1" ref="AB83" ca="1">INDIRECT(ADDRESS(5+2,$B83))</f>
        <v>0.34037666807405415</v>
      </c>
      <c r="AC83" s="3" cm="1">
        <f t="array" aca="1" ref="AC83" ca="1">INDIRECT(ADDRESS(6+2,$B83))</f>
        <v>0.73519325493258847</v>
      </c>
      <c r="AD83" s="3" cm="1">
        <f t="array" aca="1" ref="AD83" ca="1">INDIRECT(ADDRESS(7+2,$B83))</f>
        <v>0.45036395953507508</v>
      </c>
      <c r="AE83" s="3" cm="1">
        <f t="array" aca="1" ref="AE83" ca="1">INDIRECT(ADDRESS(8+2,$B83))</f>
        <v>0.51734196011879507</v>
      </c>
      <c r="AF83" s="3" cm="1">
        <f t="array" aca="1" ref="AF83" ca="1">INDIRECT(ADDRESS(9+2,$B83))</f>
        <v>0.76812630652437008</v>
      </c>
      <c r="AG83" s="3" cm="1">
        <f t="array" aca="1" ref="AG83" ca="1">INDIRECT(ADDRESS(10+2,$B83))</f>
        <v>0.47050131700109216</v>
      </c>
      <c r="AH83" s="3" cm="1">
        <f t="array" aca="1" ref="AH83" ca="1">INDIRECT(ADDRESS(11+2,$B83))</f>
        <v>0.94852326105141238</v>
      </c>
      <c r="AI83" s="3" cm="1">
        <f t="array" aca="1" ref="AI83" ca="1">INDIRECT(ADDRESS(12+2,$B83))</f>
        <v>0.65709216011405724</v>
      </c>
      <c r="AJ83" s="3" cm="1">
        <f t="array" aca="1" ref="AJ83" ca="1">INDIRECT(ADDRESS(13+2,$B83))</f>
        <v>0.57784832766946881</v>
      </c>
      <c r="AK83" s="3" cm="1">
        <f t="array" aca="1" ref="AK83" ca="1">INDIRECT(ADDRESS(14+2,$B83))</f>
        <v>0.70953949785739245</v>
      </c>
      <c r="AL83" s="3" cm="1">
        <f t="array" aca="1" ref="AL83" ca="1">INDIRECT(ADDRESS(15+2,$B83))</f>
        <v>0.50827618496791427</v>
      </c>
      <c r="AM83" s="3" cm="1">
        <f t="array" aca="1" ref="AM83" ca="1">INDIRECT(ADDRESS(16+2,$B83))</f>
        <v>0</v>
      </c>
      <c r="AN83" s="3" t="b">
        <f t="shared" ca="1" si="44"/>
        <v>0</v>
      </c>
      <c r="AO83" s="3" t="b">
        <f t="shared" ca="1" si="34"/>
        <v>0</v>
      </c>
      <c r="AP83" s="3" t="b">
        <f t="shared" ca="1" si="35"/>
        <v>0</v>
      </c>
      <c r="AQ83" s="3" t="e">
        <f t="shared" ca="1" si="36"/>
        <v>#N/A</v>
      </c>
      <c r="AR83" s="3" t="b">
        <f t="shared" ca="1" si="37"/>
        <v>0</v>
      </c>
      <c r="AS83" s="3" t="b">
        <f t="shared" ca="1" si="38"/>
        <v>0</v>
      </c>
      <c r="AT83" s="3" t="b">
        <f t="shared" ca="1" si="76"/>
        <v>0</v>
      </c>
      <c r="AU83" s="3" t="b">
        <f t="shared" ca="1" si="77"/>
        <v>0</v>
      </c>
      <c r="AV83" s="3" t="b">
        <f t="shared" ca="1" si="78"/>
        <v>0</v>
      </c>
      <c r="AW83" s="3" t="b">
        <f t="shared" ca="1" si="79"/>
        <v>0</v>
      </c>
      <c r="AX83" s="3" t="b">
        <f t="shared" ca="1" si="80"/>
        <v>0</v>
      </c>
      <c r="AY83" s="3" t="b">
        <f t="shared" ca="1" si="81"/>
        <v>0</v>
      </c>
      <c r="AZ83" s="3" t="b">
        <f t="shared" ca="1" si="82"/>
        <v>0</v>
      </c>
      <c r="BA83" s="3" t="b">
        <f t="shared" ca="1" si="83"/>
        <v>0</v>
      </c>
      <c r="BB83" s="3" t="b">
        <f t="shared" ca="1" si="84"/>
        <v>0</v>
      </c>
      <c r="BC83" s="3" t="b">
        <f t="shared" ca="1" si="85"/>
        <v>0</v>
      </c>
      <c r="BD83" s="3" t="b">
        <f t="shared" ca="1" si="86"/>
        <v>0</v>
      </c>
    </row>
    <row r="84" spans="1:56">
      <c r="A84" s="120" t="s">
        <v>405</v>
      </c>
      <c r="B84" s="103">
        <f t="shared" ref="B84" si="100">MATCH(A84, SKCOLNAMES, 0)</f>
        <v>102</v>
      </c>
      <c r="C84" s="103" t="str">
        <f t="shared" si="65"/>
        <v>$CX$2:$CX$17</v>
      </c>
      <c r="D84" s="3" cm="1">
        <f t="array" aca="1" ref="D84" ca="1">MIN(_xlfn.IFNA(INDIRECT($C84), ""))</f>
        <v>1.5160167198456034</v>
      </c>
      <c r="E84" s="3" cm="1">
        <f t="array" aca="1" ref="E84" ca="1">PERCENTILE(_xlfn.IFNA(INDIRECT($C84), ""),E$36)</f>
        <v>1.850280308556316</v>
      </c>
      <c r="F84" s="3" cm="1">
        <f t="array" aca="1" ref="F84" ca="1">PERCENTILE(_xlfn.IFNA(INDIRECT($C84), ""),F$36)</f>
        <v>2.0602770114362245</v>
      </c>
      <c r="G84" s="3" cm="1">
        <f t="array" aca="1" ref="G84" ca="1">PERCENTILE(_xlfn.IFNA(INDIRECT($C84), ""),G$36)</f>
        <v>2.9258218091135797</v>
      </c>
      <c r="H84" s="3" cm="1">
        <f t="array" aca="1" ref="H84" ca="1">PERCENTILE(_xlfn.IFNA(INDIRECT($C84), ""),H$36)</f>
        <v>4.3250191737066288</v>
      </c>
      <c r="I84" s="3" cm="1">
        <f t="array" aca="1" ref="I84" ca="1">PERCENTILE(_xlfn.IFNA(INDIRECT($C84), ""),I$36)</f>
        <v>5.9182166089450572</v>
      </c>
      <c r="J84" s="3" cm="1">
        <f t="array" aca="1" ref="J84" ca="1">MAX(_xlfn.IFNA(INDIRECT($C84), ""))</f>
        <v>19.42625</v>
      </c>
      <c r="K84" s="3" cm="1">
        <f t="array" aca="1" ref="K84" ca="1">INDIRECT(ADDRESS($B$22,$B84))</f>
        <v>4.8271556769410848</v>
      </c>
      <c r="L84" s="120" t="s">
        <v>124</v>
      </c>
      <c r="S84" s="3">
        <f t="shared" ca="1" si="40"/>
        <v>2.2647421622704043</v>
      </c>
      <c r="T84" s="3">
        <f t="shared" ca="1" si="41"/>
        <v>3.3971132434056064</v>
      </c>
      <c r="U84" s="3">
        <f t="shared" ca="1" si="42"/>
        <v>-1.3368362319693818</v>
      </c>
      <c r="V84" s="3">
        <f t="shared" ca="1" si="43"/>
        <v>7.7221324171122347</v>
      </c>
      <c r="W84" s="3" cm="1">
        <f t="array" aca="1" ref="W84" ca="1">INDIRECT(ADDRESS(0+2,$B84))</f>
        <v>6.6059882550517983</v>
      </c>
      <c r="X84" s="3" cm="1">
        <f t="array" aca="1" ref="X84" ca="1">INDIRECT(ADDRESS(1+2,$B84))</f>
        <v>4.8271556769410848</v>
      </c>
      <c r="Y84" s="3" cm="1">
        <f t="array" aca="1" ref="Y84" ca="1">INDIRECT(ADDRESS(2+2,$B84))</f>
        <v>2.831858407079646</v>
      </c>
      <c r="Z84" s="3" t="e" cm="1">
        <f t="array" aca="1" ref="Z84" ca="1">INDIRECT(ADDRESS(3+2,$B84))</f>
        <v>#N/A</v>
      </c>
      <c r="AA84" s="3" cm="1">
        <f t="array" aca="1" ref="AA84" ca="1">INDIRECT(ADDRESS(4+2,$B84))</f>
        <v>3.8228826704721723</v>
      </c>
      <c r="AB84" s="3" cm="1">
        <f t="array" aca="1" ref="AB84" ca="1">INDIRECT(ADDRESS(5+2,$B84))</f>
        <v>1.5160167198456034</v>
      </c>
      <c r="AC84" s="3" cm="1">
        <f t="array" aca="1" ref="AC84" ca="1">INDIRECT(ADDRESS(6+2,$B84))</f>
        <v>3.7763388532472275</v>
      </c>
      <c r="AD84" s="3" cm="1">
        <f t="array" aca="1" ref="AD84" ca="1">INDIRECT(ADDRESS(7+2,$B84))</f>
        <v>1.8208148623747165</v>
      </c>
      <c r="AE84" s="3" cm="1">
        <f t="array" aca="1" ref="AE84" ca="1">INDIRECT(ADDRESS(8+2,$B84))</f>
        <v>2.0718602351389959</v>
      </c>
      <c r="AF84" s="3" cm="1">
        <f t="array" aca="1" ref="AF84" ca="1">INDIRECT(ADDRESS(9+2,$B84))</f>
        <v>4.8865591397849464</v>
      </c>
      <c r="AG84" s="3" cm="1">
        <f t="array" aca="1" ref="AG84" ca="1">INDIRECT(ADDRESS(10+2,$B84))</f>
        <v>1.8944784778287151</v>
      </c>
      <c r="AH84" s="3" cm="1">
        <f t="array" aca="1" ref="AH84" ca="1">INDIRECT(ADDRESS(11+2,$B84))</f>
        <v>19.42625</v>
      </c>
      <c r="AI84" s="3" cm="1">
        <f t="array" aca="1" ref="AI84" ca="1">INDIRECT(ADDRESS(12+2,$B84))</f>
        <v>2.9258218091135797</v>
      </c>
      <c r="AJ84" s="3" cm="1">
        <f t="array" aca="1" ref="AJ84" ca="1">INDIRECT(ADDRESS(13+2,$B84))</f>
        <v>2.3733418231985568</v>
      </c>
      <c r="AK84" s="3" cm="1">
        <f t="array" aca="1" ref="AK84" ca="1">INDIRECT(ADDRESS(14+2,$B84))</f>
        <v>3.4586450556443729</v>
      </c>
      <c r="AL84" s="3" cm="1">
        <f t="array" aca="1" ref="AL84" ca="1">INDIRECT(ADDRESS(15+2,$B84))</f>
        <v>2.0486937877334537</v>
      </c>
      <c r="AM84" s="3" cm="1">
        <f t="array" aca="1" ref="AM84" ca="1">INDIRECT(ADDRESS(16+2,$B84))</f>
        <v>0</v>
      </c>
      <c r="AN84" s="3" t="b">
        <f t="shared" ca="1" si="44"/>
        <v>0</v>
      </c>
      <c r="AO84" s="3" t="b">
        <f t="shared" ca="1" si="34"/>
        <v>0</v>
      </c>
      <c r="AP84" s="3" t="b">
        <f t="shared" ca="1" si="35"/>
        <v>0</v>
      </c>
      <c r="AQ84" s="3" t="e">
        <f t="shared" ca="1" si="36"/>
        <v>#N/A</v>
      </c>
      <c r="AR84" s="3" t="b">
        <f t="shared" ca="1" si="37"/>
        <v>0</v>
      </c>
      <c r="AS84" s="3" t="b">
        <f t="shared" ca="1" si="38"/>
        <v>0</v>
      </c>
      <c r="AT84" s="3" t="b">
        <f t="shared" ca="1" si="76"/>
        <v>0</v>
      </c>
      <c r="AU84" s="3" t="b">
        <f t="shared" ca="1" si="77"/>
        <v>0</v>
      </c>
      <c r="AV84" s="3" t="b">
        <f t="shared" ca="1" si="78"/>
        <v>0</v>
      </c>
      <c r="AW84" s="3" t="b">
        <f t="shared" ca="1" si="79"/>
        <v>0</v>
      </c>
      <c r="AX84" s="3" t="b">
        <f t="shared" ca="1" si="80"/>
        <v>0</v>
      </c>
      <c r="AY84" s="3" t="b">
        <f t="shared" ca="1" si="81"/>
        <v>1</v>
      </c>
      <c r="AZ84" s="3" t="b">
        <f t="shared" ca="1" si="82"/>
        <v>0</v>
      </c>
      <c r="BA84" s="3" t="b">
        <f t="shared" ca="1" si="83"/>
        <v>0</v>
      </c>
      <c r="BB84" s="3" t="b">
        <f t="shared" ca="1" si="84"/>
        <v>0</v>
      </c>
      <c r="BC84" s="3" t="b">
        <f t="shared" ca="1" si="85"/>
        <v>0</v>
      </c>
      <c r="BD84" s="3" t="b">
        <f t="shared" ca="1" si="86"/>
        <v>0</v>
      </c>
    </row>
    <row r="85" spans="1:56">
      <c r="A85" s="120" t="s">
        <v>406</v>
      </c>
      <c r="B85" s="103">
        <f t="shared" ref="B85" si="101">MATCH(A85, SKCOLNAMES, 0)</f>
        <v>103</v>
      </c>
      <c r="C85" s="103" t="str">
        <f t="shared" si="65"/>
        <v>$CY$2:$CY$17</v>
      </c>
      <c r="D85" s="3" cm="1">
        <f t="array" aca="1" ref="D85" ca="1">MIN(_xlfn.IFNA(INDIRECT($C85), ""))</f>
        <v>7.3894797266373449E-2</v>
      </c>
      <c r="E85" s="3" cm="1">
        <f t="array" aca="1" ref="E85" ca="1">PERCENTILE(_xlfn.IFNA(INDIRECT($C85), ""),E$36)</f>
        <v>8.8397881750603827E-2</v>
      </c>
      <c r="F85" s="3" cm="1">
        <f t="array" aca="1" ref="F85" ca="1">PERCENTILE(_xlfn.IFNA(INDIRECT($C85), ""),F$36)</f>
        <v>0.12213108989504451</v>
      </c>
      <c r="G85" s="3" cm="1">
        <f t="array" aca="1" ref="G85" ca="1">PERCENTILE(_xlfn.IFNA(INDIRECT($C85), ""),G$36)</f>
        <v>0.17246025958074473</v>
      </c>
      <c r="H85" s="3" cm="1">
        <f t="array" aca="1" ref="H85" ca="1">PERCENTILE(_xlfn.IFNA(INDIRECT($C85), ""),H$36)</f>
        <v>0.22082386920331923</v>
      </c>
      <c r="I85" s="3" cm="1">
        <f t="array" aca="1" ref="I85" ca="1">PERCENTILE(_xlfn.IFNA(INDIRECT($C85), ""),I$36)</f>
        <v>0.35069439233491273</v>
      </c>
      <c r="J85" s="3" cm="1">
        <f t="array" aca="1" ref="J85" ca="1">MAX(_xlfn.IFNA(INDIRECT($C85), ""))</f>
        <v>1.2312190725450949</v>
      </c>
      <c r="K85" s="3" cm="1">
        <f t="array" aca="1" ref="K85" ca="1">INDIRECT(ADDRESS($B$22,$B85))</f>
        <v>0.19149280284651463</v>
      </c>
      <c r="L85" s="120" t="s">
        <v>125</v>
      </c>
      <c r="S85" s="3">
        <f t="shared" ca="1" si="40"/>
        <v>9.869277930827472E-2</v>
      </c>
      <c r="T85" s="3">
        <f t="shared" ca="1" si="41"/>
        <v>0.14803916896241209</v>
      </c>
      <c r="U85" s="3">
        <f t="shared" ca="1" si="42"/>
        <v>-2.5908079067367584E-2</v>
      </c>
      <c r="V85" s="3">
        <f t="shared" ca="1" si="43"/>
        <v>0.36886303816573129</v>
      </c>
      <c r="W85" s="3" cm="1">
        <f t="array" aca="1" ref="W85" ca="1">INDIRECT(ADDRESS(0+2,$B85))</f>
        <v>1.2312190725450949</v>
      </c>
      <c r="X85" s="3" cm="1">
        <f t="array" aca="1" ref="X85" ca="1">INDIRECT(ADDRESS(1+2,$B85))</f>
        <v>0.19149280284651463</v>
      </c>
      <c r="Y85" s="3" cm="1">
        <f t="array" aca="1" ref="Y85" ca="1">INDIRECT(ADDRESS(2+2,$B85))</f>
        <v>0.10749727837908354</v>
      </c>
      <c r="Z85" s="3" t="e" cm="1">
        <f t="array" aca="1" ref="Z85" ca="1">INDIRECT(ADDRESS(3+2,$B85))</f>
        <v>#N/A</v>
      </c>
      <c r="AA85" s="3" cm="1">
        <f t="array" aca="1" ref="AA85" ca="1">INDIRECT(ADDRESS(4+2,$B85))</f>
        <v>0.11946842124580012</v>
      </c>
      <c r="AB85" s="3" cm="1">
        <f t="array" aca="1" ref="AB85" ca="1">INDIRECT(ADDRESS(5+2,$B85))</f>
        <v>0.17246025958074473</v>
      </c>
      <c r="AC85" s="3" cm="1">
        <f t="array" aca="1" ref="AC85" ca="1">INDIRECT(ADDRESS(6+2,$B85))</f>
        <v>0.20678939988941852</v>
      </c>
      <c r="AD85" s="3" cm="1">
        <f t="array" aca="1" ref="AD85" ca="1">INDIRECT(ADDRESS(7+2,$B85))</f>
        <v>0.12836892274844905</v>
      </c>
      <c r="AE85" s="3" cm="1">
        <f t="array" aca="1" ref="AE85" ca="1">INDIRECT(ADDRESS(8+2,$B85))</f>
        <v>0.12479375854428888</v>
      </c>
      <c r="AF85" s="3" cm="1">
        <f t="array" aca="1" ref="AF85" ca="1">INDIRECT(ADDRESS(9+2,$B85))</f>
        <v>0.23485833851721993</v>
      </c>
      <c r="AG85" s="3" cm="1">
        <f t="array" aca="1" ref="AG85" ca="1">INDIRECT(ADDRESS(10+2,$B85))</f>
        <v>7.5664950664950659E-2</v>
      </c>
      <c r="AH85" s="3" cm="1">
        <f t="array" aca="1" ref="AH85" ca="1">INDIRECT(ADDRESS(11+2,$B85))</f>
        <v>0.36505587371040044</v>
      </c>
      <c r="AI85" s="3" cm="1">
        <f t="array" aca="1" ref="AI85" ca="1">INDIRECT(ADDRESS(12+2,$B85))</f>
        <v>7.3894797266373449E-2</v>
      </c>
      <c r="AJ85" s="3" cm="1">
        <f t="array" aca="1" ref="AJ85" ca="1">INDIRECT(ADDRESS(13+2,$B85))</f>
        <v>0.13874220591306424</v>
      </c>
      <c r="AK85" s="3" cm="1">
        <f t="array" aca="1" ref="AK85" ca="1">INDIRECT(ADDRESS(14+2,$B85))</f>
        <v>0.32915217027168125</v>
      </c>
      <c r="AL85" s="3" cm="1">
        <f t="array" aca="1" ref="AL85" ca="1">INDIRECT(ADDRESS(15+2,$B85))</f>
        <v>0.20128254740449997</v>
      </c>
      <c r="AM85" s="3" cm="1">
        <f t="array" aca="1" ref="AM85" ca="1">INDIRECT(ADDRESS(16+2,$B85))</f>
        <v>0</v>
      </c>
      <c r="AN85" s="3" t="b">
        <f t="shared" ca="1" si="44"/>
        <v>1</v>
      </c>
      <c r="AO85" s="3" t="b">
        <f t="shared" ca="1" si="34"/>
        <v>0</v>
      </c>
      <c r="AP85" s="3" t="b">
        <f t="shared" ca="1" si="35"/>
        <v>0</v>
      </c>
      <c r="AQ85" s="3" t="e">
        <f t="shared" ca="1" si="36"/>
        <v>#N/A</v>
      </c>
      <c r="AR85" s="3" t="b">
        <f t="shared" ca="1" si="37"/>
        <v>0</v>
      </c>
      <c r="AS85" s="3" t="b">
        <f t="shared" ca="1" si="38"/>
        <v>0</v>
      </c>
      <c r="AT85" s="3" t="b">
        <f t="shared" ca="1" si="76"/>
        <v>0</v>
      </c>
      <c r="AU85" s="3" t="b">
        <f t="shared" ca="1" si="77"/>
        <v>0</v>
      </c>
      <c r="AV85" s="3" t="b">
        <f t="shared" ca="1" si="78"/>
        <v>0</v>
      </c>
      <c r="AW85" s="3" t="b">
        <f t="shared" ca="1" si="79"/>
        <v>0</v>
      </c>
      <c r="AX85" s="3" t="b">
        <f t="shared" ca="1" si="80"/>
        <v>0</v>
      </c>
      <c r="AY85" s="3" t="b">
        <f t="shared" ca="1" si="81"/>
        <v>0</v>
      </c>
      <c r="AZ85" s="3" t="b">
        <f t="shared" ca="1" si="82"/>
        <v>0</v>
      </c>
      <c r="BA85" s="3" t="b">
        <f t="shared" ca="1" si="83"/>
        <v>0</v>
      </c>
      <c r="BB85" s="3" t="b">
        <f t="shared" ca="1" si="84"/>
        <v>0</v>
      </c>
      <c r="BC85" s="3" t="b">
        <f t="shared" ca="1" si="85"/>
        <v>0</v>
      </c>
      <c r="BD85" s="3" t="b">
        <f t="shared" ca="1" si="86"/>
        <v>0</v>
      </c>
    </row>
    <row r="86" spans="1:56">
      <c r="A86" s="4" t="s">
        <v>414</v>
      </c>
      <c r="B86" s="103">
        <f t="shared" ref="B86" si="102">MATCH(A86, SKCOLNAMES, 0)</f>
        <v>111</v>
      </c>
      <c r="C86" s="103" t="str">
        <f t="shared" si="65"/>
        <v>$DG$2:$DG$17</v>
      </c>
      <c r="D86" s="3" cm="1">
        <f t="array" aca="1" ref="D86" ca="1">MIN(_xlfn.IFNA(INDIRECT($C86), ""))</f>
        <v>0.37989417989417984</v>
      </c>
      <c r="E86" s="3" cm="1">
        <f t="array" aca="1" ref="E86" ca="1">PERCENTILE(_xlfn.IFNA(INDIRECT($C86), ""),E$36)</f>
        <v>0.40222222222222226</v>
      </c>
      <c r="F86" s="3" cm="1">
        <f t="array" aca="1" ref="F86" ca="1">PERCENTILE(_xlfn.IFNA(INDIRECT($C86), ""),F$36)</f>
        <v>0.46212301587301591</v>
      </c>
      <c r="G86" s="3" cm="1">
        <f t="array" aca="1" ref="G86" ca="1">PERCENTILE(_xlfn.IFNA(INDIRECT($C86), ""),G$36)</f>
        <v>0.52830687830687839</v>
      </c>
      <c r="H86" s="3" cm="1">
        <f t="array" aca="1" ref="H86" ca="1">PERCENTILE(_xlfn.IFNA(INDIRECT($C86), ""),H$36)</f>
        <v>0.56913359788359785</v>
      </c>
      <c r="I86" s="3" cm="1">
        <f t="array" aca="1" ref="I86" ca="1">PERCENTILE(_xlfn.IFNA(INDIRECT($C86), ""),I$36)</f>
        <v>0.62041005291005291</v>
      </c>
      <c r="J86" s="3" cm="1">
        <f t="array" aca="1" ref="J86" ca="1">MAX(_xlfn.IFNA(INDIRECT($C86), ""))</f>
        <v>0.65425925925925932</v>
      </c>
      <c r="K86" s="3" cm="1">
        <f t="array" aca="1" ref="K86" ca="1">INDIRECT(ADDRESS($B$22,$B86))</f>
        <v>0.51645502645502639</v>
      </c>
      <c r="L86" s="120" t="s">
        <v>414</v>
      </c>
      <c r="S86" s="3">
        <f t="shared" ref="S86" ca="1" si="103">H86-F86</f>
        <v>0.10701058201058194</v>
      </c>
      <c r="T86" s="3">
        <f t="shared" ca="1" si="41"/>
        <v>0.16051587301587292</v>
      </c>
      <c r="U86" s="3">
        <f t="shared" ca="1" si="42"/>
        <v>0.30160714285714296</v>
      </c>
      <c r="V86" s="3">
        <f t="shared" ca="1" si="43"/>
        <v>0.72964947089947074</v>
      </c>
      <c r="W86" s="3" cm="1">
        <f t="array" aca="1" ref="W86" ca="1">INDIRECT(ADDRESS(0+2,$B86))</f>
        <v>0.54320105820105824</v>
      </c>
      <c r="X86" s="3" cm="1">
        <f t="array" aca="1" ref="X86" ca="1">INDIRECT(ADDRESS(1+2,$B86))</f>
        <v>0.51645502645502639</v>
      </c>
      <c r="Y86" s="3" cm="1">
        <f t="array" aca="1" ref="Y86" ca="1">INDIRECT(ADDRESS(2+2,$B86))</f>
        <v>0.65425925925925932</v>
      </c>
      <c r="Z86" s="3" cm="1">
        <f t="array" aca="1" ref="Z86" ca="1">INDIRECT(ADDRESS(3+2,$B86))</f>
        <v>0.52232804232804242</v>
      </c>
      <c r="AA86" s="3" cm="1">
        <f t="array" aca="1" ref="AA86" ca="1">INDIRECT(ADDRESS(4+2,$B86))</f>
        <v>0.57280423280423276</v>
      </c>
      <c r="AB86" s="3" cm="1">
        <f t="array" aca="1" ref="AB86" ca="1">INDIRECT(ADDRESS(5+2,$B86))</f>
        <v>0.55939153439153433</v>
      </c>
      <c r="AC86" s="3" cm="1">
        <f t="array" aca="1" ref="AC86" ca="1">INDIRECT(ADDRESS(6+2,$B86))</f>
        <v>0.56791005291005292</v>
      </c>
      <c r="AD86" s="3" cm="1">
        <f t="array" aca="1" ref="AD86" ca="1">INDIRECT(ADDRESS(7+2,$B86))</f>
        <v>0.4766137566137566</v>
      </c>
      <c r="AE86" s="3" cm="1">
        <f t="array" aca="1" ref="AE86" ca="1">INDIRECT(ADDRESS(8+2,$B86))</f>
        <v>0.37989417989417984</v>
      </c>
      <c r="AF86" s="3" cm="1">
        <f t="array" aca="1" ref="AF86" ca="1">INDIRECT(ADDRESS(9+2,$B86))</f>
        <v>0.44571428571428573</v>
      </c>
      <c r="AG86" s="3" cm="1">
        <f t="array" aca="1" ref="AG86" ca="1">INDIRECT(ADDRESS(10+2,$B86))</f>
        <v>0.40597883597883599</v>
      </c>
      <c r="AH86" s="3" cm="1">
        <f t="array" aca="1" ref="AH86" ca="1">INDIRECT(ADDRESS(11+2,$B86))</f>
        <v>0.59193121693121697</v>
      </c>
      <c r="AI86" s="3" cm="1">
        <f t="array" aca="1" ref="AI86" ca="1">INDIRECT(ADDRESS(12+2,$B86))</f>
        <v>0.39846560846560847</v>
      </c>
      <c r="AJ86" s="3" cm="1">
        <f t="array" aca="1" ref="AJ86" ca="1">INDIRECT(ADDRESS(13+2,$B86))</f>
        <v>0.53428571428571436</v>
      </c>
      <c r="AK86" s="3" cm="1">
        <f t="array" aca="1" ref="AK86" ca="1">INDIRECT(ADDRESS(14+2,$B86))</f>
        <v>0.46759259259259262</v>
      </c>
      <c r="AL86" s="3" cm="1">
        <f t="array" aca="1" ref="AL86" ca="1">INDIRECT(ADDRESS(15+2,$B86))</f>
        <v>0.64888888888888885</v>
      </c>
      <c r="AM86" s="3" cm="1">
        <f t="array" aca="1" ref="AM86" ca="1">INDIRECT(ADDRESS(16+2,$B86))</f>
        <v>0</v>
      </c>
      <c r="AN86" s="3" t="b">
        <f t="shared" ca="1" si="44"/>
        <v>0</v>
      </c>
      <c r="AO86" s="3" t="b">
        <f t="shared" ca="1" si="34"/>
        <v>0</v>
      </c>
      <c r="AP86" s="3" t="b">
        <f t="shared" ca="1" si="35"/>
        <v>0</v>
      </c>
      <c r="AQ86" s="3" t="b">
        <f t="shared" ca="1" si="36"/>
        <v>0</v>
      </c>
      <c r="AR86" s="3" t="b">
        <f t="shared" ca="1" si="37"/>
        <v>0</v>
      </c>
      <c r="AS86" s="3" t="b">
        <f t="shared" ca="1" si="38"/>
        <v>0</v>
      </c>
      <c r="AT86" s="3" t="b">
        <f t="shared" ca="1" si="76"/>
        <v>0</v>
      </c>
      <c r="AU86" s="3" t="b">
        <f t="shared" ca="1" si="77"/>
        <v>0</v>
      </c>
      <c r="AV86" s="3" t="b">
        <f t="shared" ca="1" si="78"/>
        <v>0</v>
      </c>
      <c r="AW86" s="3" t="b">
        <f t="shared" ca="1" si="79"/>
        <v>0</v>
      </c>
      <c r="AX86" s="3" t="b">
        <f t="shared" ca="1" si="80"/>
        <v>0</v>
      </c>
      <c r="AY86" s="3" t="b">
        <f t="shared" ca="1" si="81"/>
        <v>0</v>
      </c>
      <c r="AZ86" s="3" t="b">
        <f t="shared" ca="1" si="82"/>
        <v>0</v>
      </c>
      <c r="BA86" s="3" t="b">
        <f t="shared" ca="1" si="83"/>
        <v>0</v>
      </c>
      <c r="BB86" s="3" t="b">
        <f t="shared" ca="1" si="84"/>
        <v>0</v>
      </c>
      <c r="BC86" s="3" t="b">
        <f t="shared" ca="1" si="85"/>
        <v>0</v>
      </c>
      <c r="BD86" s="3" t="b">
        <f t="shared" ca="1" si="86"/>
        <v>0</v>
      </c>
    </row>
    <row r="87" spans="1:56">
      <c r="A87" s="4" t="s">
        <v>367</v>
      </c>
      <c r="B87" s="103">
        <f t="shared" ref="B87" si="104">MATCH(A87, SKCOLNAMES, 0)</f>
        <v>56</v>
      </c>
      <c r="C87" s="103" t="str">
        <f t="shared" si="65"/>
        <v>$BD$2:$BD$17</v>
      </c>
      <c r="D87" s="3" cm="1">
        <f t="array" aca="1" ref="D87" ca="1">MIN(_xlfn.IFNA(INDIRECT($C87), ""))</f>
        <v>0</v>
      </c>
      <c r="E87" s="3" cm="1">
        <f t="array" aca="1" ref="E87" ca="1">PERCENTILE(_xlfn.IFNA(INDIRECT($C87), ""),E$36)</f>
        <v>0.1</v>
      </c>
      <c r="F87" s="3" cm="1">
        <f t="array" aca="1" ref="F87" ca="1">PERCENTILE(_xlfn.IFNA(INDIRECT($C87), ""),F$36)</f>
        <v>0.25</v>
      </c>
      <c r="G87" s="3" cm="1">
        <f t="array" aca="1" ref="G87" ca="1">PERCENTILE(_xlfn.IFNA(INDIRECT($C87), ""),G$36)</f>
        <v>0.5</v>
      </c>
      <c r="H87" s="3" cm="1">
        <f t="array" aca="1" ref="H87" ca="1">PERCENTILE(_xlfn.IFNA(INDIRECT($C87), ""),H$36)</f>
        <v>0.75</v>
      </c>
      <c r="I87" s="3" cm="1">
        <f t="array" aca="1" ref="I87" ca="1">PERCENTILE(_xlfn.IFNA(INDIRECT($C87), ""),I$36)</f>
        <v>0.9</v>
      </c>
      <c r="J87" s="3" cm="1">
        <f t="array" aca="1" ref="J87" ca="1">MAX(_xlfn.IFNA(INDIRECT($C87), ""))</f>
        <v>1</v>
      </c>
      <c r="K87" s="3" cm="1">
        <f t="array" aca="1" ref="K87" ca="1">INDIRECT(ADDRESS($B$22,$B87))</f>
        <v>0</v>
      </c>
      <c r="L87" s="120" t="s">
        <v>367</v>
      </c>
    </row>
  </sheetData>
  <mergeCells count="2">
    <mergeCell ref="B25:C25"/>
    <mergeCell ref="B29:C2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B7105-455E-4C24-8C8D-BAF567CCA4E1}">
  <sheetPr codeName="Sheet26"/>
  <dimension ref="A1:Q225"/>
  <sheetViews>
    <sheetView topLeftCell="B40" zoomScaleNormal="100" workbookViewId="0">
      <selection activeCell="E59" sqref="E59"/>
    </sheetView>
  </sheetViews>
  <sheetFormatPr defaultRowHeight="15"/>
  <cols>
    <col min="2" max="2" width="36.28515625" customWidth="1"/>
    <col min="3" max="3" width="84" customWidth="1"/>
    <col min="4" max="4" width="14.42578125" customWidth="1"/>
    <col min="5" max="5" width="124" customWidth="1"/>
  </cols>
  <sheetData>
    <row r="1" spans="1:17">
      <c r="A1" s="12">
        <v>449</v>
      </c>
      <c r="B1" s="12"/>
      <c r="C1" s="12"/>
      <c r="D1" s="12"/>
      <c r="E1" s="12"/>
      <c r="F1" s="12"/>
      <c r="G1" s="12"/>
      <c r="H1" s="12"/>
      <c r="I1" s="12"/>
      <c r="J1" s="142"/>
      <c r="K1" s="142"/>
      <c r="L1" s="142"/>
      <c r="M1" s="142"/>
      <c r="N1" s="142"/>
      <c r="O1" s="142"/>
      <c r="P1" s="142"/>
      <c r="Q1" s="142"/>
    </row>
    <row r="2" spans="1:17">
      <c r="A2" s="12">
        <v>0</v>
      </c>
      <c r="B2" s="45" t="s">
        <v>510</v>
      </c>
      <c r="C2" s="143" t="s">
        <v>511</v>
      </c>
      <c r="D2" s="12" t="b">
        <v>1</v>
      </c>
      <c r="E2" s="143" t="s">
        <v>498</v>
      </c>
      <c r="F2" s="45"/>
      <c r="G2" s="45"/>
      <c r="H2" s="12"/>
      <c r="I2" s="12"/>
      <c r="J2" s="142"/>
      <c r="K2" s="142"/>
      <c r="L2" s="142"/>
      <c r="M2" s="142"/>
      <c r="N2" s="142"/>
      <c r="O2" s="142"/>
      <c r="P2" s="142"/>
      <c r="Q2" s="142"/>
    </row>
    <row r="3" spans="1:17">
      <c r="A3" s="12">
        <v>0</v>
      </c>
      <c r="B3" s="45" t="s">
        <v>512</v>
      </c>
      <c r="C3" s="143" t="s">
        <v>511</v>
      </c>
      <c r="D3" s="12" t="b">
        <v>1</v>
      </c>
      <c r="E3" s="143" t="s">
        <v>240</v>
      </c>
      <c r="F3" s="45"/>
      <c r="G3" s="45"/>
      <c r="H3" s="12"/>
      <c r="I3" s="12"/>
      <c r="J3" s="142"/>
      <c r="K3" s="142"/>
      <c r="L3" s="142"/>
      <c r="M3" s="142"/>
      <c r="N3" s="142"/>
      <c r="O3" s="142"/>
      <c r="P3" s="142"/>
      <c r="Q3" s="142"/>
    </row>
    <row r="4" spans="1:17">
      <c r="A4" s="12">
        <v>0</v>
      </c>
      <c r="B4" s="45" t="s">
        <v>513</v>
      </c>
      <c r="C4" s="143" t="s">
        <v>511</v>
      </c>
      <c r="D4" s="12" t="b">
        <v>1</v>
      </c>
      <c r="E4" s="143" t="s">
        <v>499</v>
      </c>
      <c r="F4" s="45"/>
      <c r="G4" s="45"/>
      <c r="H4" s="12"/>
      <c r="I4" s="12"/>
      <c r="J4" s="142"/>
      <c r="K4" s="142"/>
      <c r="L4" s="142"/>
      <c r="M4" s="142"/>
      <c r="N4" s="142"/>
      <c r="O4" s="142"/>
      <c r="P4" s="142"/>
      <c r="Q4" s="142"/>
    </row>
    <row r="5" spans="1:17">
      <c r="A5" s="12">
        <v>0</v>
      </c>
      <c r="B5" s="45" t="s">
        <v>719</v>
      </c>
      <c r="C5" s="143" t="s">
        <v>511</v>
      </c>
      <c r="D5" s="12" t="b">
        <v>1</v>
      </c>
      <c r="E5" s="143" t="s">
        <v>240</v>
      </c>
      <c r="F5" s="45"/>
      <c r="G5" s="45"/>
      <c r="H5" s="12"/>
      <c r="I5" s="12"/>
      <c r="J5" s="142"/>
      <c r="K5" s="142"/>
      <c r="L5" s="142"/>
      <c r="M5" s="142"/>
      <c r="N5" s="142"/>
      <c r="O5" s="142"/>
      <c r="P5" s="142"/>
      <c r="Q5" s="142"/>
    </row>
    <row r="6" spans="1:17">
      <c r="A6" s="12">
        <v>0</v>
      </c>
      <c r="B6" s="45" t="s">
        <v>514</v>
      </c>
      <c r="C6" s="143" t="s">
        <v>511</v>
      </c>
      <c r="D6" s="12" t="b">
        <v>1</v>
      </c>
      <c r="E6" s="143" t="s">
        <v>515</v>
      </c>
      <c r="F6" s="45"/>
      <c r="G6" s="45"/>
      <c r="H6" s="12"/>
      <c r="I6" s="12"/>
      <c r="J6" s="142"/>
      <c r="K6" s="142"/>
      <c r="L6" s="142"/>
      <c r="M6" s="142"/>
      <c r="N6" s="142"/>
      <c r="O6" s="142"/>
      <c r="P6" s="142"/>
      <c r="Q6" s="142"/>
    </row>
    <row r="7" spans="1:17">
      <c r="A7" s="12">
        <v>0</v>
      </c>
      <c r="B7" s="45" t="s">
        <v>516</v>
      </c>
      <c r="C7" s="143" t="s">
        <v>511</v>
      </c>
      <c r="D7" s="12" t="b">
        <v>1</v>
      </c>
      <c r="E7" s="143" t="s">
        <v>517</v>
      </c>
      <c r="F7" s="45"/>
      <c r="G7" s="45"/>
      <c r="H7" s="12"/>
      <c r="I7" s="12"/>
      <c r="J7" s="142"/>
      <c r="K7" s="142"/>
      <c r="L7" s="142"/>
      <c r="M7" s="142"/>
      <c r="N7" s="142"/>
      <c r="O7" s="142"/>
      <c r="P7" s="142"/>
      <c r="Q7" s="142"/>
    </row>
    <row r="8" spans="1:17">
      <c r="A8" s="12">
        <v>0</v>
      </c>
      <c r="B8" s="45" t="s">
        <v>518</v>
      </c>
      <c r="C8" s="143" t="s">
        <v>511</v>
      </c>
      <c r="D8" s="12" t="b">
        <v>1</v>
      </c>
      <c r="E8" s="143" t="s">
        <v>519</v>
      </c>
      <c r="F8" s="45"/>
      <c r="G8" s="45"/>
      <c r="H8" s="12"/>
      <c r="I8" s="12"/>
      <c r="J8" s="142"/>
      <c r="K8" s="142"/>
      <c r="L8" s="142"/>
      <c r="M8" s="142"/>
      <c r="N8" s="142"/>
      <c r="O8" s="142"/>
      <c r="P8" s="142"/>
      <c r="Q8" s="142"/>
    </row>
    <row r="9" spans="1:17">
      <c r="A9" s="12">
        <v>0</v>
      </c>
      <c r="B9" s="45" t="s">
        <v>520</v>
      </c>
      <c r="C9" s="143" t="s">
        <v>511</v>
      </c>
      <c r="D9" s="12" t="b">
        <v>1</v>
      </c>
      <c r="E9" s="143" t="s">
        <v>521</v>
      </c>
      <c r="F9" s="45"/>
      <c r="G9" s="45"/>
      <c r="H9" s="12"/>
      <c r="I9" s="12"/>
      <c r="J9" s="142"/>
      <c r="K9" s="142"/>
      <c r="L9" s="142"/>
      <c r="M9" s="142"/>
      <c r="N9" s="142"/>
      <c r="O9" s="142"/>
      <c r="P9" s="142"/>
      <c r="Q9" s="142"/>
    </row>
    <row r="10" spans="1:17">
      <c r="A10" s="12">
        <v>0</v>
      </c>
      <c r="B10" s="45" t="s">
        <v>522</v>
      </c>
      <c r="C10" s="143" t="s">
        <v>511</v>
      </c>
      <c r="D10" s="12" t="b">
        <v>1</v>
      </c>
      <c r="E10" s="143" t="s">
        <v>523</v>
      </c>
      <c r="F10" s="45"/>
      <c r="G10" s="45"/>
      <c r="H10" s="12"/>
      <c r="I10" s="12"/>
      <c r="J10" s="142"/>
      <c r="K10" s="142"/>
      <c r="L10" s="142"/>
      <c r="M10" s="142"/>
      <c r="N10" s="142"/>
      <c r="O10" s="142"/>
      <c r="P10" s="142"/>
      <c r="Q10" s="142"/>
    </row>
    <row r="11" spans="1:17">
      <c r="A11" s="12">
        <v>0</v>
      </c>
      <c r="B11" s="45" t="s">
        <v>524</v>
      </c>
      <c r="C11" s="143" t="s">
        <v>511</v>
      </c>
      <c r="D11" s="12" t="b">
        <v>1</v>
      </c>
      <c r="E11" s="143"/>
      <c r="F11" s="45"/>
      <c r="G11" s="45"/>
      <c r="H11" s="12"/>
      <c r="I11" s="12"/>
      <c r="J11" s="142"/>
      <c r="K11" s="142"/>
      <c r="L11" s="142"/>
      <c r="M11" s="142"/>
      <c r="N11" s="142"/>
      <c r="O11" s="142"/>
      <c r="P11" s="142"/>
      <c r="Q11" s="142"/>
    </row>
    <row r="12" spans="1:17">
      <c r="A12" s="12">
        <v>0</v>
      </c>
      <c r="B12" s="45" t="s">
        <v>782</v>
      </c>
      <c r="C12" s="143" t="b">
        <v>1</v>
      </c>
      <c r="D12" s="12" t="b">
        <v>1</v>
      </c>
      <c r="E12" s="143" t="s">
        <v>783</v>
      </c>
      <c r="F12" s="45"/>
      <c r="G12" s="45"/>
      <c r="H12" s="12"/>
      <c r="I12" s="12"/>
      <c r="J12" s="142"/>
      <c r="K12" s="142"/>
      <c r="L12" s="142"/>
      <c r="M12" s="142"/>
      <c r="N12" s="142"/>
      <c r="O12" s="142"/>
      <c r="P12" s="142"/>
      <c r="Q12" s="142"/>
    </row>
    <row r="13" spans="1:17">
      <c r="A13" s="12">
        <v>0</v>
      </c>
      <c r="B13" s="45" t="s">
        <v>805</v>
      </c>
      <c r="C13" s="143" t="b">
        <v>1</v>
      </c>
      <c r="D13" s="12"/>
      <c r="E13" s="143"/>
      <c r="F13" s="45"/>
      <c r="G13" s="45"/>
      <c r="H13" s="12"/>
      <c r="I13" s="12"/>
      <c r="J13" s="142"/>
      <c r="K13" s="142"/>
      <c r="L13" s="142"/>
      <c r="M13" s="142"/>
      <c r="N13" s="142"/>
      <c r="O13" s="142"/>
      <c r="P13" s="142"/>
      <c r="Q13" s="142"/>
    </row>
    <row r="14" spans="1:17">
      <c r="A14" s="12">
        <v>1</v>
      </c>
      <c r="B14" s="45" t="s">
        <v>469</v>
      </c>
      <c r="C14" s="143" t="s">
        <v>525</v>
      </c>
      <c r="D14" s="12" t="b">
        <v>1</v>
      </c>
      <c r="E14" s="143" t="s">
        <v>729</v>
      </c>
      <c r="F14" s="45"/>
      <c r="G14" s="45"/>
      <c r="H14" s="12"/>
      <c r="I14" s="12"/>
      <c r="J14" s="142"/>
      <c r="K14" s="142"/>
      <c r="L14" s="142"/>
      <c r="M14" s="142"/>
      <c r="N14" s="142"/>
      <c r="O14" s="142"/>
      <c r="P14" s="142"/>
      <c r="Q14" s="142"/>
    </row>
    <row r="15" spans="1:17">
      <c r="A15" s="12">
        <v>2</v>
      </c>
      <c r="B15" s="45" t="s">
        <v>469</v>
      </c>
      <c r="C15" s="143" t="s">
        <v>526</v>
      </c>
      <c r="D15" s="12" t="b">
        <v>0</v>
      </c>
      <c r="E15" s="143" t="s">
        <v>720</v>
      </c>
      <c r="F15" s="45"/>
      <c r="G15" s="45"/>
      <c r="H15" s="12"/>
      <c r="I15" s="12"/>
      <c r="J15" s="142"/>
      <c r="K15" s="142"/>
      <c r="L15" s="142"/>
      <c r="M15" s="142"/>
      <c r="N15" s="142"/>
      <c r="O15" s="142"/>
      <c r="P15" s="142"/>
      <c r="Q15" s="142"/>
    </row>
    <row r="16" spans="1:17">
      <c r="A16" s="12">
        <v>3</v>
      </c>
      <c r="B16" s="45" t="s">
        <v>469</v>
      </c>
      <c r="C16" s="143" t="s">
        <v>527</v>
      </c>
      <c r="D16" s="12" t="b">
        <v>0</v>
      </c>
      <c r="E16" s="143" t="s">
        <v>721</v>
      </c>
      <c r="F16" s="45"/>
      <c r="G16" s="45"/>
      <c r="H16" s="12"/>
      <c r="I16" s="12"/>
      <c r="J16" s="142"/>
      <c r="K16" s="142"/>
      <c r="L16" s="142"/>
      <c r="M16" s="142"/>
      <c r="N16" s="142"/>
      <c r="O16" s="142"/>
      <c r="P16" s="142"/>
      <c r="Q16" s="142"/>
    </row>
    <row r="17" spans="1:17">
      <c r="A17" s="12">
        <v>4</v>
      </c>
      <c r="B17" s="45" t="s">
        <v>469</v>
      </c>
      <c r="C17" s="143" t="s">
        <v>528</v>
      </c>
      <c r="D17" s="12" t="b">
        <v>0</v>
      </c>
      <c r="E17" s="143" t="s">
        <v>722</v>
      </c>
      <c r="F17" s="45"/>
      <c r="G17" s="45"/>
      <c r="H17" s="12"/>
      <c r="I17" s="12"/>
      <c r="J17" s="142"/>
      <c r="K17" s="142"/>
      <c r="L17" s="142"/>
      <c r="M17" s="142"/>
      <c r="N17" s="142"/>
      <c r="O17" s="142"/>
      <c r="P17" s="142"/>
      <c r="Q17" s="142"/>
    </row>
    <row r="18" spans="1:17">
      <c r="A18" s="12">
        <v>5</v>
      </c>
      <c r="B18" s="45" t="s">
        <v>469</v>
      </c>
      <c r="C18" s="143" t="s">
        <v>529</v>
      </c>
      <c r="D18" s="12" t="b">
        <v>0</v>
      </c>
      <c r="E18" s="143" t="s">
        <v>723</v>
      </c>
      <c r="F18" s="45"/>
      <c r="G18" s="45"/>
      <c r="H18" s="12"/>
      <c r="I18" s="12"/>
      <c r="J18" s="142"/>
      <c r="K18" s="142"/>
      <c r="L18" s="142"/>
      <c r="M18" s="142"/>
      <c r="N18" s="142"/>
      <c r="O18" s="142"/>
      <c r="P18" s="142"/>
      <c r="Q18" s="142"/>
    </row>
    <row r="19" spans="1:17">
      <c r="A19" s="12">
        <v>6</v>
      </c>
      <c r="B19" s="45" t="s">
        <v>469</v>
      </c>
      <c r="C19" s="143" t="s">
        <v>530</v>
      </c>
      <c r="D19" s="12" t="b">
        <v>0</v>
      </c>
      <c r="E19" s="143" t="s">
        <v>724</v>
      </c>
      <c r="F19" s="45"/>
      <c r="G19" s="45"/>
      <c r="H19" s="12"/>
      <c r="I19" s="12"/>
      <c r="J19" s="142"/>
      <c r="K19" s="142"/>
      <c r="L19" s="142"/>
      <c r="M19" s="142"/>
      <c r="N19" s="142"/>
      <c r="O19" s="142"/>
      <c r="P19" s="142"/>
      <c r="Q19" s="142"/>
    </row>
    <row r="20" spans="1:17">
      <c r="A20" s="12">
        <v>7</v>
      </c>
      <c r="B20" s="45" t="s">
        <v>469</v>
      </c>
      <c r="C20" s="143" t="s">
        <v>531</v>
      </c>
      <c r="D20" s="12" t="b">
        <v>0</v>
      </c>
      <c r="E20" s="143" t="s">
        <v>725</v>
      </c>
      <c r="F20" s="45"/>
      <c r="G20" s="45"/>
      <c r="H20" s="12"/>
      <c r="I20" s="12"/>
      <c r="J20" s="142"/>
      <c r="K20" s="142"/>
      <c r="L20" s="142"/>
      <c r="M20" s="142"/>
      <c r="N20" s="142"/>
      <c r="O20" s="142"/>
      <c r="P20" s="142"/>
      <c r="Q20" s="142"/>
    </row>
    <row r="21" spans="1:17">
      <c r="A21" s="12">
        <v>8</v>
      </c>
      <c r="B21" s="45" t="s">
        <v>469</v>
      </c>
      <c r="C21" s="143" t="s">
        <v>532</v>
      </c>
      <c r="D21" s="12" t="b">
        <v>0</v>
      </c>
      <c r="E21" s="143" t="s">
        <v>726</v>
      </c>
      <c r="F21" s="45"/>
      <c r="G21" s="45"/>
      <c r="H21" s="12"/>
      <c r="I21" s="12"/>
      <c r="J21" s="142"/>
      <c r="K21" s="142"/>
      <c r="L21" s="142"/>
      <c r="M21" s="142"/>
      <c r="N21" s="142"/>
      <c r="O21" s="142"/>
      <c r="P21" s="142"/>
      <c r="Q21" s="142"/>
    </row>
    <row r="22" spans="1:17">
      <c r="A22" s="12">
        <v>9</v>
      </c>
      <c r="B22" s="45" t="s">
        <v>469</v>
      </c>
      <c r="C22" s="143" t="s">
        <v>533</v>
      </c>
      <c r="D22" s="12" t="b">
        <v>0</v>
      </c>
      <c r="E22" s="143" t="s">
        <v>727</v>
      </c>
      <c r="F22" s="45"/>
      <c r="G22" s="45"/>
      <c r="H22" s="12"/>
      <c r="I22" s="12"/>
      <c r="J22" s="142"/>
      <c r="K22" s="142"/>
      <c r="L22" s="142"/>
      <c r="M22" s="142"/>
      <c r="N22" s="142"/>
      <c r="O22" s="142"/>
      <c r="P22" s="142"/>
      <c r="Q22" s="142"/>
    </row>
    <row r="23" spans="1:17">
      <c r="A23" s="12">
        <v>10</v>
      </c>
      <c r="B23" s="45" t="s">
        <v>469</v>
      </c>
      <c r="C23" s="143" t="s">
        <v>534</v>
      </c>
      <c r="D23" s="12" t="b">
        <v>0</v>
      </c>
      <c r="E23" s="143" t="s">
        <v>728</v>
      </c>
      <c r="F23" s="45"/>
      <c r="G23" s="45"/>
      <c r="H23" s="12"/>
      <c r="I23" s="12"/>
      <c r="J23" s="142"/>
      <c r="K23" s="142"/>
      <c r="L23" s="142"/>
      <c r="M23" s="142"/>
      <c r="N23" s="142"/>
      <c r="O23" s="142"/>
      <c r="P23" s="142"/>
      <c r="Q23" s="142"/>
    </row>
    <row r="24" spans="1:17">
      <c r="A24" s="12">
        <v>11</v>
      </c>
      <c r="B24" s="45" t="s">
        <v>535</v>
      </c>
      <c r="C24" s="143" t="s">
        <v>536</v>
      </c>
      <c r="D24" s="12" t="b">
        <v>0</v>
      </c>
      <c r="E24" s="143" t="s">
        <v>729</v>
      </c>
      <c r="F24" s="45"/>
      <c r="G24" s="45"/>
      <c r="H24" s="12"/>
      <c r="I24" s="12"/>
      <c r="J24" s="142"/>
      <c r="K24" s="142"/>
      <c r="L24" s="142"/>
      <c r="M24" s="142"/>
      <c r="N24" s="142"/>
      <c r="O24" s="142"/>
      <c r="P24" s="142"/>
      <c r="Q24" s="142"/>
    </row>
    <row r="25" spans="1:17">
      <c r="A25" s="12">
        <v>12</v>
      </c>
      <c r="B25" s="45" t="s">
        <v>535</v>
      </c>
      <c r="C25" s="143" t="s">
        <v>537</v>
      </c>
      <c r="D25" s="12" t="b">
        <v>0</v>
      </c>
      <c r="E25" s="143" t="s">
        <v>720</v>
      </c>
      <c r="F25" s="45"/>
      <c r="G25" s="45"/>
      <c r="H25" s="12"/>
      <c r="I25" s="12"/>
      <c r="J25" s="142"/>
      <c r="K25" s="142"/>
      <c r="L25" s="142"/>
      <c r="M25" s="142"/>
      <c r="N25" s="142"/>
      <c r="O25" s="142"/>
      <c r="P25" s="142"/>
      <c r="Q25" s="142"/>
    </row>
    <row r="26" spans="1:17">
      <c r="A26" s="12">
        <v>13</v>
      </c>
      <c r="B26" s="45" t="s">
        <v>535</v>
      </c>
      <c r="C26" s="143" t="s">
        <v>538</v>
      </c>
      <c r="D26" s="12" t="b">
        <v>0</v>
      </c>
      <c r="E26" s="143" t="s">
        <v>721</v>
      </c>
      <c r="F26" s="45"/>
      <c r="G26" s="45"/>
      <c r="H26" s="12"/>
      <c r="I26" s="12"/>
      <c r="J26" s="142"/>
      <c r="K26" s="142"/>
      <c r="L26" s="142"/>
      <c r="M26" s="142"/>
      <c r="N26" s="142"/>
      <c r="O26" s="142"/>
      <c r="P26" s="142"/>
      <c r="Q26" s="142"/>
    </row>
    <row r="27" spans="1:17">
      <c r="A27" s="12">
        <v>14</v>
      </c>
      <c r="B27" s="45" t="s">
        <v>535</v>
      </c>
      <c r="C27" s="143" t="s">
        <v>539</v>
      </c>
      <c r="D27" s="12" t="b">
        <v>0</v>
      </c>
      <c r="E27" s="143" t="s">
        <v>722</v>
      </c>
      <c r="F27" s="45"/>
      <c r="G27" s="45"/>
      <c r="H27" s="12"/>
      <c r="I27" s="12"/>
      <c r="J27" s="142"/>
      <c r="K27" s="142"/>
      <c r="L27" s="142"/>
      <c r="M27" s="142"/>
      <c r="N27" s="142"/>
      <c r="O27" s="142"/>
      <c r="P27" s="142"/>
      <c r="Q27" s="142"/>
    </row>
    <row r="28" spans="1:17">
      <c r="A28" s="12">
        <v>15</v>
      </c>
      <c r="B28" s="45" t="s">
        <v>535</v>
      </c>
      <c r="C28" s="143" t="s">
        <v>540</v>
      </c>
      <c r="D28" s="12" t="b">
        <v>0</v>
      </c>
      <c r="E28" s="143" t="s">
        <v>723</v>
      </c>
      <c r="F28" s="45"/>
      <c r="G28" s="45"/>
      <c r="H28" s="12"/>
      <c r="I28" s="12"/>
      <c r="J28" s="142"/>
      <c r="K28" s="142"/>
      <c r="L28" s="142"/>
      <c r="M28" s="142"/>
      <c r="N28" s="142"/>
      <c r="O28" s="142"/>
      <c r="P28" s="142"/>
      <c r="Q28" s="142"/>
    </row>
    <row r="29" spans="1:17">
      <c r="A29" s="12">
        <v>16</v>
      </c>
      <c r="B29" s="45" t="s">
        <v>535</v>
      </c>
      <c r="C29" s="143" t="s">
        <v>541</v>
      </c>
      <c r="D29" s="12" t="b">
        <v>0</v>
      </c>
      <c r="E29" s="143" t="s">
        <v>724</v>
      </c>
      <c r="F29" s="45"/>
      <c r="G29" s="45"/>
      <c r="H29" s="12"/>
      <c r="I29" s="12"/>
      <c r="J29" s="142"/>
      <c r="K29" s="142"/>
      <c r="L29" s="142"/>
      <c r="M29" s="142"/>
      <c r="N29" s="142"/>
      <c r="O29" s="142"/>
      <c r="P29" s="142"/>
      <c r="Q29" s="142"/>
    </row>
    <row r="30" spans="1:17">
      <c r="A30" s="12">
        <v>17</v>
      </c>
      <c r="B30" s="45" t="s">
        <v>535</v>
      </c>
      <c r="C30" s="143" t="s">
        <v>542</v>
      </c>
      <c r="D30" s="12" t="b">
        <v>0</v>
      </c>
      <c r="E30" s="143" t="s">
        <v>725</v>
      </c>
      <c r="F30" s="45"/>
      <c r="G30" s="45"/>
      <c r="H30" s="12"/>
      <c r="I30" s="12"/>
      <c r="J30" s="142"/>
      <c r="K30" s="142"/>
      <c r="L30" s="142"/>
      <c r="M30" s="142"/>
      <c r="N30" s="142"/>
      <c r="O30" s="142"/>
      <c r="P30" s="142"/>
      <c r="Q30" s="142"/>
    </row>
    <row r="31" spans="1:17">
      <c r="A31" s="12">
        <v>18</v>
      </c>
      <c r="B31" s="45" t="s">
        <v>535</v>
      </c>
      <c r="C31" s="143" t="s">
        <v>543</v>
      </c>
      <c r="D31" s="12" t="b">
        <v>1</v>
      </c>
      <c r="E31" s="143" t="s">
        <v>726</v>
      </c>
      <c r="F31" s="45"/>
      <c r="G31" s="45"/>
      <c r="H31" s="12"/>
      <c r="I31" s="12"/>
      <c r="J31" s="142"/>
      <c r="K31" s="142"/>
      <c r="L31" s="142"/>
      <c r="M31" s="142"/>
      <c r="N31" s="142"/>
      <c r="O31" s="142"/>
      <c r="P31" s="142"/>
      <c r="Q31" s="142"/>
    </row>
    <row r="32" spans="1:17">
      <c r="A32" s="12">
        <v>19</v>
      </c>
      <c r="B32" s="45" t="s">
        <v>535</v>
      </c>
      <c r="C32" s="143" t="s">
        <v>544</v>
      </c>
      <c r="D32" s="12" t="b">
        <v>0</v>
      </c>
      <c r="E32" s="143" t="s">
        <v>727</v>
      </c>
      <c r="F32" s="45"/>
      <c r="G32" s="45"/>
      <c r="H32" s="12"/>
      <c r="I32" s="12"/>
      <c r="J32" s="142"/>
      <c r="K32" s="142"/>
      <c r="L32" s="142"/>
      <c r="M32" s="142"/>
      <c r="N32" s="142"/>
      <c r="O32" s="142"/>
      <c r="P32" s="142"/>
      <c r="Q32" s="142"/>
    </row>
    <row r="33" spans="1:17">
      <c r="A33" s="12">
        <v>20</v>
      </c>
      <c r="B33" s="45" t="s">
        <v>535</v>
      </c>
      <c r="C33" s="143" t="s">
        <v>545</v>
      </c>
      <c r="D33" s="12" t="b">
        <v>0</v>
      </c>
      <c r="E33" s="143" t="s">
        <v>728</v>
      </c>
      <c r="F33" s="45"/>
      <c r="G33" s="45"/>
      <c r="H33" s="12"/>
      <c r="I33" s="12"/>
      <c r="J33" s="142"/>
      <c r="K33" s="142"/>
      <c r="L33" s="142"/>
      <c r="M33" s="142"/>
      <c r="N33" s="142"/>
      <c r="O33" s="142"/>
      <c r="P33" s="142"/>
      <c r="Q33" s="142"/>
    </row>
    <row r="34" spans="1:17">
      <c r="A34" s="12">
        <v>21</v>
      </c>
      <c r="B34" s="45" t="s">
        <v>546</v>
      </c>
      <c r="C34" s="143" t="s">
        <v>547</v>
      </c>
      <c r="D34" s="12" t="b">
        <v>1</v>
      </c>
      <c r="E34" s="143" t="s">
        <v>729</v>
      </c>
      <c r="F34" s="45"/>
      <c r="G34" s="45"/>
      <c r="H34" s="12"/>
      <c r="I34" s="12"/>
      <c r="J34" s="142"/>
      <c r="K34" s="142"/>
      <c r="L34" s="142"/>
      <c r="M34" s="142"/>
      <c r="N34" s="142"/>
      <c r="O34" s="142"/>
      <c r="P34" s="142"/>
      <c r="Q34" s="142"/>
    </row>
    <row r="35" spans="1:17">
      <c r="A35" s="12">
        <v>22</v>
      </c>
      <c r="B35" s="45" t="s">
        <v>546</v>
      </c>
      <c r="C35" s="143" t="s">
        <v>548</v>
      </c>
      <c r="D35" s="12" t="b">
        <v>0</v>
      </c>
      <c r="E35" s="143" t="s">
        <v>720</v>
      </c>
      <c r="F35" s="45"/>
      <c r="G35" s="45"/>
      <c r="H35" s="12"/>
      <c r="I35" s="12"/>
      <c r="J35" s="142"/>
      <c r="K35" s="142"/>
      <c r="L35" s="142"/>
      <c r="M35" s="142"/>
      <c r="N35" s="142"/>
      <c r="O35" s="142"/>
      <c r="P35" s="142"/>
      <c r="Q35" s="142"/>
    </row>
    <row r="36" spans="1:17">
      <c r="A36" s="12">
        <v>23</v>
      </c>
      <c r="B36" s="45" t="s">
        <v>546</v>
      </c>
      <c r="C36" s="143" t="s">
        <v>549</v>
      </c>
      <c r="D36" s="12" t="b">
        <v>0</v>
      </c>
      <c r="E36" s="143" t="s">
        <v>721</v>
      </c>
      <c r="F36" s="45"/>
      <c r="G36" s="45"/>
      <c r="H36" s="12"/>
      <c r="I36" s="12"/>
      <c r="J36" s="142"/>
      <c r="K36" s="142"/>
      <c r="L36" s="142"/>
      <c r="M36" s="142"/>
      <c r="N36" s="142"/>
      <c r="O36" s="142"/>
      <c r="P36" s="142"/>
      <c r="Q36" s="142"/>
    </row>
    <row r="37" spans="1:17">
      <c r="A37" s="12">
        <v>24</v>
      </c>
      <c r="B37" s="45" t="s">
        <v>546</v>
      </c>
      <c r="C37" s="143" t="s">
        <v>550</v>
      </c>
      <c r="D37" s="12" t="b">
        <v>0</v>
      </c>
      <c r="E37" s="143" t="s">
        <v>722</v>
      </c>
      <c r="F37" s="45"/>
      <c r="G37" s="45"/>
      <c r="H37" s="12"/>
      <c r="I37" s="12"/>
      <c r="J37" s="142"/>
      <c r="K37" s="142"/>
      <c r="L37" s="142"/>
      <c r="M37" s="142"/>
      <c r="N37" s="142"/>
      <c r="O37" s="142"/>
      <c r="P37" s="142"/>
      <c r="Q37" s="142"/>
    </row>
    <row r="38" spans="1:17">
      <c r="A38" s="12">
        <v>25</v>
      </c>
      <c r="B38" s="45" t="s">
        <v>546</v>
      </c>
      <c r="C38" s="143" t="s">
        <v>551</v>
      </c>
      <c r="D38" s="12" t="b">
        <v>0</v>
      </c>
      <c r="E38" s="143" t="s">
        <v>723</v>
      </c>
      <c r="F38" s="45"/>
      <c r="G38" s="45"/>
      <c r="H38" s="12"/>
      <c r="I38" s="12"/>
      <c r="J38" s="142"/>
      <c r="K38" s="142"/>
      <c r="L38" s="142"/>
      <c r="M38" s="142"/>
      <c r="N38" s="142"/>
      <c r="O38" s="142"/>
      <c r="P38" s="142"/>
      <c r="Q38" s="142"/>
    </row>
    <row r="39" spans="1:17">
      <c r="A39" s="12">
        <v>26</v>
      </c>
      <c r="B39" s="45" t="s">
        <v>546</v>
      </c>
      <c r="C39" s="143" t="s">
        <v>798</v>
      </c>
      <c r="D39" s="12" t="b">
        <v>0</v>
      </c>
      <c r="E39" s="143" t="s">
        <v>724</v>
      </c>
      <c r="F39" s="45"/>
      <c r="G39" s="45"/>
      <c r="H39" s="12"/>
      <c r="I39" s="12"/>
      <c r="J39" s="142"/>
      <c r="K39" s="142"/>
      <c r="L39" s="142"/>
      <c r="M39" s="142"/>
      <c r="N39" s="142"/>
      <c r="O39" s="142"/>
      <c r="P39" s="142"/>
      <c r="Q39" s="142"/>
    </row>
    <row r="40" spans="1:17">
      <c r="A40" s="12">
        <v>27</v>
      </c>
      <c r="B40" s="45" t="s">
        <v>546</v>
      </c>
      <c r="C40" s="143" t="s">
        <v>552</v>
      </c>
      <c r="D40" s="12" t="b">
        <v>0</v>
      </c>
      <c r="E40" s="143" t="s">
        <v>725</v>
      </c>
      <c r="F40" s="45"/>
      <c r="G40" s="45"/>
      <c r="H40" s="12"/>
      <c r="I40" s="12"/>
      <c r="J40" s="142"/>
      <c r="K40" s="142"/>
      <c r="L40" s="142"/>
      <c r="M40" s="142"/>
      <c r="N40" s="142"/>
      <c r="O40" s="142"/>
      <c r="P40" s="142"/>
      <c r="Q40" s="142"/>
    </row>
    <row r="41" spans="1:17">
      <c r="A41" s="12">
        <v>28</v>
      </c>
      <c r="B41" s="45" t="s">
        <v>546</v>
      </c>
      <c r="C41" s="143" t="s">
        <v>553</v>
      </c>
      <c r="D41" s="12" t="b">
        <v>0</v>
      </c>
      <c r="E41" s="143" t="s">
        <v>726</v>
      </c>
      <c r="F41" s="45"/>
      <c r="G41" s="45"/>
      <c r="H41" s="12"/>
      <c r="I41" s="12"/>
      <c r="J41" s="142"/>
      <c r="K41" s="142"/>
      <c r="L41" s="142"/>
      <c r="M41" s="142"/>
      <c r="N41" s="142"/>
      <c r="O41" s="142"/>
      <c r="P41" s="142"/>
      <c r="Q41" s="142"/>
    </row>
    <row r="42" spans="1:17">
      <c r="A42" s="12">
        <v>29</v>
      </c>
      <c r="B42" s="45" t="s">
        <v>546</v>
      </c>
      <c r="C42" s="143" t="s">
        <v>554</v>
      </c>
      <c r="D42" s="12" t="b">
        <v>0</v>
      </c>
      <c r="E42" s="143" t="s">
        <v>727</v>
      </c>
      <c r="F42" s="45"/>
      <c r="G42" s="45"/>
      <c r="H42" s="12"/>
      <c r="I42" s="12"/>
      <c r="J42" s="142"/>
      <c r="K42" s="142"/>
      <c r="L42" s="142"/>
      <c r="M42" s="142"/>
      <c r="N42" s="142"/>
      <c r="O42" s="142"/>
      <c r="P42" s="142"/>
      <c r="Q42" s="142"/>
    </row>
    <row r="43" spans="1:17">
      <c r="A43" s="12">
        <v>30</v>
      </c>
      <c r="B43" s="45" t="s">
        <v>546</v>
      </c>
      <c r="C43" s="143" t="s">
        <v>555</v>
      </c>
      <c r="D43" s="12" t="b">
        <v>0</v>
      </c>
      <c r="E43" s="143" t="s">
        <v>728</v>
      </c>
      <c r="F43" s="45"/>
      <c r="G43" s="45"/>
      <c r="H43" s="12"/>
      <c r="I43" s="12"/>
      <c r="J43" s="142"/>
      <c r="K43" s="142"/>
      <c r="L43" s="142"/>
      <c r="M43" s="142"/>
      <c r="N43" s="142"/>
      <c r="O43" s="142"/>
      <c r="P43" s="142"/>
      <c r="Q43" s="142"/>
    </row>
    <row r="44" spans="1:17">
      <c r="A44" s="12">
        <v>31</v>
      </c>
      <c r="B44" s="45" t="s">
        <v>556</v>
      </c>
      <c r="C44" s="143" t="s">
        <v>557</v>
      </c>
      <c r="D44" s="12" t="b">
        <v>1</v>
      </c>
      <c r="E44" s="143" t="s">
        <v>729</v>
      </c>
      <c r="F44" s="45"/>
      <c r="G44" s="45"/>
      <c r="H44" s="12"/>
      <c r="I44" s="12"/>
      <c r="J44" s="142"/>
      <c r="K44" s="142"/>
      <c r="L44" s="142"/>
      <c r="M44" s="142"/>
      <c r="N44" s="142"/>
      <c r="O44" s="142"/>
      <c r="P44" s="142"/>
      <c r="Q44" s="142"/>
    </row>
    <row r="45" spans="1:17">
      <c r="A45" s="12">
        <v>32</v>
      </c>
      <c r="B45" s="45" t="s">
        <v>556</v>
      </c>
      <c r="C45" s="143" t="s">
        <v>558</v>
      </c>
      <c r="D45" s="12" t="b">
        <v>0</v>
      </c>
      <c r="E45" s="143" t="s">
        <v>720</v>
      </c>
      <c r="F45" s="45"/>
      <c r="G45" s="45"/>
      <c r="H45" s="12"/>
      <c r="I45" s="12"/>
      <c r="J45" s="142"/>
      <c r="K45" s="142"/>
      <c r="L45" s="142"/>
      <c r="M45" s="142"/>
      <c r="N45" s="142"/>
      <c r="O45" s="142"/>
      <c r="P45" s="142"/>
      <c r="Q45" s="142"/>
    </row>
    <row r="46" spans="1:17">
      <c r="A46" s="12">
        <v>33</v>
      </c>
      <c r="B46" s="45" t="s">
        <v>556</v>
      </c>
      <c r="C46" s="143" t="s">
        <v>559</v>
      </c>
      <c r="D46" s="12" t="b">
        <v>0</v>
      </c>
      <c r="E46" s="143" t="s">
        <v>721</v>
      </c>
      <c r="F46" s="45"/>
      <c r="G46" s="45"/>
      <c r="H46" s="12"/>
      <c r="I46" s="12"/>
      <c r="J46" s="142"/>
      <c r="K46" s="142"/>
      <c r="L46" s="142"/>
      <c r="M46" s="142"/>
      <c r="N46" s="142"/>
      <c r="O46" s="142"/>
      <c r="P46" s="142"/>
      <c r="Q46" s="142"/>
    </row>
    <row r="47" spans="1:17">
      <c r="A47" s="12">
        <v>34</v>
      </c>
      <c r="B47" s="45" t="s">
        <v>556</v>
      </c>
      <c r="C47" s="143" t="s">
        <v>560</v>
      </c>
      <c r="D47" s="12" t="b">
        <v>0</v>
      </c>
      <c r="E47" s="143" t="s">
        <v>722</v>
      </c>
      <c r="F47" s="45"/>
      <c r="G47" s="45"/>
      <c r="H47" s="12"/>
      <c r="I47" s="12"/>
      <c r="J47" s="142"/>
      <c r="K47" s="142"/>
      <c r="L47" s="142"/>
      <c r="M47" s="142"/>
      <c r="N47" s="142"/>
      <c r="O47" s="142"/>
      <c r="P47" s="142"/>
      <c r="Q47" s="142"/>
    </row>
    <row r="48" spans="1:17">
      <c r="A48" s="12">
        <v>35</v>
      </c>
      <c r="B48" s="45" t="s">
        <v>556</v>
      </c>
      <c r="C48" s="143" t="s">
        <v>561</v>
      </c>
      <c r="D48" s="12" t="b">
        <v>0</v>
      </c>
      <c r="E48" s="143" t="s">
        <v>730</v>
      </c>
      <c r="F48" s="45"/>
      <c r="G48" s="45"/>
      <c r="H48" s="12"/>
      <c r="I48" s="12"/>
      <c r="J48" s="142"/>
      <c r="K48" s="142"/>
      <c r="L48" s="142"/>
      <c r="M48" s="142"/>
      <c r="N48" s="142"/>
      <c r="O48" s="142"/>
      <c r="P48" s="142"/>
      <c r="Q48" s="142"/>
    </row>
    <row r="49" spans="1:17">
      <c r="A49" s="12">
        <v>36</v>
      </c>
      <c r="B49" s="45" t="s">
        <v>556</v>
      </c>
      <c r="C49" s="143" t="s">
        <v>797</v>
      </c>
      <c r="D49" s="12" t="b">
        <v>0</v>
      </c>
      <c r="E49" s="143" t="s">
        <v>724</v>
      </c>
      <c r="F49" s="45"/>
      <c r="G49" s="45"/>
      <c r="H49" s="12"/>
      <c r="I49" s="12"/>
      <c r="J49" s="142"/>
      <c r="K49" s="142"/>
      <c r="L49" s="142"/>
      <c r="M49" s="142"/>
      <c r="N49" s="142"/>
      <c r="O49" s="142"/>
      <c r="P49" s="142"/>
      <c r="Q49" s="142"/>
    </row>
    <row r="50" spans="1:17">
      <c r="A50" s="12">
        <v>37</v>
      </c>
      <c r="B50" s="45" t="s">
        <v>556</v>
      </c>
      <c r="C50" s="143" t="s">
        <v>562</v>
      </c>
      <c r="D50" s="12" t="b">
        <v>0</v>
      </c>
      <c r="E50" s="143" t="s">
        <v>725</v>
      </c>
      <c r="F50" s="45"/>
      <c r="G50" s="45"/>
      <c r="H50" s="12"/>
      <c r="I50" s="12"/>
      <c r="J50" s="142"/>
      <c r="K50" s="142"/>
      <c r="L50" s="142"/>
      <c r="M50" s="142"/>
      <c r="N50" s="142"/>
      <c r="O50" s="142"/>
      <c r="P50" s="142"/>
      <c r="Q50" s="142"/>
    </row>
    <row r="51" spans="1:17">
      <c r="A51" s="12">
        <v>38</v>
      </c>
      <c r="B51" s="45" t="s">
        <v>556</v>
      </c>
      <c r="C51" s="143" t="s">
        <v>563</v>
      </c>
      <c r="D51" s="12" t="b">
        <v>0</v>
      </c>
      <c r="E51" s="143" t="s">
        <v>726</v>
      </c>
      <c r="F51" s="45"/>
      <c r="G51" s="45"/>
      <c r="H51" s="12"/>
      <c r="I51" s="12"/>
      <c r="J51" s="142"/>
      <c r="K51" s="142"/>
      <c r="L51" s="142"/>
      <c r="M51" s="142"/>
      <c r="N51" s="142"/>
      <c r="O51" s="142"/>
      <c r="P51" s="142"/>
      <c r="Q51" s="142"/>
    </row>
    <row r="52" spans="1:17">
      <c r="A52" s="12">
        <v>39</v>
      </c>
      <c r="B52" s="45" t="s">
        <v>556</v>
      </c>
      <c r="C52" s="143" t="s">
        <v>564</v>
      </c>
      <c r="D52" s="12" t="b">
        <v>0</v>
      </c>
      <c r="E52" s="143" t="s">
        <v>727</v>
      </c>
      <c r="F52" s="45"/>
      <c r="G52" s="45"/>
      <c r="H52" s="12"/>
      <c r="I52" s="12"/>
      <c r="J52" s="142"/>
      <c r="K52" s="142"/>
      <c r="L52" s="142"/>
      <c r="M52" s="142"/>
      <c r="N52" s="142"/>
      <c r="O52" s="142"/>
      <c r="P52" s="142"/>
      <c r="Q52" s="142"/>
    </row>
    <row r="53" spans="1:17">
      <c r="A53" s="12">
        <v>40</v>
      </c>
      <c r="B53" s="45" t="s">
        <v>556</v>
      </c>
      <c r="C53" s="143" t="s">
        <v>565</v>
      </c>
      <c r="D53" s="12" t="b">
        <v>0</v>
      </c>
      <c r="E53" s="143" t="s">
        <v>728</v>
      </c>
      <c r="F53" s="45"/>
      <c r="G53" s="45"/>
      <c r="H53" s="12"/>
      <c r="I53" s="12"/>
      <c r="J53" s="142"/>
      <c r="K53" s="142"/>
      <c r="L53" s="142"/>
      <c r="M53" s="142"/>
      <c r="N53" s="142"/>
      <c r="O53" s="142"/>
      <c r="P53" s="142"/>
      <c r="Q53" s="142"/>
    </row>
    <row r="54" spans="1:17">
      <c r="A54" s="12">
        <v>41</v>
      </c>
      <c r="B54" s="45" t="s">
        <v>566</v>
      </c>
      <c r="C54" s="143" t="s">
        <v>567</v>
      </c>
      <c r="D54" s="12" t="b">
        <v>1</v>
      </c>
      <c r="E54" s="143" t="s">
        <v>729</v>
      </c>
      <c r="F54" s="45"/>
      <c r="G54" s="45"/>
      <c r="H54" s="12"/>
      <c r="I54" s="12"/>
      <c r="J54" s="142"/>
      <c r="K54" s="142"/>
      <c r="L54" s="142"/>
      <c r="M54" s="142"/>
      <c r="N54" s="142"/>
      <c r="O54" s="142"/>
      <c r="P54" s="142"/>
      <c r="Q54" s="142"/>
    </row>
    <row r="55" spans="1:17">
      <c r="A55" s="12">
        <v>42</v>
      </c>
      <c r="B55" s="45" t="s">
        <v>566</v>
      </c>
      <c r="C55" s="143" t="s">
        <v>568</v>
      </c>
      <c r="D55" s="12" t="b">
        <v>0</v>
      </c>
      <c r="E55" s="143" t="s">
        <v>720</v>
      </c>
      <c r="F55" s="45"/>
      <c r="G55" s="45"/>
      <c r="H55" s="12"/>
      <c r="I55" s="12"/>
      <c r="J55" s="142"/>
      <c r="K55" s="142"/>
      <c r="L55" s="142"/>
      <c r="M55" s="142"/>
      <c r="N55" s="142"/>
      <c r="O55" s="142"/>
      <c r="P55" s="142"/>
      <c r="Q55" s="142"/>
    </row>
    <row r="56" spans="1:17">
      <c r="A56" s="12">
        <v>43</v>
      </c>
      <c r="B56" s="45" t="s">
        <v>566</v>
      </c>
      <c r="C56" s="143" t="s">
        <v>569</v>
      </c>
      <c r="D56" s="12" t="b">
        <v>0</v>
      </c>
      <c r="E56" s="143" t="s">
        <v>721</v>
      </c>
      <c r="F56" s="45"/>
      <c r="G56" s="45"/>
      <c r="H56" s="12"/>
      <c r="I56" s="12"/>
      <c r="J56" s="142"/>
      <c r="K56" s="142"/>
      <c r="L56" s="142"/>
      <c r="M56" s="142"/>
      <c r="N56" s="142"/>
      <c r="O56" s="142"/>
      <c r="P56" s="142"/>
      <c r="Q56" s="142"/>
    </row>
    <row r="57" spans="1:17">
      <c r="A57" s="12">
        <v>44</v>
      </c>
      <c r="B57" s="45" t="s">
        <v>566</v>
      </c>
      <c r="C57" s="143" t="s">
        <v>570</v>
      </c>
      <c r="D57" s="12" t="b">
        <v>0</v>
      </c>
      <c r="E57" s="143" t="s">
        <v>722</v>
      </c>
      <c r="F57" s="45"/>
      <c r="G57" s="45"/>
      <c r="H57" s="12"/>
      <c r="I57" s="12"/>
      <c r="J57" s="142"/>
      <c r="K57" s="142"/>
      <c r="L57" s="142"/>
      <c r="M57" s="142"/>
      <c r="N57" s="142"/>
      <c r="O57" s="142"/>
      <c r="P57" s="142"/>
      <c r="Q57" s="142"/>
    </row>
    <row r="58" spans="1:17">
      <c r="A58" s="12">
        <v>45</v>
      </c>
      <c r="B58" s="45" t="s">
        <v>566</v>
      </c>
      <c r="C58" s="143" t="s">
        <v>571</v>
      </c>
      <c r="D58" s="12" t="b">
        <v>0</v>
      </c>
      <c r="E58" s="143" t="s">
        <v>723</v>
      </c>
      <c r="F58" s="45"/>
      <c r="G58" s="45"/>
      <c r="H58" s="12"/>
      <c r="I58" s="12"/>
      <c r="J58" s="142"/>
      <c r="K58" s="142"/>
      <c r="L58" s="142"/>
      <c r="M58" s="142"/>
      <c r="N58" s="142"/>
      <c r="O58" s="142"/>
      <c r="P58" s="142"/>
      <c r="Q58" s="142"/>
    </row>
    <row r="59" spans="1:17">
      <c r="A59" s="12">
        <v>46</v>
      </c>
      <c r="B59" s="45" t="s">
        <v>566</v>
      </c>
      <c r="C59" s="143" t="s">
        <v>572</v>
      </c>
      <c r="D59" s="12" t="b">
        <v>0</v>
      </c>
      <c r="E59" s="143" t="s">
        <v>724</v>
      </c>
      <c r="F59" s="45"/>
      <c r="G59" s="45"/>
      <c r="H59" s="12"/>
      <c r="I59" s="12"/>
      <c r="J59" s="142"/>
      <c r="K59" s="142"/>
      <c r="L59" s="142"/>
      <c r="M59" s="142"/>
      <c r="N59" s="142"/>
      <c r="O59" s="142"/>
      <c r="P59" s="142"/>
      <c r="Q59" s="142"/>
    </row>
    <row r="60" spans="1:17">
      <c r="A60" s="12">
        <v>47</v>
      </c>
      <c r="B60" s="45" t="s">
        <v>566</v>
      </c>
      <c r="C60" s="143" t="s">
        <v>573</v>
      </c>
      <c r="D60" s="12" t="b">
        <v>0</v>
      </c>
      <c r="E60" s="143" t="s">
        <v>725</v>
      </c>
      <c r="F60" s="45"/>
      <c r="G60" s="45"/>
      <c r="H60" s="12"/>
      <c r="I60" s="12"/>
      <c r="J60" s="142"/>
      <c r="K60" s="142"/>
      <c r="L60" s="142"/>
      <c r="M60" s="142"/>
      <c r="N60" s="142"/>
      <c r="O60" s="142"/>
      <c r="P60" s="142"/>
      <c r="Q60" s="142"/>
    </row>
    <row r="61" spans="1:17">
      <c r="A61" s="12">
        <v>48</v>
      </c>
      <c r="B61" s="45" t="s">
        <v>566</v>
      </c>
      <c r="C61" s="143" t="s">
        <v>574</v>
      </c>
      <c r="D61" s="12" t="b">
        <v>0</v>
      </c>
      <c r="E61" s="143" t="s">
        <v>726</v>
      </c>
      <c r="F61" s="45"/>
      <c r="G61" s="45"/>
      <c r="H61" s="12"/>
      <c r="I61" s="12"/>
      <c r="J61" s="142"/>
      <c r="K61" s="142"/>
      <c r="L61" s="142"/>
      <c r="M61" s="142"/>
      <c r="N61" s="142"/>
      <c r="O61" s="142"/>
      <c r="P61" s="142"/>
      <c r="Q61" s="142"/>
    </row>
    <row r="62" spans="1:17">
      <c r="A62" s="12">
        <v>49</v>
      </c>
      <c r="B62" s="45" t="s">
        <v>566</v>
      </c>
      <c r="C62" s="143" t="s">
        <v>575</v>
      </c>
      <c r="D62" s="12" t="b">
        <v>0</v>
      </c>
      <c r="E62" s="143" t="s">
        <v>727</v>
      </c>
      <c r="F62" s="45"/>
      <c r="G62" s="45"/>
      <c r="H62" s="12"/>
      <c r="I62" s="12"/>
      <c r="J62" s="142"/>
      <c r="K62" s="142"/>
      <c r="L62" s="142"/>
      <c r="M62" s="142"/>
      <c r="N62" s="142"/>
      <c r="O62" s="142"/>
      <c r="P62" s="142"/>
      <c r="Q62" s="142"/>
    </row>
    <row r="63" spans="1:17">
      <c r="A63" s="12">
        <v>50</v>
      </c>
      <c r="B63" s="45" t="s">
        <v>566</v>
      </c>
      <c r="C63" s="143" t="s">
        <v>576</v>
      </c>
      <c r="D63" s="12" t="b">
        <v>0</v>
      </c>
      <c r="E63" s="143" t="s">
        <v>728</v>
      </c>
      <c r="F63" s="45"/>
      <c r="G63" s="45"/>
      <c r="H63" s="12"/>
      <c r="I63" s="12"/>
      <c r="J63" s="142"/>
      <c r="K63" s="142"/>
      <c r="L63" s="142"/>
      <c r="M63" s="142"/>
      <c r="N63" s="142"/>
      <c r="O63" s="142"/>
      <c r="P63" s="142"/>
      <c r="Q63" s="142"/>
    </row>
    <row r="64" spans="1:17">
      <c r="A64" s="12">
        <v>51</v>
      </c>
      <c r="B64" s="45" t="s">
        <v>470</v>
      </c>
      <c r="C64" s="143" t="s">
        <v>577</v>
      </c>
      <c r="D64" s="12" t="b">
        <v>0</v>
      </c>
      <c r="E64" s="143" t="s">
        <v>731</v>
      </c>
      <c r="F64" s="45"/>
      <c r="G64" s="45"/>
      <c r="H64" s="12"/>
      <c r="I64" s="12"/>
      <c r="J64" s="142"/>
      <c r="K64" s="142"/>
      <c r="L64" s="142"/>
      <c r="M64" s="142"/>
      <c r="N64" s="142"/>
      <c r="O64" s="142"/>
      <c r="P64" s="142"/>
      <c r="Q64" s="142"/>
    </row>
    <row r="65" spans="1:17">
      <c r="A65" s="12">
        <v>52</v>
      </c>
      <c r="B65" s="45" t="s">
        <v>470</v>
      </c>
      <c r="C65" s="143" t="s">
        <v>578</v>
      </c>
      <c r="D65" s="12" t="b">
        <v>0</v>
      </c>
      <c r="E65" s="143" t="s">
        <v>732</v>
      </c>
      <c r="F65" s="45"/>
      <c r="G65" s="45"/>
      <c r="H65" s="12"/>
      <c r="I65" s="12"/>
      <c r="J65" s="142"/>
      <c r="K65" s="142"/>
      <c r="L65" s="142"/>
      <c r="M65" s="142"/>
      <c r="N65" s="142"/>
      <c r="O65" s="142"/>
      <c r="P65" s="142"/>
      <c r="Q65" s="142"/>
    </row>
    <row r="66" spans="1:17">
      <c r="A66" s="12">
        <v>53</v>
      </c>
      <c r="B66" s="45" t="s">
        <v>470</v>
      </c>
      <c r="C66" s="143" t="s">
        <v>579</v>
      </c>
      <c r="D66" s="12" t="b">
        <v>1</v>
      </c>
      <c r="E66" s="143" t="s">
        <v>732</v>
      </c>
      <c r="F66" s="45"/>
      <c r="G66" s="45"/>
      <c r="H66" s="12"/>
      <c r="I66" s="12"/>
      <c r="J66" s="142"/>
      <c r="K66" s="142"/>
      <c r="L66" s="142"/>
      <c r="M66" s="142"/>
      <c r="N66" s="142"/>
      <c r="O66" s="142"/>
      <c r="P66" s="142"/>
      <c r="Q66" s="142"/>
    </row>
    <row r="67" spans="1:17">
      <c r="A67" s="12">
        <v>54</v>
      </c>
      <c r="B67" s="45" t="s">
        <v>470</v>
      </c>
      <c r="C67" s="143" t="s">
        <v>787</v>
      </c>
      <c r="D67" s="12" t="b">
        <v>0</v>
      </c>
      <c r="E67" s="143" t="s">
        <v>733</v>
      </c>
      <c r="F67" s="45"/>
      <c r="G67" s="45"/>
      <c r="H67" s="12"/>
      <c r="I67" s="12"/>
      <c r="J67" s="142"/>
      <c r="K67" s="142"/>
      <c r="L67" s="142"/>
      <c r="M67" s="142"/>
      <c r="N67" s="142"/>
      <c r="O67" s="142"/>
      <c r="P67" s="142"/>
      <c r="Q67" s="142"/>
    </row>
    <row r="68" spans="1:17">
      <c r="A68" s="12">
        <v>55</v>
      </c>
      <c r="B68" s="45" t="s">
        <v>471</v>
      </c>
      <c r="C68" s="143" t="s">
        <v>580</v>
      </c>
      <c r="D68" s="12" t="b">
        <v>0</v>
      </c>
      <c r="E68" s="143" t="s">
        <v>811</v>
      </c>
      <c r="F68" s="45"/>
      <c r="G68" s="45"/>
      <c r="H68" s="12"/>
      <c r="I68" s="12"/>
      <c r="J68" s="142"/>
      <c r="K68" s="142"/>
      <c r="L68" s="142"/>
      <c r="M68" s="142"/>
      <c r="N68" s="142"/>
      <c r="O68" s="142"/>
      <c r="P68" s="142"/>
      <c r="Q68" s="142"/>
    </row>
    <row r="69" spans="1:17">
      <c r="A69" s="12">
        <v>56</v>
      </c>
      <c r="B69" s="45" t="s">
        <v>471</v>
      </c>
      <c r="C69" s="143" t="s">
        <v>581</v>
      </c>
      <c r="D69" s="12" t="b">
        <v>0</v>
      </c>
      <c r="E69" s="143" t="s">
        <v>812</v>
      </c>
      <c r="F69" s="45"/>
      <c r="G69" s="45"/>
      <c r="H69" s="12"/>
      <c r="I69" s="12"/>
      <c r="J69" s="142"/>
      <c r="K69" s="142"/>
      <c r="L69" s="142"/>
      <c r="M69" s="142"/>
      <c r="N69" s="142"/>
      <c r="O69" s="142"/>
      <c r="P69" s="142"/>
      <c r="Q69" s="142"/>
    </row>
    <row r="70" spans="1:17">
      <c r="A70" s="12">
        <v>57</v>
      </c>
      <c r="B70" s="45" t="s">
        <v>471</v>
      </c>
      <c r="C70" s="143" t="s">
        <v>582</v>
      </c>
      <c r="D70" s="12" t="b">
        <v>1</v>
      </c>
      <c r="E70" s="143" t="s">
        <v>734</v>
      </c>
      <c r="F70" s="45"/>
      <c r="G70" s="45"/>
      <c r="H70" s="12"/>
      <c r="I70" s="12"/>
      <c r="J70" s="142"/>
      <c r="K70" s="142"/>
      <c r="L70" s="142"/>
      <c r="M70" s="142"/>
      <c r="N70" s="142"/>
      <c r="O70" s="142"/>
      <c r="P70" s="142"/>
      <c r="Q70" s="142"/>
    </row>
    <row r="71" spans="1:17">
      <c r="A71" s="12">
        <v>58</v>
      </c>
      <c r="B71" s="45" t="s">
        <v>471</v>
      </c>
      <c r="C71" s="143" t="s">
        <v>788</v>
      </c>
      <c r="D71" s="12" t="b">
        <v>0</v>
      </c>
      <c r="E71" s="143" t="s">
        <v>735</v>
      </c>
      <c r="F71" s="45"/>
      <c r="G71" s="45"/>
      <c r="H71" s="12"/>
      <c r="I71" s="12"/>
      <c r="J71" s="142"/>
      <c r="K71" s="142"/>
      <c r="L71" s="142"/>
      <c r="M71" s="142"/>
      <c r="N71" s="142"/>
      <c r="O71" s="142"/>
      <c r="P71" s="142"/>
      <c r="Q71" s="142"/>
    </row>
    <row r="72" spans="1:17">
      <c r="A72" s="12">
        <v>59</v>
      </c>
      <c r="B72" s="45" t="s">
        <v>472</v>
      </c>
      <c r="C72" s="143" t="s">
        <v>583</v>
      </c>
      <c r="D72" s="12" t="b">
        <v>1</v>
      </c>
      <c r="E72" s="143" t="s">
        <v>736</v>
      </c>
      <c r="F72" s="45"/>
      <c r="G72" s="45"/>
      <c r="H72" s="12"/>
      <c r="I72" s="12"/>
      <c r="J72" s="142"/>
      <c r="K72" s="142"/>
      <c r="L72" s="142"/>
      <c r="M72" s="142"/>
      <c r="N72" s="142"/>
      <c r="O72" s="142"/>
      <c r="P72" s="142"/>
      <c r="Q72" s="142"/>
    </row>
    <row r="73" spans="1:17">
      <c r="A73" s="12">
        <v>60</v>
      </c>
      <c r="B73" s="45" t="s">
        <v>472</v>
      </c>
      <c r="C73" s="143" t="s">
        <v>584</v>
      </c>
      <c r="D73" s="12" t="b">
        <v>0</v>
      </c>
      <c r="E73" s="143" t="s">
        <v>737</v>
      </c>
      <c r="F73" s="45"/>
      <c r="G73" s="45"/>
      <c r="H73" s="12"/>
      <c r="I73" s="12"/>
      <c r="J73" s="142"/>
      <c r="K73" s="142"/>
      <c r="L73" s="142"/>
      <c r="M73" s="142"/>
      <c r="N73" s="142"/>
      <c r="O73" s="142"/>
      <c r="P73" s="142"/>
      <c r="Q73" s="142"/>
    </row>
    <row r="74" spans="1:17">
      <c r="A74" s="12">
        <v>61</v>
      </c>
      <c r="B74" s="45" t="s">
        <v>472</v>
      </c>
      <c r="C74" s="143" t="s">
        <v>585</v>
      </c>
      <c r="D74" s="12" t="b">
        <v>0</v>
      </c>
      <c r="E74" s="143" t="s">
        <v>738</v>
      </c>
      <c r="F74" s="45"/>
      <c r="G74" s="45"/>
      <c r="H74" s="12"/>
      <c r="I74" s="12"/>
      <c r="J74" s="142"/>
      <c r="K74" s="142"/>
      <c r="L74" s="142"/>
      <c r="M74" s="142"/>
      <c r="N74" s="142"/>
      <c r="O74" s="142"/>
      <c r="P74" s="142"/>
      <c r="Q74" s="142"/>
    </row>
    <row r="75" spans="1:17">
      <c r="A75" s="12">
        <v>62</v>
      </c>
      <c r="B75" s="45" t="s">
        <v>472</v>
      </c>
      <c r="C75" s="143" t="s">
        <v>784</v>
      </c>
      <c r="D75" s="12" t="b">
        <v>0</v>
      </c>
      <c r="E75" s="143" t="s">
        <v>738</v>
      </c>
      <c r="F75" s="45"/>
      <c r="G75" s="45"/>
      <c r="H75" s="12"/>
      <c r="I75" s="12"/>
      <c r="J75" s="142"/>
      <c r="K75" s="142"/>
      <c r="L75" s="142"/>
      <c r="M75" s="142"/>
      <c r="N75" s="142"/>
      <c r="O75" s="142"/>
      <c r="P75" s="142"/>
      <c r="Q75" s="142"/>
    </row>
    <row r="76" spans="1:17">
      <c r="A76" s="12">
        <v>63</v>
      </c>
      <c r="B76" s="45" t="s">
        <v>473</v>
      </c>
      <c r="C76" s="143" t="s">
        <v>586</v>
      </c>
      <c r="D76" s="12" t="b">
        <v>0</v>
      </c>
      <c r="E76" s="143" t="s">
        <v>739</v>
      </c>
      <c r="F76" s="45"/>
      <c r="G76" s="45"/>
      <c r="H76" s="12"/>
      <c r="I76" s="12"/>
      <c r="J76" s="142"/>
      <c r="K76" s="142"/>
      <c r="L76" s="142"/>
      <c r="M76" s="142"/>
      <c r="N76" s="142"/>
      <c r="O76" s="142"/>
      <c r="P76" s="142"/>
      <c r="Q76" s="142"/>
    </row>
    <row r="77" spans="1:17">
      <c r="A77" s="12">
        <v>64</v>
      </c>
      <c r="B77" s="45" t="s">
        <v>473</v>
      </c>
      <c r="C77" s="143" t="s">
        <v>587</v>
      </c>
      <c r="D77" s="12" t="b">
        <v>0</v>
      </c>
      <c r="E77" s="143" t="s">
        <v>740</v>
      </c>
      <c r="F77" s="45"/>
      <c r="G77" s="45"/>
      <c r="H77" s="12"/>
      <c r="I77" s="12"/>
      <c r="J77" s="142"/>
      <c r="K77" s="142"/>
      <c r="L77" s="142"/>
      <c r="M77" s="142"/>
      <c r="N77" s="142"/>
      <c r="O77" s="142"/>
      <c r="P77" s="142"/>
      <c r="Q77" s="142"/>
    </row>
    <row r="78" spans="1:17">
      <c r="A78" s="12">
        <v>65</v>
      </c>
      <c r="B78" s="45" t="s">
        <v>473</v>
      </c>
      <c r="C78" s="143" t="s">
        <v>588</v>
      </c>
      <c r="D78" s="12" t="b">
        <v>1</v>
      </c>
      <c r="E78" s="143" t="s">
        <v>741</v>
      </c>
      <c r="F78" s="45"/>
      <c r="G78" s="45"/>
      <c r="H78" s="12"/>
      <c r="I78" s="12"/>
      <c r="J78" s="142"/>
      <c r="K78" s="142"/>
      <c r="L78" s="142"/>
      <c r="M78" s="142"/>
      <c r="N78" s="142"/>
      <c r="O78" s="142"/>
      <c r="P78" s="142"/>
      <c r="Q78" s="142"/>
    </row>
    <row r="79" spans="1:17">
      <c r="A79" s="12">
        <v>66</v>
      </c>
      <c r="B79" s="45" t="s">
        <v>473</v>
      </c>
      <c r="C79" s="143" t="s">
        <v>785</v>
      </c>
      <c r="D79" s="12" t="b">
        <v>0</v>
      </c>
      <c r="E79" s="143" t="s">
        <v>742</v>
      </c>
      <c r="F79" s="45"/>
      <c r="G79" s="45"/>
      <c r="H79" s="12"/>
      <c r="I79" s="12"/>
      <c r="J79" s="142"/>
      <c r="K79" s="142"/>
      <c r="L79" s="142"/>
      <c r="M79" s="142"/>
      <c r="N79" s="142"/>
      <c r="O79" s="142"/>
      <c r="P79" s="142"/>
      <c r="Q79" s="142"/>
    </row>
    <row r="80" spans="1:17">
      <c r="A80" s="12">
        <v>67</v>
      </c>
      <c r="B80" s="45" t="s">
        <v>474</v>
      </c>
      <c r="C80" s="143" t="s">
        <v>589</v>
      </c>
      <c r="D80" s="12" t="b">
        <v>1</v>
      </c>
      <c r="E80" s="143" t="s">
        <v>743</v>
      </c>
      <c r="F80" s="45"/>
      <c r="G80" s="45"/>
      <c r="H80" s="12"/>
      <c r="I80" s="12"/>
      <c r="J80" s="142"/>
      <c r="K80" s="142"/>
      <c r="L80" s="142"/>
      <c r="M80" s="142"/>
      <c r="N80" s="142"/>
      <c r="O80" s="142"/>
      <c r="P80" s="142"/>
      <c r="Q80" s="142"/>
    </row>
    <row r="81" spans="1:17">
      <c r="A81" s="12">
        <v>68</v>
      </c>
      <c r="B81" s="45" t="s">
        <v>474</v>
      </c>
      <c r="C81" s="143" t="s">
        <v>590</v>
      </c>
      <c r="D81" s="12" t="b">
        <v>0</v>
      </c>
      <c r="E81" s="143" t="s">
        <v>744</v>
      </c>
      <c r="F81" s="45"/>
      <c r="G81" s="45"/>
      <c r="H81" s="12"/>
      <c r="I81" s="12"/>
      <c r="J81" s="142"/>
      <c r="K81" s="142"/>
      <c r="L81" s="142"/>
      <c r="M81" s="142"/>
      <c r="N81" s="142"/>
      <c r="O81" s="142"/>
      <c r="P81" s="142"/>
      <c r="Q81" s="142"/>
    </row>
    <row r="82" spans="1:17">
      <c r="A82" s="12">
        <v>69</v>
      </c>
      <c r="B82" s="45" t="s">
        <v>474</v>
      </c>
      <c r="C82" s="143" t="s">
        <v>591</v>
      </c>
      <c r="D82" s="12" t="b">
        <v>0</v>
      </c>
      <c r="E82" s="143" t="s">
        <v>745</v>
      </c>
      <c r="F82" s="45"/>
      <c r="G82" s="45"/>
      <c r="H82" s="12"/>
      <c r="I82" s="12"/>
      <c r="J82" s="142"/>
      <c r="K82" s="142"/>
      <c r="L82" s="142"/>
      <c r="M82" s="142"/>
      <c r="N82" s="142"/>
      <c r="O82" s="142"/>
      <c r="P82" s="142"/>
      <c r="Q82" s="142"/>
    </row>
    <row r="83" spans="1:17">
      <c r="A83" s="12">
        <v>70</v>
      </c>
      <c r="B83" s="45" t="s">
        <v>474</v>
      </c>
      <c r="C83" s="143" t="s">
        <v>786</v>
      </c>
      <c r="D83" s="12" t="b">
        <v>0</v>
      </c>
      <c r="E83" s="143" t="s">
        <v>746</v>
      </c>
      <c r="F83" s="45"/>
      <c r="G83" s="45"/>
      <c r="H83" s="12"/>
      <c r="I83" s="12"/>
      <c r="J83" s="142"/>
      <c r="K83" s="142"/>
      <c r="L83" s="142"/>
      <c r="M83" s="142"/>
      <c r="N83" s="142"/>
      <c r="O83" s="142"/>
      <c r="P83" s="142"/>
      <c r="Q83" s="142"/>
    </row>
    <row r="84" spans="1:17">
      <c r="A84" s="12">
        <v>71</v>
      </c>
      <c r="B84" s="45" t="s">
        <v>475</v>
      </c>
      <c r="C84" s="143" t="s">
        <v>592</v>
      </c>
      <c r="D84" s="12" t="b">
        <v>0</v>
      </c>
      <c r="E84" s="143" t="s">
        <v>747</v>
      </c>
      <c r="F84" s="45"/>
      <c r="G84" s="45"/>
      <c r="H84" s="12"/>
      <c r="I84" s="12"/>
      <c r="J84" s="142"/>
      <c r="K84" s="142"/>
      <c r="L84" s="142"/>
      <c r="M84" s="142"/>
      <c r="N84" s="142"/>
      <c r="O84" s="142"/>
      <c r="P84" s="142"/>
      <c r="Q84" s="142"/>
    </row>
    <row r="85" spans="1:17">
      <c r="A85" s="12">
        <v>72</v>
      </c>
      <c r="B85" s="45" t="s">
        <v>475</v>
      </c>
      <c r="C85" s="143" t="s">
        <v>593</v>
      </c>
      <c r="D85" s="12" t="b">
        <v>0</v>
      </c>
      <c r="E85" s="143" t="s">
        <v>748</v>
      </c>
      <c r="F85" s="45"/>
      <c r="G85" s="45"/>
      <c r="H85" s="12"/>
      <c r="I85" s="12"/>
      <c r="J85" s="142"/>
      <c r="K85" s="142"/>
      <c r="L85" s="142"/>
      <c r="M85" s="142"/>
      <c r="N85" s="142"/>
      <c r="O85" s="142"/>
      <c r="P85" s="142"/>
      <c r="Q85" s="142"/>
    </row>
    <row r="86" spans="1:17">
      <c r="A86" s="12">
        <v>73</v>
      </c>
      <c r="B86" s="45" t="s">
        <v>475</v>
      </c>
      <c r="C86" s="143" t="s">
        <v>594</v>
      </c>
      <c r="D86" s="12" t="b">
        <v>1</v>
      </c>
      <c r="E86" s="143" t="s">
        <v>749</v>
      </c>
      <c r="F86" s="45"/>
      <c r="G86" s="45"/>
      <c r="H86" s="12"/>
      <c r="I86" s="12"/>
      <c r="J86" s="142"/>
      <c r="K86" s="142"/>
      <c r="L86" s="142"/>
      <c r="M86" s="142"/>
      <c r="N86" s="142"/>
      <c r="O86" s="142"/>
      <c r="P86" s="142"/>
      <c r="Q86" s="142"/>
    </row>
    <row r="87" spans="1:17">
      <c r="A87" s="12">
        <v>74</v>
      </c>
      <c r="B87" s="45" t="s">
        <v>475</v>
      </c>
      <c r="C87" s="143" t="s">
        <v>789</v>
      </c>
      <c r="D87" s="12" t="b">
        <v>0</v>
      </c>
      <c r="E87" s="143" t="s">
        <v>749</v>
      </c>
      <c r="F87" s="45"/>
      <c r="G87" s="45"/>
      <c r="H87" s="12"/>
      <c r="I87" s="12"/>
      <c r="J87" s="142"/>
      <c r="K87" s="142"/>
      <c r="L87" s="142"/>
      <c r="M87" s="142"/>
      <c r="N87" s="142"/>
      <c r="O87" s="142"/>
      <c r="P87" s="142"/>
      <c r="Q87" s="142"/>
    </row>
    <row r="88" spans="1:17">
      <c r="A88" s="12">
        <v>75</v>
      </c>
      <c r="B88" s="45" t="s">
        <v>476</v>
      </c>
      <c r="C88" s="143" t="s">
        <v>595</v>
      </c>
      <c r="D88" s="12" t="b">
        <v>1</v>
      </c>
      <c r="E88" s="143" t="s">
        <v>750</v>
      </c>
      <c r="F88" s="45"/>
      <c r="G88" s="45"/>
      <c r="H88" s="12"/>
      <c r="I88" s="12"/>
      <c r="J88" s="142"/>
      <c r="K88" s="142"/>
      <c r="L88" s="142"/>
      <c r="M88" s="142"/>
      <c r="N88" s="142"/>
      <c r="O88" s="142"/>
      <c r="P88" s="142"/>
      <c r="Q88" s="142"/>
    </row>
    <row r="89" spans="1:17">
      <c r="A89" s="12">
        <v>76</v>
      </c>
      <c r="B89" s="45" t="s">
        <v>476</v>
      </c>
      <c r="C89" s="143" t="s">
        <v>596</v>
      </c>
      <c r="D89" s="12" t="b">
        <v>0</v>
      </c>
      <c r="E89" s="143" t="s">
        <v>751</v>
      </c>
      <c r="F89" s="45"/>
      <c r="G89" s="45"/>
      <c r="H89" s="12"/>
      <c r="I89" s="12"/>
      <c r="J89" s="142"/>
      <c r="K89" s="142"/>
      <c r="L89" s="142"/>
      <c r="M89" s="142"/>
      <c r="N89" s="142"/>
      <c r="O89" s="142"/>
      <c r="P89" s="142"/>
      <c r="Q89" s="142"/>
    </row>
    <row r="90" spans="1:17">
      <c r="A90" s="12">
        <v>77</v>
      </c>
      <c r="B90" s="45" t="s">
        <v>476</v>
      </c>
      <c r="C90" s="143" t="s">
        <v>597</v>
      </c>
      <c r="D90" s="12" t="b">
        <v>0</v>
      </c>
      <c r="E90" s="143" t="s">
        <v>752</v>
      </c>
      <c r="F90" s="45"/>
      <c r="G90" s="45"/>
      <c r="H90" s="12"/>
      <c r="I90" s="12"/>
      <c r="J90" s="142"/>
      <c r="K90" s="142"/>
      <c r="L90" s="142"/>
      <c r="M90" s="142"/>
      <c r="N90" s="142"/>
      <c r="O90" s="142"/>
      <c r="P90" s="142"/>
      <c r="Q90" s="142"/>
    </row>
    <row r="91" spans="1:17">
      <c r="A91" s="12">
        <v>78</v>
      </c>
      <c r="B91" s="45" t="s">
        <v>476</v>
      </c>
      <c r="C91" s="143" t="s">
        <v>790</v>
      </c>
      <c r="D91" s="12" t="b">
        <v>0</v>
      </c>
      <c r="E91" s="143" t="s">
        <v>753</v>
      </c>
      <c r="F91" s="45"/>
      <c r="G91" s="45"/>
      <c r="H91" s="12"/>
      <c r="I91" s="12"/>
      <c r="J91" s="142"/>
      <c r="K91" s="142"/>
      <c r="L91" s="142"/>
      <c r="M91" s="142"/>
      <c r="N91" s="142"/>
      <c r="O91" s="142"/>
      <c r="P91" s="142"/>
      <c r="Q91" s="142"/>
    </row>
    <row r="92" spans="1:17">
      <c r="A92" s="12">
        <v>79</v>
      </c>
      <c r="B92" s="45" t="s">
        <v>477</v>
      </c>
      <c r="C92" s="143" t="s">
        <v>598</v>
      </c>
      <c r="D92" s="12" t="b">
        <v>0</v>
      </c>
      <c r="E92" s="143" t="s">
        <v>754</v>
      </c>
      <c r="F92" s="45"/>
      <c r="G92" s="45"/>
      <c r="H92" s="12"/>
      <c r="I92" s="12"/>
      <c r="J92" s="142"/>
      <c r="K92" s="142"/>
      <c r="L92" s="142"/>
      <c r="M92" s="142"/>
      <c r="N92" s="142"/>
      <c r="O92" s="142"/>
      <c r="P92" s="142"/>
      <c r="Q92" s="142"/>
    </row>
    <row r="93" spans="1:17">
      <c r="A93" s="12">
        <v>80</v>
      </c>
      <c r="B93" s="45" t="s">
        <v>477</v>
      </c>
      <c r="C93" s="143" t="s">
        <v>599</v>
      </c>
      <c r="D93" s="12" t="b">
        <v>0</v>
      </c>
      <c r="E93" s="143" t="s">
        <v>754</v>
      </c>
      <c r="F93" s="45"/>
      <c r="G93" s="45"/>
      <c r="H93" s="12"/>
      <c r="I93" s="12"/>
      <c r="J93" s="142"/>
      <c r="K93" s="142"/>
      <c r="L93" s="142"/>
      <c r="M93" s="142"/>
      <c r="N93" s="142"/>
      <c r="O93" s="142"/>
      <c r="P93" s="142"/>
      <c r="Q93" s="142"/>
    </row>
    <row r="94" spans="1:17">
      <c r="A94" s="12">
        <v>81</v>
      </c>
      <c r="B94" s="45" t="s">
        <v>477</v>
      </c>
      <c r="C94" s="143" t="s">
        <v>600</v>
      </c>
      <c r="D94" s="12" t="b">
        <v>0</v>
      </c>
      <c r="E94" s="143" t="s">
        <v>755</v>
      </c>
      <c r="F94" s="45"/>
      <c r="G94" s="45"/>
      <c r="H94" s="12"/>
      <c r="I94" s="12"/>
      <c r="J94" s="142"/>
      <c r="K94" s="142"/>
      <c r="L94" s="142"/>
      <c r="M94" s="142"/>
      <c r="N94" s="142"/>
      <c r="O94" s="142"/>
      <c r="P94" s="142"/>
      <c r="Q94" s="142"/>
    </row>
    <row r="95" spans="1:17">
      <c r="A95" s="12">
        <v>82</v>
      </c>
      <c r="B95" s="45" t="s">
        <v>477</v>
      </c>
      <c r="C95" s="143" t="s">
        <v>791</v>
      </c>
      <c r="D95" s="12" t="b">
        <v>1</v>
      </c>
      <c r="E95" s="143" t="s">
        <v>779</v>
      </c>
      <c r="F95" s="45"/>
      <c r="G95" s="45"/>
      <c r="H95" s="12"/>
      <c r="I95" s="12"/>
      <c r="J95" s="142"/>
      <c r="K95" s="142"/>
      <c r="L95" s="142"/>
      <c r="M95" s="142"/>
      <c r="N95" s="142"/>
      <c r="O95" s="142"/>
      <c r="P95" s="142"/>
      <c r="Q95" s="142"/>
    </row>
    <row r="96" spans="1:17">
      <c r="A96" s="12">
        <v>83</v>
      </c>
      <c r="B96" s="45" t="s">
        <v>478</v>
      </c>
      <c r="C96" s="143" t="s">
        <v>601</v>
      </c>
      <c r="D96" s="12" t="b">
        <v>0</v>
      </c>
      <c r="E96" s="143" t="s">
        <v>756</v>
      </c>
      <c r="F96" s="45"/>
      <c r="G96" s="45"/>
      <c r="H96" s="12"/>
      <c r="I96" s="12"/>
      <c r="J96" s="142"/>
      <c r="K96" s="142"/>
      <c r="L96" s="142"/>
      <c r="M96" s="142"/>
      <c r="N96" s="142"/>
      <c r="O96" s="142"/>
      <c r="P96" s="142"/>
      <c r="Q96" s="142"/>
    </row>
    <row r="97" spans="1:17">
      <c r="A97" s="12">
        <v>84</v>
      </c>
      <c r="B97" s="45" t="s">
        <v>478</v>
      </c>
      <c r="C97" s="143" t="s">
        <v>602</v>
      </c>
      <c r="D97" s="12" t="b">
        <v>0</v>
      </c>
      <c r="E97" s="143" t="s">
        <v>757</v>
      </c>
      <c r="F97" s="45"/>
      <c r="G97" s="45"/>
      <c r="H97" s="12"/>
      <c r="I97" s="12"/>
      <c r="J97" s="142"/>
      <c r="K97" s="142"/>
      <c r="L97" s="142"/>
      <c r="M97" s="142"/>
      <c r="N97" s="142"/>
      <c r="O97" s="142"/>
      <c r="P97" s="142"/>
      <c r="Q97" s="142"/>
    </row>
    <row r="98" spans="1:17">
      <c r="A98" s="12">
        <v>85</v>
      </c>
      <c r="B98" s="45" t="s">
        <v>478</v>
      </c>
      <c r="C98" s="143" t="s">
        <v>603</v>
      </c>
      <c r="D98" s="12" t="b">
        <v>0</v>
      </c>
      <c r="E98" s="143" t="s">
        <v>757</v>
      </c>
      <c r="F98" s="45"/>
      <c r="G98" s="45"/>
      <c r="H98" s="12"/>
      <c r="I98" s="12"/>
      <c r="J98" s="12"/>
      <c r="K98" s="12"/>
      <c r="L98" s="12"/>
      <c r="M98" s="12"/>
      <c r="N98" s="12"/>
      <c r="O98" s="12"/>
      <c r="P98" s="12"/>
      <c r="Q98" s="142"/>
    </row>
    <row r="99" spans="1:17">
      <c r="A99" s="12">
        <v>86</v>
      </c>
      <c r="B99" s="45" t="s">
        <v>478</v>
      </c>
      <c r="C99" s="143" t="s">
        <v>604</v>
      </c>
      <c r="D99" s="12" t="b">
        <v>1</v>
      </c>
      <c r="E99" s="143" t="s">
        <v>758</v>
      </c>
      <c r="F99" s="45"/>
      <c r="G99" s="45"/>
      <c r="H99" s="12"/>
      <c r="I99" s="12"/>
      <c r="J99" s="12"/>
      <c r="K99" s="12"/>
      <c r="L99" s="12"/>
      <c r="M99" s="12"/>
      <c r="N99" s="12"/>
      <c r="O99" s="12"/>
      <c r="P99" s="12"/>
      <c r="Q99" s="142"/>
    </row>
    <row r="100" spans="1:17">
      <c r="A100" s="12">
        <v>87</v>
      </c>
      <c r="B100" s="45" t="s">
        <v>478</v>
      </c>
      <c r="C100" s="143" t="s">
        <v>605</v>
      </c>
      <c r="D100" s="12" t="b">
        <v>0</v>
      </c>
      <c r="E100" s="143" t="s">
        <v>778</v>
      </c>
      <c r="F100" s="45"/>
      <c r="G100" s="45"/>
      <c r="H100" s="12"/>
      <c r="I100" s="12"/>
      <c r="J100" s="12"/>
      <c r="K100" s="12"/>
      <c r="L100" s="12"/>
      <c r="M100" s="12"/>
      <c r="N100" s="12"/>
      <c r="O100" s="12"/>
      <c r="P100" s="12"/>
      <c r="Q100" s="142"/>
    </row>
    <row r="101" spans="1:17">
      <c r="A101" s="12">
        <v>88</v>
      </c>
      <c r="B101" s="45" t="s">
        <v>479</v>
      </c>
      <c r="C101" s="143" t="s">
        <v>606</v>
      </c>
      <c r="D101" s="12" t="b">
        <v>1</v>
      </c>
      <c r="E101" s="143" t="s">
        <v>759</v>
      </c>
      <c r="F101" s="45"/>
      <c r="G101" s="45"/>
      <c r="H101" s="12"/>
      <c r="I101" s="12"/>
      <c r="J101" s="12"/>
      <c r="K101" s="12"/>
      <c r="L101" s="12"/>
      <c r="M101" s="12"/>
      <c r="N101" s="12"/>
      <c r="O101" s="12"/>
      <c r="P101" s="12"/>
      <c r="Q101" s="142"/>
    </row>
    <row r="102" spans="1:17">
      <c r="A102" s="12">
        <v>89</v>
      </c>
      <c r="B102" s="45" t="s">
        <v>479</v>
      </c>
      <c r="C102" s="143" t="s">
        <v>607</v>
      </c>
      <c r="D102" s="12" t="b">
        <v>0</v>
      </c>
      <c r="E102" s="143" t="s">
        <v>760</v>
      </c>
      <c r="F102" s="45"/>
      <c r="G102" s="45"/>
      <c r="H102" s="12"/>
      <c r="I102" s="12"/>
      <c r="J102" s="12"/>
      <c r="K102" s="12"/>
      <c r="L102" s="12"/>
      <c r="M102" s="12"/>
      <c r="N102" s="12"/>
      <c r="O102" s="12"/>
      <c r="P102" s="12"/>
      <c r="Q102" s="142"/>
    </row>
    <row r="103" spans="1:17">
      <c r="A103" s="12">
        <v>90</v>
      </c>
      <c r="B103" s="45" t="s">
        <v>479</v>
      </c>
      <c r="C103" s="143" t="s">
        <v>608</v>
      </c>
      <c r="D103" s="12" t="b">
        <v>0</v>
      </c>
      <c r="E103" s="143" t="s">
        <v>761</v>
      </c>
      <c r="F103" s="45"/>
      <c r="G103" s="45"/>
      <c r="H103" s="12"/>
      <c r="I103" s="12"/>
      <c r="J103" s="12"/>
      <c r="K103" s="12"/>
      <c r="L103" s="12"/>
      <c r="M103" s="12"/>
      <c r="N103" s="12"/>
      <c r="O103" s="12"/>
      <c r="P103" s="12"/>
      <c r="Q103" s="142"/>
    </row>
    <row r="104" spans="1:17">
      <c r="A104" s="12">
        <v>91</v>
      </c>
      <c r="B104" s="45" t="s">
        <v>479</v>
      </c>
      <c r="C104" s="143" t="s">
        <v>792</v>
      </c>
      <c r="D104" s="12" t="b">
        <v>0</v>
      </c>
      <c r="E104" s="143" t="s">
        <v>761</v>
      </c>
      <c r="F104" s="45"/>
      <c r="G104" s="45"/>
      <c r="H104" s="12"/>
      <c r="I104" s="12"/>
      <c r="J104" s="12"/>
      <c r="K104" s="12"/>
      <c r="L104" s="12"/>
      <c r="M104" s="12"/>
      <c r="N104" s="12"/>
      <c r="O104" s="12"/>
      <c r="P104" s="12"/>
      <c r="Q104" s="142"/>
    </row>
    <row r="105" spans="1:17">
      <c r="A105" s="12">
        <v>92</v>
      </c>
      <c r="B105" s="45" t="s">
        <v>480</v>
      </c>
      <c r="C105" s="143" t="s">
        <v>609</v>
      </c>
      <c r="D105" s="12" t="b">
        <v>0</v>
      </c>
      <c r="E105" s="143" t="s">
        <v>762</v>
      </c>
      <c r="F105" s="45"/>
      <c r="G105" s="45"/>
      <c r="H105" s="12"/>
      <c r="I105" s="12"/>
      <c r="J105" s="12"/>
      <c r="K105" s="12"/>
      <c r="L105" s="12"/>
      <c r="M105" s="12"/>
      <c r="N105" s="12"/>
      <c r="O105" s="12"/>
      <c r="P105" s="12"/>
      <c r="Q105" s="142"/>
    </row>
    <row r="106" spans="1:17">
      <c r="A106" s="12">
        <v>93</v>
      </c>
      <c r="B106" s="45" t="s">
        <v>480</v>
      </c>
      <c r="C106" s="143" t="s">
        <v>610</v>
      </c>
      <c r="D106" s="12" t="b">
        <v>0</v>
      </c>
      <c r="E106" s="143" t="s">
        <v>763</v>
      </c>
      <c r="F106" s="45"/>
      <c r="G106" s="45"/>
      <c r="H106" s="12"/>
      <c r="I106" s="12"/>
      <c r="J106" s="12"/>
      <c r="K106" s="12"/>
      <c r="L106" s="12"/>
      <c r="M106" s="12"/>
      <c r="N106" s="12"/>
      <c r="O106" s="12"/>
      <c r="P106" s="12"/>
      <c r="Q106" s="142"/>
    </row>
    <row r="107" spans="1:17">
      <c r="A107" s="12">
        <v>94</v>
      </c>
      <c r="B107" s="45" t="s">
        <v>480</v>
      </c>
      <c r="C107" s="143" t="s">
        <v>611</v>
      </c>
      <c r="D107" s="12" t="b">
        <v>0</v>
      </c>
      <c r="E107" s="143" t="s">
        <v>764</v>
      </c>
      <c r="F107" s="45"/>
      <c r="G107" s="45"/>
      <c r="H107" s="12"/>
      <c r="I107" s="12"/>
      <c r="J107" s="12"/>
      <c r="K107" s="12"/>
      <c r="L107" s="12"/>
      <c r="M107" s="12"/>
      <c r="N107" s="12"/>
      <c r="O107" s="12"/>
      <c r="P107" s="12"/>
      <c r="Q107" s="142"/>
    </row>
    <row r="108" spans="1:17">
      <c r="A108" s="12">
        <v>95</v>
      </c>
      <c r="B108" s="45" t="s">
        <v>480</v>
      </c>
      <c r="C108" s="143" t="s">
        <v>612</v>
      </c>
      <c r="D108" s="12" t="b">
        <v>1</v>
      </c>
      <c r="E108" s="143" t="s">
        <v>765</v>
      </c>
      <c r="F108" s="45"/>
      <c r="G108" s="45"/>
      <c r="H108" s="12"/>
      <c r="I108" s="12"/>
      <c r="J108" s="12"/>
      <c r="K108" s="12"/>
      <c r="L108" s="12"/>
      <c r="M108" s="12"/>
      <c r="N108" s="12"/>
      <c r="O108" s="12"/>
      <c r="P108" s="12"/>
      <c r="Q108" s="142"/>
    </row>
    <row r="109" spans="1:17">
      <c r="A109" s="12">
        <v>96</v>
      </c>
      <c r="B109" s="45" t="s">
        <v>613</v>
      </c>
      <c r="C109" s="143" t="s">
        <v>614</v>
      </c>
      <c r="D109" s="12" t="b">
        <v>0</v>
      </c>
      <c r="E109" s="143" t="s">
        <v>766</v>
      </c>
      <c r="F109" s="45"/>
      <c r="G109" s="45"/>
      <c r="H109" s="12"/>
      <c r="I109" s="12"/>
      <c r="J109" s="12"/>
      <c r="K109" s="12"/>
      <c r="L109" s="12"/>
      <c r="M109" s="12"/>
      <c r="N109" s="12"/>
      <c r="O109" s="12"/>
      <c r="P109" s="12"/>
      <c r="Q109" s="142"/>
    </row>
    <row r="110" spans="1:17">
      <c r="A110" s="12">
        <v>97</v>
      </c>
      <c r="B110" s="143" t="s">
        <v>613</v>
      </c>
      <c r="C110" s="143" t="s">
        <v>615</v>
      </c>
      <c r="D110" s="12" t="b">
        <v>0</v>
      </c>
      <c r="E110" s="143" t="s">
        <v>767</v>
      </c>
      <c r="F110" s="45"/>
      <c r="G110" s="45"/>
      <c r="H110" s="12"/>
      <c r="I110" s="12"/>
      <c r="J110" s="12"/>
      <c r="K110" s="12"/>
      <c r="L110" s="12"/>
      <c r="M110" s="12"/>
      <c r="N110" s="12"/>
      <c r="O110" s="12"/>
      <c r="P110" s="12"/>
      <c r="Q110" s="142"/>
    </row>
    <row r="111" spans="1:17">
      <c r="A111" s="12">
        <v>98</v>
      </c>
      <c r="B111" s="45" t="s">
        <v>613</v>
      </c>
      <c r="C111" s="143" t="s">
        <v>616</v>
      </c>
      <c r="D111" s="12" t="b">
        <v>0</v>
      </c>
      <c r="E111" s="143" t="s">
        <v>768</v>
      </c>
      <c r="F111" s="45"/>
      <c r="G111" s="45"/>
      <c r="H111" s="12"/>
      <c r="I111" s="12"/>
      <c r="J111" s="12"/>
      <c r="K111" s="12"/>
      <c r="L111" s="12"/>
      <c r="M111" s="12"/>
      <c r="N111" s="12"/>
      <c r="O111" s="12"/>
      <c r="P111" s="12"/>
      <c r="Q111" s="142"/>
    </row>
    <row r="112" spans="1:17">
      <c r="A112" s="12">
        <v>99</v>
      </c>
      <c r="B112" s="45" t="s">
        <v>613</v>
      </c>
      <c r="C112" s="143" t="s">
        <v>793</v>
      </c>
      <c r="D112" s="12" t="b">
        <v>1</v>
      </c>
      <c r="E112" s="143" t="s">
        <v>768</v>
      </c>
      <c r="F112" s="45"/>
      <c r="G112" s="45"/>
      <c r="H112" s="12"/>
      <c r="I112" s="12"/>
      <c r="J112" s="12"/>
      <c r="K112" s="12"/>
      <c r="L112" s="12"/>
      <c r="M112" s="12"/>
      <c r="N112" s="12"/>
      <c r="O112" s="12"/>
      <c r="P112" s="12"/>
      <c r="Q112" s="142"/>
    </row>
    <row r="113" spans="1:17">
      <c r="A113" s="12">
        <v>100</v>
      </c>
      <c r="B113" s="45" t="s">
        <v>481</v>
      </c>
      <c r="C113" s="143" t="s">
        <v>617</v>
      </c>
      <c r="D113" s="12" t="b">
        <v>0</v>
      </c>
      <c r="E113" s="143" t="s">
        <v>769</v>
      </c>
      <c r="F113" s="45"/>
      <c r="G113" s="45"/>
      <c r="H113" s="12"/>
      <c r="I113" s="12"/>
      <c r="J113" s="12"/>
      <c r="K113" s="12"/>
      <c r="L113" s="12"/>
      <c r="M113" s="12"/>
      <c r="N113" s="12"/>
      <c r="O113" s="12"/>
      <c r="P113" s="12"/>
      <c r="Q113" s="142"/>
    </row>
    <row r="114" spans="1:17">
      <c r="A114" s="12">
        <v>101</v>
      </c>
      <c r="B114" s="45" t="s">
        <v>481</v>
      </c>
      <c r="C114" s="143" t="s">
        <v>618</v>
      </c>
      <c r="D114" s="12" t="b">
        <v>0</v>
      </c>
      <c r="E114" s="143" t="s">
        <v>770</v>
      </c>
      <c r="F114" s="45"/>
      <c r="G114" s="45"/>
      <c r="H114" s="12"/>
      <c r="I114" s="12"/>
      <c r="J114" s="12"/>
      <c r="K114" s="12"/>
      <c r="L114" s="12"/>
      <c r="M114" s="12"/>
      <c r="N114" s="12"/>
      <c r="O114" s="12"/>
      <c r="P114" s="12"/>
      <c r="Q114" s="142"/>
    </row>
    <row r="115" spans="1:17">
      <c r="A115" s="12">
        <v>102</v>
      </c>
      <c r="B115" s="45" t="s">
        <v>481</v>
      </c>
      <c r="C115" s="143" t="s">
        <v>619</v>
      </c>
      <c r="D115" s="12" t="b">
        <v>0</v>
      </c>
      <c r="E115" s="143" t="s">
        <v>771</v>
      </c>
      <c r="F115" s="45"/>
      <c r="G115" s="45"/>
      <c r="H115" s="12"/>
      <c r="I115" s="12"/>
      <c r="J115" s="12"/>
      <c r="K115" s="12"/>
      <c r="L115" s="12"/>
      <c r="M115" s="12"/>
      <c r="N115" s="12"/>
      <c r="O115" s="12"/>
      <c r="P115" s="12"/>
      <c r="Q115" s="142"/>
    </row>
    <row r="116" spans="1:17">
      <c r="A116" s="12">
        <v>103</v>
      </c>
      <c r="B116" s="45" t="s">
        <v>481</v>
      </c>
      <c r="C116" s="143" t="s">
        <v>794</v>
      </c>
      <c r="D116" s="12" t="b">
        <v>1</v>
      </c>
      <c r="E116" s="143" t="s">
        <v>771</v>
      </c>
      <c r="F116" s="45"/>
      <c r="G116" s="45"/>
      <c r="H116" s="12"/>
      <c r="I116" s="12"/>
      <c r="J116" s="12"/>
      <c r="K116" s="12"/>
      <c r="L116" s="12"/>
      <c r="M116" s="12"/>
      <c r="N116" s="12"/>
      <c r="O116" s="12"/>
      <c r="P116" s="12"/>
      <c r="Q116" s="142"/>
    </row>
    <row r="117" spans="1:17">
      <c r="A117" s="12">
        <v>104</v>
      </c>
      <c r="B117" s="45" t="s">
        <v>482</v>
      </c>
      <c r="C117" s="143" t="s">
        <v>620</v>
      </c>
      <c r="D117" s="12" t="b">
        <v>0</v>
      </c>
      <c r="E117" s="143" t="s">
        <v>772</v>
      </c>
      <c r="F117" s="45"/>
      <c r="G117" s="45"/>
      <c r="H117" s="12"/>
      <c r="I117" s="12"/>
      <c r="J117" s="12"/>
      <c r="K117" s="12"/>
      <c r="L117" s="12"/>
      <c r="M117" s="12"/>
      <c r="N117" s="12"/>
      <c r="O117" s="12"/>
      <c r="P117" s="12"/>
      <c r="Q117" s="142"/>
    </row>
    <row r="118" spans="1:17">
      <c r="A118" s="12">
        <v>105</v>
      </c>
      <c r="B118" s="45" t="s">
        <v>482</v>
      </c>
      <c r="C118" s="143" t="s">
        <v>621</v>
      </c>
      <c r="D118" s="12" t="b">
        <v>0</v>
      </c>
      <c r="E118" s="143" t="s">
        <v>773</v>
      </c>
      <c r="F118" s="45"/>
      <c r="G118" s="45"/>
      <c r="H118" s="12"/>
      <c r="I118" s="12"/>
      <c r="J118" s="12"/>
      <c r="K118" s="12"/>
      <c r="L118" s="12"/>
      <c r="M118" s="12"/>
      <c r="N118" s="12"/>
      <c r="O118" s="12"/>
      <c r="P118" s="12"/>
      <c r="Q118" s="142"/>
    </row>
    <row r="119" spans="1:17">
      <c r="A119" s="12">
        <v>106</v>
      </c>
      <c r="B119" s="45" t="s">
        <v>482</v>
      </c>
      <c r="C119" s="143" t="s">
        <v>622</v>
      </c>
      <c r="D119" s="12" t="b">
        <v>0</v>
      </c>
      <c r="E119" s="143" t="s">
        <v>774</v>
      </c>
      <c r="F119" s="45"/>
      <c r="G119" s="45"/>
      <c r="H119" s="12"/>
      <c r="I119" s="12"/>
      <c r="J119" s="12"/>
      <c r="K119" s="12"/>
      <c r="L119" s="12"/>
      <c r="M119" s="12"/>
      <c r="N119" s="12"/>
      <c r="O119" s="12"/>
      <c r="P119" s="12"/>
      <c r="Q119" s="142"/>
    </row>
    <row r="120" spans="1:17">
      <c r="A120" s="12">
        <v>107</v>
      </c>
      <c r="B120" s="45" t="s">
        <v>482</v>
      </c>
      <c r="C120" s="143" t="s">
        <v>795</v>
      </c>
      <c r="D120" s="12" t="b">
        <v>1</v>
      </c>
      <c r="E120" s="143" t="s">
        <v>774</v>
      </c>
      <c r="F120" s="45"/>
      <c r="G120" s="45"/>
      <c r="H120" s="12"/>
      <c r="I120" s="12"/>
      <c r="J120" s="12"/>
      <c r="K120" s="12"/>
      <c r="L120" s="12"/>
      <c r="M120" s="12"/>
      <c r="N120" s="12"/>
      <c r="O120" s="12"/>
      <c r="P120" s="12"/>
      <c r="Q120" s="142"/>
    </row>
    <row r="121" spans="1:17">
      <c r="A121" s="12">
        <v>108</v>
      </c>
      <c r="B121" s="45" t="s">
        <v>483</v>
      </c>
      <c r="C121" s="143" t="s">
        <v>623</v>
      </c>
      <c r="D121" s="12" t="b">
        <v>0</v>
      </c>
      <c r="E121" s="143" t="s">
        <v>775</v>
      </c>
      <c r="F121" s="45"/>
      <c r="G121" s="45"/>
      <c r="H121" s="12"/>
      <c r="I121" s="12"/>
      <c r="J121" s="12"/>
      <c r="K121" s="12"/>
      <c r="L121" s="12"/>
      <c r="M121" s="12"/>
      <c r="N121" s="12"/>
      <c r="O121" s="12"/>
      <c r="P121" s="12"/>
      <c r="Q121" s="142"/>
    </row>
    <row r="122" spans="1:17">
      <c r="A122" s="12">
        <v>109</v>
      </c>
      <c r="B122" s="45" t="s">
        <v>483</v>
      </c>
      <c r="C122" s="143" t="s">
        <v>624</v>
      </c>
      <c r="D122" s="12" t="b">
        <v>0</v>
      </c>
      <c r="E122" s="143" t="s">
        <v>776</v>
      </c>
      <c r="F122" s="45"/>
      <c r="G122" s="45"/>
      <c r="H122" s="12"/>
      <c r="I122" s="12"/>
      <c r="J122" s="12"/>
      <c r="K122" s="12"/>
      <c r="L122" s="12"/>
      <c r="M122" s="12"/>
      <c r="N122" s="12"/>
      <c r="O122" s="12"/>
      <c r="P122" s="12"/>
      <c r="Q122" s="142"/>
    </row>
    <row r="123" spans="1:17">
      <c r="A123" s="12">
        <v>110</v>
      </c>
      <c r="B123" s="45" t="s">
        <v>483</v>
      </c>
      <c r="C123" s="143" t="s">
        <v>625</v>
      </c>
      <c r="D123" s="12" t="b">
        <v>0</v>
      </c>
      <c r="E123" s="143" t="s">
        <v>777</v>
      </c>
      <c r="F123" s="45"/>
      <c r="G123" s="45"/>
      <c r="H123" s="12"/>
      <c r="I123" s="12"/>
      <c r="J123" s="12"/>
      <c r="K123" s="12"/>
      <c r="L123" s="12"/>
      <c r="M123" s="12"/>
      <c r="N123" s="12"/>
      <c r="O123" s="12"/>
      <c r="P123" s="12"/>
      <c r="Q123" s="142"/>
    </row>
    <row r="124" spans="1:17">
      <c r="A124" s="12">
        <v>111</v>
      </c>
      <c r="B124" s="45" t="s">
        <v>483</v>
      </c>
      <c r="C124" s="143" t="s">
        <v>796</v>
      </c>
      <c r="D124" s="12" t="b">
        <v>1</v>
      </c>
      <c r="E124" s="143" t="s">
        <v>777</v>
      </c>
      <c r="F124" s="45"/>
      <c r="G124" s="45"/>
      <c r="H124" s="12"/>
      <c r="I124" s="12"/>
      <c r="J124" s="142"/>
      <c r="K124" s="142"/>
      <c r="L124" s="142"/>
      <c r="M124" s="142"/>
      <c r="N124" s="142"/>
      <c r="O124" s="142"/>
      <c r="P124" s="142"/>
      <c r="Q124" s="142"/>
    </row>
    <row r="125" spans="1:17">
      <c r="A125" s="12"/>
      <c r="B125" s="12"/>
      <c r="C125" s="12"/>
      <c r="D125" s="12"/>
      <c r="E125" s="12"/>
      <c r="F125" s="12"/>
      <c r="G125" s="12"/>
      <c r="H125" s="12"/>
      <c r="I125" s="12"/>
      <c r="J125" s="142"/>
      <c r="K125" s="142"/>
      <c r="L125" s="142"/>
      <c r="M125" s="142"/>
      <c r="N125" s="142"/>
      <c r="O125" s="142"/>
      <c r="P125" s="142"/>
      <c r="Q125" s="142"/>
    </row>
    <row r="126" spans="1:17">
      <c r="A126" s="12"/>
      <c r="B126" s="12"/>
      <c r="C126" s="12"/>
      <c r="D126" s="12"/>
      <c r="E126" s="12"/>
      <c r="F126" s="12"/>
      <c r="G126" s="12"/>
      <c r="H126" s="12"/>
      <c r="I126" s="12"/>
      <c r="J126" s="142"/>
      <c r="K126" s="142"/>
      <c r="L126" s="142"/>
      <c r="M126" s="142"/>
      <c r="N126" s="142"/>
      <c r="O126" s="142"/>
      <c r="P126" s="142"/>
      <c r="Q126" s="142"/>
    </row>
    <row r="127" spans="1:17">
      <c r="A127" s="12"/>
      <c r="B127" s="12"/>
      <c r="C127" s="12"/>
      <c r="D127" s="12"/>
      <c r="E127" s="12"/>
      <c r="F127" s="12"/>
      <c r="G127" s="12"/>
      <c r="H127" s="12"/>
      <c r="I127" s="12"/>
      <c r="J127" s="142"/>
      <c r="K127" s="142"/>
      <c r="L127" s="142"/>
      <c r="M127" s="142"/>
      <c r="N127" s="142"/>
      <c r="O127" s="142"/>
      <c r="P127" s="142"/>
      <c r="Q127" s="142"/>
    </row>
    <row r="128" spans="1:17">
      <c r="A128" s="12"/>
      <c r="B128" s="12"/>
      <c r="C128" s="12"/>
      <c r="D128" s="12"/>
      <c r="E128" s="12"/>
      <c r="F128" s="12"/>
      <c r="G128" s="12"/>
      <c r="H128" s="12"/>
      <c r="I128" s="12"/>
      <c r="J128" s="142"/>
      <c r="K128" s="142"/>
      <c r="L128" s="142"/>
      <c r="M128" s="142"/>
      <c r="N128" s="142"/>
      <c r="O128" s="142"/>
      <c r="P128" s="142"/>
      <c r="Q128" s="142"/>
    </row>
    <row r="129" spans="1:17">
      <c r="A129" s="12"/>
      <c r="B129" s="12"/>
      <c r="C129" s="12"/>
      <c r="D129" s="12"/>
      <c r="E129" s="12"/>
      <c r="F129" s="12"/>
      <c r="G129" s="12"/>
      <c r="H129" s="12"/>
      <c r="I129" s="12"/>
      <c r="J129" s="142"/>
      <c r="K129" s="142"/>
      <c r="L129" s="142"/>
      <c r="M129" s="142"/>
      <c r="N129" s="142"/>
      <c r="O129" s="142"/>
      <c r="P129" s="142"/>
      <c r="Q129" s="142"/>
    </row>
    <row r="130" spans="1:17">
      <c r="A130" s="12"/>
      <c r="B130" s="12"/>
      <c r="C130" s="12"/>
      <c r="D130" s="12"/>
      <c r="E130" s="12"/>
      <c r="F130" s="12"/>
      <c r="G130" s="12"/>
      <c r="H130" s="12"/>
      <c r="I130" s="12"/>
      <c r="J130" s="142"/>
      <c r="K130" s="142"/>
      <c r="L130" s="142"/>
      <c r="M130" s="142"/>
      <c r="N130" s="142"/>
      <c r="O130" s="142"/>
      <c r="P130" s="142"/>
      <c r="Q130" s="142"/>
    </row>
    <row r="131" spans="1:17">
      <c r="A131" s="12"/>
      <c r="B131" s="12"/>
      <c r="C131" s="12"/>
      <c r="D131" s="12"/>
      <c r="E131" s="12"/>
      <c r="F131" s="12"/>
      <c r="G131" s="12"/>
      <c r="H131" s="12"/>
      <c r="I131" s="12"/>
      <c r="J131" s="142"/>
      <c r="K131" s="142"/>
      <c r="L131" s="142"/>
      <c r="M131" s="142"/>
      <c r="N131" s="142"/>
      <c r="O131" s="142"/>
      <c r="P131" s="142"/>
      <c r="Q131" s="142"/>
    </row>
    <row r="132" spans="1:17">
      <c r="A132" s="12"/>
      <c r="B132" s="12"/>
      <c r="C132" s="12"/>
      <c r="D132" s="12"/>
      <c r="E132" s="12"/>
      <c r="F132" s="12"/>
      <c r="G132" s="12"/>
      <c r="H132" s="12"/>
      <c r="I132" s="12"/>
      <c r="J132" s="142"/>
      <c r="K132" s="142"/>
      <c r="L132" s="142"/>
      <c r="M132" s="142"/>
      <c r="N132" s="142"/>
      <c r="O132" s="142"/>
      <c r="P132" s="142"/>
      <c r="Q132" s="142"/>
    </row>
    <row r="133" spans="1:17">
      <c r="A133" s="12"/>
      <c r="B133" s="12"/>
      <c r="C133" s="12"/>
      <c r="D133" s="12"/>
      <c r="E133" s="12"/>
      <c r="F133" s="12"/>
      <c r="G133" s="12"/>
      <c r="H133" s="12"/>
      <c r="I133" s="12"/>
      <c r="J133" s="142"/>
      <c r="K133" s="142"/>
      <c r="L133" s="142"/>
      <c r="M133" s="142"/>
      <c r="N133" s="142"/>
      <c r="O133" s="142"/>
      <c r="P133" s="142"/>
      <c r="Q133" s="142"/>
    </row>
    <row r="134" spans="1:17">
      <c r="A134" s="12"/>
      <c r="B134" s="12"/>
      <c r="C134" s="12"/>
      <c r="D134" s="12"/>
      <c r="E134" s="12"/>
      <c r="F134" s="12"/>
      <c r="G134" s="12"/>
      <c r="H134" s="12"/>
      <c r="I134" s="12"/>
      <c r="J134" s="142"/>
      <c r="K134" s="142"/>
      <c r="L134" s="142"/>
      <c r="M134" s="142"/>
      <c r="N134" s="142"/>
      <c r="O134" s="142"/>
      <c r="P134" s="142"/>
      <c r="Q134" s="142"/>
    </row>
    <row r="135" spans="1:17">
      <c r="A135" s="12"/>
      <c r="B135" s="12"/>
      <c r="C135" s="12"/>
      <c r="D135" s="12"/>
      <c r="E135" s="12"/>
      <c r="F135" s="12"/>
      <c r="G135" s="12"/>
      <c r="H135" s="12"/>
      <c r="I135" s="12"/>
      <c r="J135" s="142"/>
      <c r="K135" s="142"/>
      <c r="L135" s="142"/>
      <c r="M135" s="142"/>
      <c r="N135" s="142"/>
      <c r="O135" s="142"/>
      <c r="P135" s="142"/>
      <c r="Q135" s="142"/>
    </row>
    <row r="136" spans="1:17">
      <c r="A136" s="12"/>
      <c r="B136" s="12"/>
      <c r="C136" s="12"/>
      <c r="D136" s="12"/>
      <c r="E136" s="12"/>
      <c r="F136" s="12"/>
      <c r="G136" s="12"/>
      <c r="H136" s="12"/>
      <c r="I136" s="12"/>
      <c r="J136" s="142"/>
      <c r="K136" s="142"/>
      <c r="L136" s="142"/>
      <c r="M136" s="142"/>
      <c r="N136" s="142"/>
      <c r="O136" s="142"/>
      <c r="P136" s="142"/>
      <c r="Q136" s="142"/>
    </row>
    <row r="137" spans="1:17">
      <c r="A137" s="12"/>
      <c r="B137" s="12"/>
      <c r="C137" s="12"/>
      <c r="D137" s="12"/>
      <c r="E137" s="12"/>
      <c r="F137" s="12"/>
      <c r="G137" s="12"/>
      <c r="H137" s="12"/>
      <c r="I137" s="12"/>
      <c r="J137" s="142"/>
      <c r="K137" s="142"/>
      <c r="L137" s="142"/>
      <c r="M137" s="142"/>
      <c r="N137" s="142"/>
      <c r="O137" s="142"/>
      <c r="P137" s="142"/>
      <c r="Q137" s="142"/>
    </row>
    <row r="138" spans="1:17">
      <c r="A138" s="12"/>
      <c r="B138" s="12"/>
      <c r="C138" s="12"/>
      <c r="D138" s="12"/>
      <c r="E138" s="12"/>
      <c r="F138" s="12"/>
      <c r="G138" s="12"/>
      <c r="H138" s="12"/>
      <c r="I138" s="12"/>
      <c r="J138" s="142"/>
      <c r="K138" s="142"/>
      <c r="L138" s="142"/>
      <c r="M138" s="142"/>
      <c r="N138" s="142"/>
      <c r="O138" s="142"/>
      <c r="P138" s="142"/>
      <c r="Q138" s="142"/>
    </row>
    <row r="139" spans="1:17">
      <c r="A139" s="12"/>
      <c r="B139" s="12"/>
      <c r="C139" s="12"/>
      <c r="D139" s="12"/>
      <c r="E139" s="12"/>
      <c r="F139" s="12"/>
      <c r="G139" s="12"/>
      <c r="H139" s="12"/>
      <c r="I139" s="12"/>
      <c r="J139" s="142"/>
      <c r="K139" s="142"/>
      <c r="L139" s="142"/>
      <c r="M139" s="142"/>
      <c r="N139" s="142"/>
      <c r="O139" s="142"/>
      <c r="P139" s="142"/>
      <c r="Q139" s="142"/>
    </row>
    <row r="140" spans="1:17">
      <c r="A140" s="12"/>
      <c r="B140" s="12"/>
      <c r="C140" s="12"/>
      <c r="D140" s="12"/>
      <c r="E140" s="12"/>
      <c r="F140" s="12"/>
      <c r="G140" s="12"/>
      <c r="H140" s="12"/>
      <c r="I140" s="12"/>
      <c r="J140" s="142"/>
      <c r="K140" s="142"/>
      <c r="L140" s="142"/>
      <c r="M140" s="142"/>
      <c r="N140" s="142"/>
      <c r="O140" s="142"/>
      <c r="P140" s="142"/>
      <c r="Q140" s="142"/>
    </row>
    <row r="141" spans="1:17">
      <c r="A141" s="12"/>
      <c r="B141" s="12"/>
      <c r="C141" s="12"/>
      <c r="D141" s="12"/>
      <c r="E141" s="12"/>
      <c r="F141" s="142"/>
      <c r="G141" s="142"/>
      <c r="H141" s="142"/>
      <c r="I141" s="142"/>
      <c r="J141" s="142"/>
      <c r="K141" s="142"/>
      <c r="L141" s="142"/>
      <c r="M141" s="142"/>
      <c r="N141" s="142"/>
      <c r="O141" s="142"/>
      <c r="P141" s="142"/>
      <c r="Q141" s="142"/>
    </row>
    <row r="142" spans="1:17">
      <c r="A142" s="12"/>
      <c r="B142" s="12"/>
      <c r="C142" s="12"/>
      <c r="D142" s="12"/>
      <c r="E142" s="12"/>
      <c r="F142" s="142"/>
      <c r="G142" s="142"/>
      <c r="H142" s="142"/>
      <c r="I142" s="142"/>
      <c r="J142" s="142"/>
      <c r="K142" s="142"/>
      <c r="L142" s="142"/>
      <c r="M142" s="142"/>
      <c r="N142" s="142"/>
      <c r="O142" s="142"/>
      <c r="P142" s="142"/>
      <c r="Q142" s="142"/>
    </row>
    <row r="143" spans="1:17">
      <c r="A143" s="12"/>
      <c r="B143" s="12"/>
      <c r="C143" s="12"/>
      <c r="D143" s="12"/>
      <c r="E143" s="12"/>
      <c r="F143" s="142"/>
      <c r="G143" s="142"/>
      <c r="H143" s="142"/>
      <c r="I143" s="142"/>
      <c r="J143" s="142"/>
      <c r="K143" s="142"/>
      <c r="L143" s="142"/>
      <c r="M143" s="142"/>
      <c r="N143" s="142"/>
      <c r="O143" s="142"/>
      <c r="P143" s="142"/>
      <c r="Q143" s="142"/>
    </row>
    <row r="144" spans="1:17">
      <c r="A144" s="12"/>
      <c r="B144" s="12"/>
      <c r="C144" s="12"/>
      <c r="D144" s="12"/>
      <c r="E144" s="12"/>
      <c r="F144" s="142"/>
      <c r="G144" s="142"/>
      <c r="H144" s="142"/>
      <c r="I144" s="142"/>
      <c r="J144" s="142"/>
      <c r="K144" s="142"/>
      <c r="L144" s="142"/>
      <c r="M144" s="142"/>
      <c r="N144" s="142"/>
      <c r="O144" s="142"/>
      <c r="P144" s="142"/>
      <c r="Q144" s="142"/>
    </row>
    <row r="145" spans="1:17">
      <c r="A145" s="12"/>
      <c r="B145" s="12"/>
      <c r="C145" s="12"/>
      <c r="D145" s="12"/>
      <c r="E145" s="12"/>
      <c r="F145" s="142"/>
      <c r="G145" s="142"/>
      <c r="H145" s="142"/>
      <c r="I145" s="142"/>
      <c r="J145" s="142"/>
      <c r="K145" s="142"/>
      <c r="L145" s="142"/>
      <c r="M145" s="142"/>
      <c r="N145" s="142"/>
      <c r="O145" s="142"/>
      <c r="P145" s="142"/>
      <c r="Q145" s="142"/>
    </row>
    <row r="146" spans="1:17">
      <c r="A146" s="12"/>
      <c r="B146" s="12"/>
      <c r="C146" s="12"/>
      <c r="D146" s="12"/>
      <c r="E146" s="12"/>
      <c r="F146" s="142"/>
      <c r="G146" s="142"/>
      <c r="H146" s="142"/>
      <c r="I146" s="142"/>
      <c r="J146" s="142"/>
      <c r="K146" s="142"/>
      <c r="L146" s="142"/>
      <c r="M146" s="142"/>
      <c r="N146" s="142"/>
      <c r="O146" s="142"/>
      <c r="P146" s="142"/>
      <c r="Q146" s="142"/>
    </row>
    <row r="147" spans="1:17">
      <c r="A147" s="12"/>
      <c r="B147" s="12"/>
      <c r="C147" s="12"/>
      <c r="D147" s="12"/>
      <c r="E147" s="12"/>
      <c r="F147" s="142"/>
      <c r="G147" s="142"/>
      <c r="H147" s="142"/>
      <c r="I147" s="142"/>
      <c r="J147" s="142"/>
      <c r="K147" s="142"/>
      <c r="L147" s="142"/>
      <c r="M147" s="142"/>
      <c r="N147" s="142"/>
      <c r="O147" s="142"/>
      <c r="P147" s="142"/>
      <c r="Q147" s="142"/>
    </row>
    <row r="148" spans="1:17">
      <c r="A148" s="12"/>
      <c r="B148" s="12"/>
      <c r="C148" s="12"/>
      <c r="D148" s="12"/>
      <c r="E148" s="12"/>
      <c r="F148" s="142"/>
      <c r="G148" s="142"/>
      <c r="H148" s="142"/>
      <c r="I148" s="142"/>
      <c r="J148" s="142"/>
      <c r="K148" s="142"/>
      <c r="L148" s="142"/>
      <c r="M148" s="142"/>
      <c r="N148" s="142"/>
      <c r="O148" s="142"/>
      <c r="P148" s="142"/>
      <c r="Q148" s="142"/>
    </row>
    <row r="149" spans="1:17">
      <c r="A149" s="12"/>
      <c r="B149" s="12"/>
      <c r="C149" s="12"/>
      <c r="D149" s="12"/>
      <c r="E149" s="12"/>
      <c r="F149" s="142"/>
      <c r="G149" s="142"/>
      <c r="H149" s="142"/>
      <c r="I149" s="142"/>
      <c r="J149" s="142"/>
      <c r="K149" s="142"/>
      <c r="L149" s="142"/>
      <c r="M149" s="142"/>
      <c r="N149" s="142"/>
      <c r="O149" s="142"/>
      <c r="P149" s="142"/>
      <c r="Q149" s="142"/>
    </row>
    <row r="150" spans="1:17">
      <c r="A150" s="12"/>
      <c r="B150" s="12"/>
      <c r="C150" s="12"/>
      <c r="D150" s="12"/>
      <c r="E150" s="12"/>
      <c r="F150" s="142"/>
      <c r="G150" s="142"/>
      <c r="H150" s="142"/>
      <c r="I150" s="142"/>
      <c r="J150" s="142"/>
      <c r="K150" s="142"/>
      <c r="L150" s="142"/>
      <c r="M150" s="142"/>
      <c r="N150" s="142"/>
      <c r="O150" s="142"/>
      <c r="P150" s="142"/>
      <c r="Q150" s="142"/>
    </row>
    <row r="151" spans="1:17">
      <c r="A151" s="12"/>
      <c r="B151" s="12"/>
      <c r="C151" s="12"/>
      <c r="D151" s="12"/>
      <c r="E151" s="12"/>
      <c r="F151" s="142"/>
      <c r="G151" s="142"/>
      <c r="H151" s="142"/>
      <c r="I151" s="142"/>
      <c r="J151" s="142"/>
      <c r="K151" s="142"/>
      <c r="L151" s="142"/>
      <c r="M151" s="142"/>
      <c r="N151" s="142"/>
      <c r="O151" s="142"/>
      <c r="P151" s="142"/>
      <c r="Q151" s="142"/>
    </row>
    <row r="152" spans="1:17">
      <c r="A152" s="12"/>
      <c r="B152" s="12"/>
      <c r="C152" s="12"/>
      <c r="D152" s="12"/>
      <c r="E152" s="12"/>
      <c r="F152" s="142"/>
      <c r="G152" s="142"/>
      <c r="H152" s="142"/>
      <c r="I152" s="142"/>
      <c r="J152" s="142"/>
      <c r="K152" s="142"/>
      <c r="L152" s="142"/>
      <c r="M152" s="142"/>
      <c r="N152" s="142"/>
      <c r="O152" s="142"/>
      <c r="P152" s="142"/>
      <c r="Q152" s="142"/>
    </row>
    <row r="153" spans="1:17">
      <c r="A153" s="12"/>
      <c r="B153" s="12"/>
      <c r="C153" s="12"/>
      <c r="D153" s="12"/>
      <c r="E153" s="12"/>
      <c r="F153" s="142"/>
      <c r="G153" s="142"/>
      <c r="H153" s="142"/>
      <c r="I153" s="142"/>
      <c r="J153" s="142"/>
      <c r="K153" s="142"/>
      <c r="L153" s="142"/>
      <c r="M153" s="142"/>
      <c r="N153" s="142"/>
      <c r="O153" s="142"/>
      <c r="P153" s="142"/>
      <c r="Q153" s="142"/>
    </row>
    <row r="154" spans="1:17">
      <c r="A154" s="12"/>
      <c r="B154" s="12"/>
      <c r="C154" s="12"/>
      <c r="D154" s="12"/>
      <c r="E154" s="12"/>
      <c r="F154" s="142"/>
      <c r="G154" s="142"/>
      <c r="H154" s="142"/>
      <c r="I154" s="142"/>
      <c r="J154" s="142"/>
      <c r="K154" s="142"/>
      <c r="L154" s="142"/>
      <c r="M154" s="142"/>
      <c r="N154" s="142"/>
      <c r="O154" s="142"/>
      <c r="P154" s="142"/>
      <c r="Q154" s="142"/>
    </row>
    <row r="155" spans="1:17">
      <c r="A155" s="12"/>
      <c r="B155" s="12"/>
      <c r="C155" s="12"/>
      <c r="D155" s="12"/>
      <c r="E155" s="12"/>
      <c r="F155" s="142"/>
      <c r="G155" s="142"/>
      <c r="H155" s="142"/>
      <c r="I155" s="142"/>
      <c r="J155" s="142"/>
      <c r="K155" s="142"/>
      <c r="L155" s="142"/>
      <c r="M155" s="142"/>
      <c r="N155" s="142"/>
      <c r="O155" s="142"/>
      <c r="P155" s="142"/>
      <c r="Q155" s="142"/>
    </row>
    <row r="156" spans="1:17">
      <c r="A156" s="12"/>
      <c r="B156" s="12"/>
      <c r="C156" s="12"/>
      <c r="D156" s="12"/>
      <c r="E156" s="12"/>
      <c r="F156" s="142"/>
      <c r="G156" s="142"/>
      <c r="H156" s="142"/>
      <c r="I156" s="142"/>
      <c r="J156" s="142"/>
      <c r="K156" s="142"/>
      <c r="L156" s="142"/>
      <c r="M156" s="142"/>
      <c r="N156" s="142"/>
      <c r="O156" s="142"/>
      <c r="P156" s="142"/>
      <c r="Q156" s="142"/>
    </row>
    <row r="157" spans="1:17">
      <c r="A157" s="12"/>
      <c r="B157" s="12"/>
      <c r="C157" s="12"/>
      <c r="D157" s="12"/>
      <c r="E157" s="12"/>
      <c r="F157" s="142"/>
      <c r="G157" s="142"/>
      <c r="H157" s="142"/>
      <c r="I157" s="142"/>
      <c r="J157" s="142"/>
      <c r="K157" s="142"/>
      <c r="L157" s="142"/>
      <c r="M157" s="142"/>
      <c r="N157" s="142"/>
      <c r="O157" s="142"/>
      <c r="P157" s="142"/>
      <c r="Q157" s="142"/>
    </row>
    <row r="158" spans="1:17">
      <c r="A158" s="12"/>
      <c r="B158" s="12"/>
      <c r="C158" s="12"/>
      <c r="D158" s="12"/>
      <c r="E158" s="12"/>
      <c r="F158" s="142"/>
      <c r="G158" s="142"/>
      <c r="H158" s="142"/>
      <c r="I158" s="142"/>
      <c r="J158" s="142"/>
      <c r="K158" s="142"/>
      <c r="L158" s="142"/>
      <c r="M158" s="142"/>
      <c r="N158" s="142"/>
      <c r="O158" s="142"/>
      <c r="P158" s="142"/>
      <c r="Q158" s="142"/>
    </row>
    <row r="159" spans="1:17">
      <c r="A159" s="12"/>
      <c r="B159" s="12"/>
      <c r="C159" s="12"/>
      <c r="D159" s="12"/>
      <c r="E159" s="12"/>
      <c r="F159" s="142"/>
      <c r="G159" s="142"/>
      <c r="H159" s="142"/>
      <c r="I159" s="142"/>
      <c r="J159" s="142"/>
      <c r="K159" s="142"/>
      <c r="L159" s="142"/>
      <c r="M159" s="142"/>
      <c r="N159" s="142"/>
      <c r="O159" s="142"/>
      <c r="P159" s="142"/>
      <c r="Q159" s="142"/>
    </row>
    <row r="160" spans="1:17">
      <c r="A160" s="12"/>
      <c r="B160" s="12"/>
      <c r="C160" s="12"/>
      <c r="D160" s="12"/>
      <c r="E160" s="12"/>
      <c r="F160" s="142"/>
      <c r="G160" s="142"/>
      <c r="H160" s="142"/>
      <c r="I160" s="142"/>
      <c r="J160" s="142"/>
      <c r="K160" s="142"/>
      <c r="L160" s="142"/>
      <c r="M160" s="142"/>
      <c r="N160" s="142"/>
      <c r="O160" s="142"/>
      <c r="P160" s="142"/>
      <c r="Q160" s="142"/>
    </row>
    <row r="161" spans="1:17">
      <c r="A161" s="12"/>
      <c r="B161" s="12"/>
      <c r="C161" s="12"/>
      <c r="D161" s="12"/>
      <c r="E161" s="12"/>
      <c r="F161" s="142"/>
      <c r="G161" s="142"/>
      <c r="H161" s="142"/>
      <c r="I161" s="142"/>
      <c r="J161" s="142"/>
      <c r="K161" s="142"/>
      <c r="L161" s="142"/>
      <c r="M161" s="142"/>
      <c r="N161" s="142"/>
      <c r="O161" s="142"/>
      <c r="P161" s="142"/>
      <c r="Q161" s="142"/>
    </row>
    <row r="162" spans="1:17">
      <c r="A162" s="12"/>
      <c r="B162" s="12"/>
      <c r="C162" s="12"/>
      <c r="D162" s="12"/>
      <c r="E162" s="12"/>
      <c r="F162" s="142"/>
      <c r="G162" s="142"/>
      <c r="H162" s="142"/>
      <c r="I162" s="142"/>
      <c r="J162" s="142"/>
      <c r="K162" s="142"/>
      <c r="L162" s="142"/>
      <c r="M162" s="142"/>
      <c r="N162" s="142"/>
      <c r="O162" s="142"/>
      <c r="P162" s="142"/>
      <c r="Q162" s="142"/>
    </row>
    <row r="163" spans="1:17">
      <c r="A163" s="12"/>
      <c r="B163" s="12"/>
      <c r="C163" s="12"/>
      <c r="D163" s="12"/>
      <c r="E163" s="12"/>
      <c r="F163" s="142"/>
      <c r="G163" s="142"/>
      <c r="H163" s="142"/>
      <c r="I163" s="142"/>
      <c r="J163" s="142"/>
      <c r="K163" s="142"/>
      <c r="L163" s="142"/>
      <c r="M163" s="142"/>
      <c r="N163" s="142"/>
      <c r="O163" s="142"/>
      <c r="P163" s="142"/>
      <c r="Q163" s="142"/>
    </row>
    <row r="164" spans="1:17">
      <c r="A164" s="12"/>
      <c r="B164" s="12"/>
      <c r="C164" s="12"/>
      <c r="D164" s="12"/>
      <c r="E164" s="12"/>
      <c r="F164" s="142"/>
      <c r="G164" s="142"/>
      <c r="H164" s="142"/>
      <c r="I164" s="142"/>
      <c r="J164" s="142"/>
      <c r="K164" s="142"/>
      <c r="L164" s="142"/>
      <c r="M164" s="142"/>
      <c r="N164" s="142"/>
      <c r="O164" s="142"/>
      <c r="P164" s="142"/>
      <c r="Q164" s="142"/>
    </row>
    <row r="165" spans="1:17">
      <c r="A165" s="12"/>
      <c r="B165" s="12"/>
      <c r="C165" s="12"/>
      <c r="D165" s="12"/>
      <c r="E165" s="12"/>
      <c r="F165" s="142"/>
      <c r="G165" s="142"/>
      <c r="H165" s="142"/>
      <c r="I165" s="142"/>
      <c r="J165" s="142"/>
      <c r="K165" s="142"/>
      <c r="L165" s="142"/>
      <c r="M165" s="142"/>
      <c r="N165" s="142"/>
      <c r="O165" s="142"/>
      <c r="P165" s="142"/>
      <c r="Q165" s="142"/>
    </row>
    <row r="166" spans="1:17">
      <c r="A166" s="12"/>
      <c r="B166" s="12"/>
      <c r="C166" s="12"/>
      <c r="D166" s="12"/>
      <c r="E166" s="12"/>
      <c r="F166" s="142"/>
      <c r="G166" s="142"/>
      <c r="H166" s="142"/>
      <c r="I166" s="142"/>
      <c r="J166" s="142"/>
      <c r="K166" s="142"/>
      <c r="L166" s="142"/>
      <c r="M166" s="142"/>
      <c r="N166" s="142"/>
      <c r="O166" s="142"/>
      <c r="P166" s="142"/>
      <c r="Q166" s="142"/>
    </row>
    <row r="167" spans="1:17">
      <c r="A167" s="12"/>
      <c r="B167" s="12"/>
      <c r="C167" s="12"/>
      <c r="D167" s="12"/>
      <c r="E167" s="12"/>
      <c r="F167" s="142"/>
      <c r="G167" s="142"/>
      <c r="H167" s="142"/>
      <c r="I167" s="142"/>
      <c r="J167" s="142"/>
      <c r="K167" s="142"/>
      <c r="L167" s="142"/>
      <c r="M167" s="142"/>
      <c r="N167" s="142"/>
      <c r="O167" s="142"/>
      <c r="P167" s="142"/>
      <c r="Q167" s="142"/>
    </row>
    <row r="168" spans="1:17">
      <c r="A168" s="12"/>
      <c r="B168" s="12"/>
      <c r="C168" s="12"/>
      <c r="D168" s="12"/>
      <c r="E168" s="12"/>
      <c r="F168" s="142"/>
      <c r="G168" s="142"/>
      <c r="H168" s="142"/>
      <c r="I168" s="142"/>
      <c r="J168" s="142"/>
      <c r="K168" s="142"/>
      <c r="L168" s="142"/>
      <c r="M168" s="142"/>
      <c r="N168" s="142"/>
      <c r="O168" s="142"/>
      <c r="P168" s="142"/>
      <c r="Q168" s="142"/>
    </row>
    <row r="169" spans="1:17">
      <c r="A169" s="12"/>
      <c r="B169" s="12"/>
      <c r="C169" s="12"/>
      <c r="D169" s="12"/>
      <c r="E169" s="12"/>
      <c r="F169" s="142"/>
      <c r="G169" s="142"/>
      <c r="H169" s="142"/>
      <c r="I169" s="142"/>
      <c r="J169" s="142"/>
      <c r="K169" s="142"/>
      <c r="L169" s="142"/>
      <c r="M169" s="142"/>
      <c r="N169" s="142"/>
      <c r="O169" s="142"/>
      <c r="P169" s="142"/>
      <c r="Q169" s="142"/>
    </row>
    <row r="170" spans="1:17">
      <c r="A170" s="12"/>
      <c r="B170" s="12"/>
      <c r="C170" s="12"/>
      <c r="D170" s="12"/>
      <c r="E170" s="12"/>
      <c r="F170" s="142"/>
      <c r="G170" s="142"/>
      <c r="H170" s="142"/>
      <c r="I170" s="142"/>
      <c r="J170" s="142"/>
      <c r="K170" s="142"/>
      <c r="L170" s="142"/>
      <c r="M170" s="142"/>
      <c r="N170" s="142"/>
      <c r="O170" s="142"/>
      <c r="P170" s="142"/>
      <c r="Q170" s="142"/>
    </row>
    <row r="171" spans="1:17">
      <c r="A171" s="12"/>
      <c r="B171" s="12"/>
      <c r="C171" s="12"/>
      <c r="D171" s="12"/>
      <c r="E171" s="12"/>
      <c r="F171" s="142"/>
      <c r="G171" s="142"/>
      <c r="H171" s="142"/>
      <c r="I171" s="142"/>
      <c r="J171" s="142"/>
      <c r="K171" s="142"/>
      <c r="L171" s="142"/>
      <c r="M171" s="142"/>
      <c r="N171" s="142"/>
      <c r="O171" s="142"/>
      <c r="P171" s="142"/>
      <c r="Q171" s="142"/>
    </row>
    <row r="172" spans="1:17">
      <c r="A172" s="12"/>
      <c r="B172" s="12"/>
      <c r="C172" s="12"/>
      <c r="D172" s="12"/>
      <c r="E172" s="12"/>
      <c r="F172" s="142"/>
      <c r="G172" s="142"/>
      <c r="H172" s="142"/>
      <c r="I172" s="142"/>
      <c r="J172" s="142"/>
      <c r="K172" s="142"/>
      <c r="L172" s="142"/>
      <c r="M172" s="142"/>
      <c r="N172" s="142"/>
      <c r="O172" s="142"/>
      <c r="P172" s="142"/>
      <c r="Q172" s="142"/>
    </row>
    <row r="173" spans="1:17">
      <c r="A173" s="12"/>
      <c r="B173" s="12"/>
      <c r="C173" s="12"/>
      <c r="D173" s="12"/>
      <c r="E173" s="12"/>
      <c r="F173" s="142"/>
      <c r="G173" s="142"/>
      <c r="H173" s="142"/>
      <c r="I173" s="142"/>
      <c r="J173" s="142"/>
      <c r="K173" s="142"/>
      <c r="L173" s="142"/>
      <c r="M173" s="142"/>
      <c r="N173" s="142"/>
      <c r="O173" s="142"/>
      <c r="P173" s="142"/>
      <c r="Q173" s="142"/>
    </row>
    <row r="174" spans="1:17">
      <c r="A174" s="12"/>
      <c r="B174" s="12"/>
      <c r="C174" s="12"/>
      <c r="D174" s="12"/>
      <c r="E174" s="12"/>
      <c r="F174" s="142"/>
      <c r="G174" s="142"/>
      <c r="H174" s="142"/>
      <c r="I174" s="142"/>
      <c r="J174" s="142"/>
      <c r="K174" s="142"/>
      <c r="L174" s="142"/>
      <c r="M174" s="142"/>
      <c r="N174" s="142"/>
      <c r="O174" s="142"/>
      <c r="P174" s="142"/>
      <c r="Q174" s="142"/>
    </row>
    <row r="175" spans="1:17">
      <c r="A175" s="12"/>
      <c r="B175" s="12"/>
      <c r="C175" s="12"/>
      <c r="D175" s="12"/>
      <c r="E175" s="12"/>
      <c r="F175" s="142"/>
      <c r="G175" s="142"/>
      <c r="H175" s="142"/>
      <c r="I175" s="142"/>
      <c r="J175" s="142"/>
      <c r="K175" s="142"/>
      <c r="L175" s="142"/>
      <c r="M175" s="142"/>
      <c r="N175" s="142"/>
      <c r="O175" s="142"/>
      <c r="P175" s="142"/>
      <c r="Q175" s="142"/>
    </row>
    <row r="176" spans="1:17">
      <c r="A176" s="12"/>
      <c r="B176" s="12"/>
      <c r="C176" s="12"/>
      <c r="D176" s="12"/>
      <c r="E176" s="12"/>
      <c r="F176" s="142"/>
      <c r="G176" s="142"/>
      <c r="H176" s="142"/>
      <c r="I176" s="142"/>
      <c r="J176" s="142"/>
      <c r="K176" s="142"/>
      <c r="L176" s="142"/>
      <c r="M176" s="142"/>
      <c r="N176" s="142"/>
      <c r="O176" s="142"/>
      <c r="P176" s="142"/>
      <c r="Q176" s="142"/>
    </row>
    <row r="177" spans="1:17">
      <c r="A177" s="12"/>
      <c r="B177" s="12"/>
      <c r="C177" s="12"/>
      <c r="D177" s="12"/>
      <c r="E177" s="12"/>
      <c r="F177" s="142"/>
      <c r="G177" s="142"/>
      <c r="H177" s="142"/>
      <c r="I177" s="142"/>
      <c r="J177" s="142"/>
      <c r="K177" s="142"/>
      <c r="L177" s="142"/>
      <c r="M177" s="142"/>
      <c r="N177" s="142"/>
      <c r="O177" s="142"/>
      <c r="P177" s="142"/>
      <c r="Q177" s="142"/>
    </row>
    <row r="178" spans="1:17">
      <c r="A178" s="12"/>
      <c r="B178" s="12"/>
      <c r="C178" s="12"/>
      <c r="D178" s="12"/>
      <c r="E178" s="12"/>
      <c r="F178" s="142"/>
      <c r="G178" s="142"/>
      <c r="H178" s="142"/>
      <c r="I178" s="142"/>
      <c r="J178" s="142"/>
      <c r="K178" s="142"/>
      <c r="L178" s="142"/>
      <c r="M178" s="142"/>
      <c r="N178" s="142"/>
      <c r="O178" s="142"/>
      <c r="P178" s="142"/>
      <c r="Q178" s="142"/>
    </row>
    <row r="179" spans="1:17">
      <c r="A179" s="12"/>
      <c r="B179" s="12"/>
      <c r="C179" s="12"/>
      <c r="D179" s="12"/>
      <c r="E179" s="12"/>
      <c r="F179" s="142"/>
      <c r="G179" s="142"/>
      <c r="H179" s="142"/>
      <c r="I179" s="142"/>
      <c r="J179" s="142"/>
      <c r="K179" s="142"/>
      <c r="L179" s="142"/>
      <c r="M179" s="142"/>
      <c r="N179" s="142"/>
      <c r="O179" s="142"/>
      <c r="P179" s="142"/>
      <c r="Q179" s="142"/>
    </row>
    <row r="180" spans="1:17">
      <c r="A180" s="12"/>
      <c r="B180" s="12"/>
      <c r="C180" s="12"/>
      <c r="D180" s="12"/>
      <c r="E180" s="12"/>
      <c r="F180" s="142"/>
      <c r="G180" s="142"/>
      <c r="H180" s="142"/>
      <c r="I180" s="142"/>
      <c r="J180" s="142"/>
      <c r="K180" s="142"/>
      <c r="L180" s="142"/>
      <c r="M180" s="142"/>
      <c r="N180" s="142"/>
      <c r="O180" s="142"/>
      <c r="P180" s="142"/>
      <c r="Q180" s="142"/>
    </row>
    <row r="181" spans="1:17">
      <c r="A181" s="12"/>
      <c r="B181" s="12"/>
      <c r="C181" s="12"/>
      <c r="D181" s="12"/>
      <c r="E181" s="12"/>
      <c r="F181" s="142"/>
      <c r="G181" s="142"/>
      <c r="H181" s="142"/>
      <c r="I181" s="142"/>
      <c r="J181" s="142"/>
      <c r="K181" s="142"/>
      <c r="L181" s="142"/>
      <c r="M181" s="142"/>
      <c r="N181" s="142"/>
      <c r="O181" s="142"/>
      <c r="P181" s="142"/>
      <c r="Q181" s="142"/>
    </row>
    <row r="182" spans="1:17">
      <c r="A182" s="12"/>
      <c r="B182" s="12"/>
      <c r="C182" s="12"/>
      <c r="D182" s="12"/>
      <c r="E182" s="12"/>
      <c r="F182" s="142"/>
      <c r="G182" s="142"/>
      <c r="H182" s="142"/>
      <c r="I182" s="142"/>
      <c r="J182" s="142"/>
      <c r="K182" s="142"/>
      <c r="L182" s="142"/>
      <c r="M182" s="142"/>
      <c r="N182" s="142"/>
      <c r="O182" s="142"/>
      <c r="P182" s="142"/>
      <c r="Q182" s="142"/>
    </row>
    <row r="183" spans="1:17">
      <c r="A183" s="12"/>
      <c r="B183" s="12"/>
      <c r="C183" s="12"/>
      <c r="D183" s="12"/>
      <c r="E183" s="12"/>
      <c r="F183" s="142"/>
      <c r="G183" s="142"/>
      <c r="H183" s="142"/>
      <c r="I183" s="142"/>
      <c r="J183" s="142"/>
      <c r="K183" s="142"/>
      <c r="L183" s="142"/>
      <c r="M183" s="142"/>
      <c r="N183" s="142"/>
      <c r="O183" s="142"/>
      <c r="P183" s="142"/>
      <c r="Q183" s="142"/>
    </row>
    <row r="184" spans="1:17">
      <c r="A184" s="12"/>
      <c r="B184" s="12"/>
      <c r="C184" s="12"/>
      <c r="D184" s="12"/>
      <c r="E184" s="12"/>
      <c r="F184" s="142"/>
      <c r="G184" s="142"/>
      <c r="H184" s="142"/>
      <c r="I184" s="142"/>
      <c r="J184" s="142"/>
      <c r="K184" s="142"/>
      <c r="L184" s="142"/>
      <c r="M184" s="142"/>
      <c r="N184" s="142"/>
      <c r="O184" s="142"/>
      <c r="P184" s="142"/>
      <c r="Q184" s="142"/>
    </row>
    <row r="185" spans="1:17">
      <c r="A185" s="12"/>
      <c r="B185" s="12"/>
      <c r="C185" s="12"/>
      <c r="D185" s="12"/>
      <c r="E185" s="12"/>
      <c r="F185" s="142"/>
      <c r="G185" s="142"/>
      <c r="H185" s="142"/>
      <c r="I185" s="142"/>
      <c r="J185" s="142"/>
      <c r="K185" s="142"/>
      <c r="L185" s="142"/>
      <c r="M185" s="142"/>
      <c r="N185" s="142"/>
      <c r="O185" s="142"/>
      <c r="P185" s="142"/>
      <c r="Q185" s="142"/>
    </row>
    <row r="186" spans="1:17">
      <c r="A186" s="12"/>
      <c r="B186" s="12"/>
      <c r="C186" s="12"/>
      <c r="D186" s="12"/>
      <c r="E186" s="12"/>
      <c r="F186" s="142"/>
      <c r="G186" s="142"/>
      <c r="H186" s="142"/>
      <c r="I186" s="142"/>
      <c r="J186" s="142"/>
      <c r="K186" s="142"/>
      <c r="L186" s="142"/>
      <c r="M186" s="142"/>
      <c r="N186" s="142"/>
      <c r="O186" s="142"/>
      <c r="P186" s="142"/>
      <c r="Q186" s="142"/>
    </row>
    <row r="187" spans="1:17">
      <c r="A187" s="12"/>
      <c r="B187" s="12"/>
      <c r="C187" s="12"/>
      <c r="D187" s="12"/>
      <c r="E187" s="12"/>
      <c r="F187" s="142"/>
      <c r="G187" s="142"/>
      <c r="H187" s="142"/>
      <c r="I187" s="142"/>
      <c r="J187" s="142"/>
      <c r="K187" s="142"/>
      <c r="L187" s="142"/>
      <c r="M187" s="142"/>
      <c r="N187" s="142"/>
      <c r="O187" s="142"/>
      <c r="P187" s="142"/>
      <c r="Q187" s="142"/>
    </row>
    <row r="188" spans="1:17">
      <c r="A188" s="12"/>
      <c r="B188" s="12"/>
      <c r="C188" s="12"/>
      <c r="D188" s="12"/>
      <c r="E188" s="12"/>
      <c r="F188" s="142"/>
      <c r="G188" s="142"/>
      <c r="H188" s="142"/>
      <c r="I188" s="142"/>
      <c r="J188" s="142"/>
      <c r="K188" s="142"/>
      <c r="L188" s="142"/>
      <c r="M188" s="142"/>
      <c r="N188" s="142"/>
      <c r="O188" s="142"/>
      <c r="P188" s="142"/>
      <c r="Q188" s="142"/>
    </row>
    <row r="189" spans="1:17">
      <c r="A189" s="12"/>
      <c r="B189" s="12"/>
      <c r="C189" s="12"/>
      <c r="D189" s="12"/>
      <c r="E189" s="12"/>
      <c r="F189" s="142"/>
      <c r="G189" s="142"/>
      <c r="H189" s="142"/>
      <c r="I189" s="142"/>
      <c r="J189" s="142"/>
      <c r="K189" s="142"/>
      <c r="L189" s="142"/>
      <c r="M189" s="142"/>
      <c r="N189" s="142"/>
      <c r="O189" s="142"/>
      <c r="P189" s="142"/>
      <c r="Q189" s="142"/>
    </row>
    <row r="190" spans="1:17">
      <c r="A190" s="12"/>
      <c r="B190" s="12"/>
      <c r="C190" s="12"/>
      <c r="D190" s="12"/>
      <c r="E190" s="12"/>
      <c r="F190" s="142"/>
      <c r="G190" s="142"/>
      <c r="H190" s="142"/>
      <c r="I190" s="142"/>
      <c r="J190" s="142"/>
      <c r="K190" s="142"/>
      <c r="L190" s="142"/>
      <c r="M190" s="142"/>
      <c r="N190" s="142"/>
      <c r="O190" s="142"/>
      <c r="P190" s="142"/>
      <c r="Q190" s="142"/>
    </row>
    <row r="191" spans="1:17">
      <c r="A191" s="12"/>
      <c r="B191" s="12"/>
      <c r="C191" s="12"/>
      <c r="D191" s="12"/>
      <c r="E191" s="12"/>
      <c r="F191" s="142"/>
      <c r="G191" s="142"/>
      <c r="H191" s="142"/>
      <c r="I191" s="142"/>
      <c r="J191" s="142"/>
      <c r="K191" s="142"/>
      <c r="L191" s="142"/>
      <c r="M191" s="142"/>
      <c r="N191" s="142"/>
      <c r="O191" s="142"/>
      <c r="P191" s="142"/>
      <c r="Q191" s="142"/>
    </row>
    <row r="192" spans="1:17">
      <c r="A192" s="12"/>
      <c r="B192" s="12"/>
      <c r="C192" s="12"/>
      <c r="D192" s="12"/>
      <c r="E192" s="12"/>
      <c r="F192" s="142"/>
      <c r="G192" s="142"/>
      <c r="H192" s="142"/>
      <c r="I192" s="142"/>
      <c r="J192" s="142"/>
      <c r="K192" s="142"/>
      <c r="L192" s="142"/>
      <c r="M192" s="142"/>
      <c r="N192" s="142"/>
      <c r="O192" s="142"/>
      <c r="P192" s="142"/>
      <c r="Q192" s="142"/>
    </row>
    <row r="193" spans="1:17">
      <c r="A193" s="12"/>
      <c r="B193" s="12"/>
      <c r="C193" s="12"/>
      <c r="D193" s="12"/>
      <c r="E193" s="12"/>
      <c r="F193" s="142"/>
      <c r="G193" s="142"/>
      <c r="H193" s="142"/>
      <c r="I193" s="142"/>
      <c r="J193" s="142"/>
      <c r="K193" s="142"/>
      <c r="L193" s="142"/>
      <c r="M193" s="142"/>
      <c r="N193" s="142"/>
      <c r="O193" s="142"/>
      <c r="P193" s="142"/>
      <c r="Q193" s="142"/>
    </row>
    <row r="194" spans="1:17">
      <c r="A194" s="12"/>
      <c r="B194" s="12"/>
      <c r="C194" s="12"/>
      <c r="D194" s="12"/>
      <c r="E194" s="12"/>
      <c r="F194" s="142"/>
      <c r="G194" s="142"/>
      <c r="H194" s="142"/>
      <c r="I194" s="142"/>
      <c r="J194" s="142"/>
      <c r="K194" s="142"/>
      <c r="L194" s="142"/>
      <c r="M194" s="142"/>
      <c r="N194" s="142"/>
      <c r="O194" s="142"/>
      <c r="P194" s="142"/>
      <c r="Q194" s="142"/>
    </row>
    <row r="195" spans="1:17">
      <c r="A195" s="12"/>
      <c r="B195" s="12"/>
      <c r="C195" s="12"/>
      <c r="D195" s="12"/>
      <c r="E195" s="12"/>
      <c r="F195" s="142"/>
      <c r="G195" s="142"/>
      <c r="H195" s="142"/>
      <c r="I195" s="142"/>
      <c r="J195" s="142"/>
      <c r="K195" s="142"/>
      <c r="L195" s="142"/>
      <c r="M195" s="142"/>
      <c r="N195" s="142"/>
      <c r="O195" s="142"/>
      <c r="P195" s="142"/>
      <c r="Q195" s="142"/>
    </row>
    <row r="196" spans="1:17">
      <c r="A196" s="12"/>
      <c r="B196" s="12"/>
      <c r="C196" s="12"/>
      <c r="D196" s="12"/>
      <c r="E196" s="12"/>
      <c r="F196" s="142"/>
      <c r="G196" s="142"/>
      <c r="H196" s="142"/>
      <c r="I196" s="142"/>
      <c r="J196" s="142"/>
      <c r="K196" s="142"/>
      <c r="L196" s="142"/>
      <c r="M196" s="142"/>
      <c r="N196" s="142"/>
      <c r="O196" s="142"/>
      <c r="P196" s="142"/>
      <c r="Q196" s="142"/>
    </row>
    <row r="197" spans="1:17">
      <c r="A197" s="12"/>
      <c r="B197" s="12"/>
      <c r="C197" s="12"/>
      <c r="D197" s="12"/>
      <c r="E197" s="12"/>
      <c r="F197" s="142"/>
      <c r="G197" s="142"/>
      <c r="H197" s="142"/>
      <c r="I197" s="142"/>
      <c r="J197" s="142"/>
      <c r="K197" s="142"/>
      <c r="L197" s="142"/>
      <c r="M197" s="142"/>
      <c r="N197" s="142"/>
      <c r="O197" s="142"/>
      <c r="P197" s="142"/>
      <c r="Q197" s="142"/>
    </row>
    <row r="198" spans="1:17">
      <c r="A198" s="12"/>
      <c r="B198" s="12"/>
      <c r="C198" s="12"/>
      <c r="D198" s="12"/>
      <c r="E198" s="12"/>
      <c r="F198" s="142"/>
      <c r="G198" s="142"/>
      <c r="H198" s="142"/>
      <c r="I198" s="142"/>
      <c r="J198" s="142"/>
      <c r="K198" s="142"/>
      <c r="L198" s="142"/>
      <c r="M198" s="142"/>
      <c r="N198" s="142"/>
      <c r="O198" s="142"/>
      <c r="P198" s="142"/>
      <c r="Q198" s="142"/>
    </row>
    <row r="199" spans="1:17">
      <c r="A199" s="12"/>
      <c r="B199" s="12"/>
      <c r="C199" s="12"/>
      <c r="D199" s="12"/>
      <c r="E199" s="12"/>
      <c r="F199" s="142"/>
      <c r="G199" s="142"/>
      <c r="H199" s="142"/>
      <c r="I199" s="142"/>
      <c r="J199" s="142"/>
      <c r="K199" s="142"/>
      <c r="L199" s="142"/>
      <c r="M199" s="142"/>
      <c r="N199" s="142"/>
      <c r="O199" s="142"/>
      <c r="P199" s="142"/>
      <c r="Q199" s="142"/>
    </row>
    <row r="200" spans="1:17">
      <c r="A200" s="12"/>
      <c r="B200" s="12"/>
      <c r="C200" s="12"/>
      <c r="D200" s="12"/>
      <c r="E200" s="12"/>
      <c r="F200" s="142"/>
      <c r="G200" s="142"/>
      <c r="H200" s="142"/>
      <c r="I200" s="142"/>
      <c r="J200" s="142"/>
      <c r="K200" s="142"/>
      <c r="L200" s="142"/>
      <c r="M200" s="142"/>
      <c r="N200" s="142"/>
      <c r="O200" s="142"/>
      <c r="P200" s="142"/>
      <c r="Q200" s="142"/>
    </row>
    <row r="201" spans="1:17">
      <c r="A201" s="12"/>
      <c r="B201" s="12"/>
      <c r="C201" s="12"/>
      <c r="D201" s="12"/>
      <c r="E201" s="12"/>
      <c r="F201" s="142"/>
      <c r="G201" s="142"/>
      <c r="H201" s="142"/>
      <c r="I201" s="142"/>
      <c r="J201" s="142"/>
      <c r="K201" s="142"/>
      <c r="L201" s="142"/>
      <c r="M201" s="142"/>
      <c r="N201" s="142"/>
      <c r="O201" s="142"/>
      <c r="P201" s="142"/>
      <c r="Q201" s="142"/>
    </row>
    <row r="202" spans="1:17">
      <c r="A202" s="12"/>
      <c r="B202" s="12"/>
      <c r="C202" s="12"/>
      <c r="D202" s="12"/>
      <c r="E202" s="12"/>
      <c r="F202" s="142"/>
      <c r="G202" s="142"/>
      <c r="H202" s="142"/>
      <c r="I202" s="142"/>
      <c r="J202" s="142"/>
      <c r="K202" s="142"/>
      <c r="L202" s="142"/>
      <c r="M202" s="142"/>
      <c r="N202" s="142"/>
      <c r="O202" s="142"/>
      <c r="P202" s="142"/>
      <c r="Q202" s="142"/>
    </row>
    <row r="203" spans="1:17">
      <c r="A203" s="12"/>
      <c r="B203" s="12"/>
      <c r="C203" s="12"/>
      <c r="D203" s="12"/>
      <c r="E203" s="12"/>
      <c r="F203" s="142"/>
      <c r="G203" s="142"/>
      <c r="H203" s="142"/>
      <c r="I203" s="142"/>
      <c r="J203" s="142"/>
      <c r="K203" s="142"/>
      <c r="L203" s="142"/>
      <c r="M203" s="142"/>
      <c r="N203" s="142"/>
      <c r="O203" s="142"/>
      <c r="P203" s="142"/>
      <c r="Q203" s="142"/>
    </row>
    <row r="204" spans="1:17">
      <c r="A204" s="12"/>
      <c r="B204" s="12"/>
      <c r="C204" s="12"/>
      <c r="D204" s="12"/>
      <c r="E204" s="12"/>
      <c r="F204" s="142"/>
      <c r="G204" s="142"/>
      <c r="H204" s="142"/>
      <c r="I204" s="142"/>
      <c r="J204" s="142"/>
      <c r="K204" s="142"/>
      <c r="L204" s="142"/>
      <c r="M204" s="142"/>
      <c r="N204" s="142"/>
      <c r="O204" s="142"/>
      <c r="P204" s="142"/>
      <c r="Q204" s="142"/>
    </row>
    <row r="205" spans="1:17">
      <c r="A205" s="12"/>
      <c r="B205" s="12"/>
      <c r="C205" s="12"/>
      <c r="D205" s="12"/>
      <c r="E205" s="12"/>
      <c r="F205" s="142"/>
      <c r="G205" s="142"/>
      <c r="H205" s="142"/>
      <c r="I205" s="142"/>
      <c r="J205" s="142"/>
      <c r="K205" s="142"/>
      <c r="L205" s="142"/>
      <c r="M205" s="142"/>
      <c r="N205" s="142"/>
      <c r="O205" s="142"/>
      <c r="P205" s="142"/>
      <c r="Q205" s="142"/>
    </row>
    <row r="206" spans="1:17">
      <c r="A206" s="12"/>
      <c r="B206" s="12"/>
      <c r="C206" s="12"/>
      <c r="D206" s="12"/>
      <c r="E206" s="12"/>
      <c r="F206" s="142"/>
      <c r="G206" s="142"/>
      <c r="H206" s="142"/>
      <c r="I206" s="142"/>
      <c r="J206" s="142"/>
      <c r="K206" s="142"/>
      <c r="L206" s="142"/>
      <c r="M206" s="142"/>
      <c r="N206" s="142"/>
      <c r="O206" s="142"/>
      <c r="P206" s="142"/>
      <c r="Q206" s="142"/>
    </row>
    <row r="207" spans="1:17">
      <c r="A207" s="3"/>
      <c r="B207" s="3"/>
      <c r="C207" s="3"/>
      <c r="D207" s="3"/>
      <c r="E207" s="3"/>
    </row>
    <row r="208" spans="1:17">
      <c r="A208" s="3"/>
      <c r="B208" s="3"/>
      <c r="C208" s="3"/>
      <c r="D208" s="3"/>
      <c r="E208" s="3"/>
    </row>
    <row r="209" spans="1:5">
      <c r="A209" s="3"/>
      <c r="B209" s="3"/>
      <c r="C209" s="3"/>
      <c r="D209" s="3"/>
      <c r="E209" s="3"/>
    </row>
    <row r="210" spans="1:5">
      <c r="A210" s="3"/>
      <c r="B210" s="3"/>
      <c r="C210" s="3"/>
      <c r="D210" s="3"/>
      <c r="E210" s="3"/>
    </row>
    <row r="211" spans="1:5">
      <c r="A211" s="3"/>
      <c r="B211" s="3"/>
      <c r="C211" s="3"/>
      <c r="D211" s="3"/>
      <c r="E211" s="3"/>
    </row>
    <row r="212" spans="1:5">
      <c r="A212" s="3"/>
      <c r="B212" s="3"/>
      <c r="C212" s="3"/>
      <c r="D212" s="3"/>
      <c r="E212" s="3"/>
    </row>
    <row r="213" spans="1:5">
      <c r="A213" s="3"/>
      <c r="B213" s="3"/>
      <c r="C213" s="3"/>
      <c r="D213" s="3"/>
      <c r="E213" s="3"/>
    </row>
    <row r="214" spans="1:5">
      <c r="A214" s="3"/>
      <c r="B214" s="3"/>
      <c r="C214" s="3"/>
      <c r="D214" s="3"/>
      <c r="E214" s="3"/>
    </row>
    <row r="215" spans="1:5">
      <c r="A215" s="3"/>
      <c r="B215" s="3"/>
      <c r="C215" s="3"/>
      <c r="D215" s="3"/>
      <c r="E215" s="3"/>
    </row>
    <row r="216" spans="1:5">
      <c r="A216" s="3"/>
      <c r="B216" s="3"/>
      <c r="C216" s="3"/>
      <c r="D216" s="3"/>
      <c r="E216" s="3"/>
    </row>
    <row r="217" spans="1:5">
      <c r="A217" s="3"/>
      <c r="B217" s="3"/>
      <c r="C217" s="3"/>
      <c r="D217" s="3"/>
      <c r="E217" s="3"/>
    </row>
    <row r="218" spans="1:5">
      <c r="A218" s="3"/>
      <c r="B218" s="3"/>
      <c r="C218" s="3"/>
      <c r="D218" s="3"/>
      <c r="E218" s="3"/>
    </row>
    <row r="219" spans="1:5">
      <c r="A219" s="3"/>
      <c r="B219" s="3"/>
      <c r="C219" s="3"/>
      <c r="D219" s="3"/>
      <c r="E219" s="3"/>
    </row>
    <row r="220" spans="1:5">
      <c r="A220" s="3"/>
      <c r="B220" s="3"/>
      <c r="C220" s="3"/>
      <c r="D220" s="3"/>
      <c r="E220" s="3"/>
    </row>
    <row r="221" spans="1:5">
      <c r="A221" s="3"/>
      <c r="B221" s="3"/>
      <c r="C221" s="3"/>
      <c r="D221" s="3"/>
      <c r="E221" s="3"/>
    </row>
    <row r="222" spans="1:5">
      <c r="A222" s="3"/>
      <c r="B222" s="3"/>
      <c r="C222" s="3"/>
      <c r="D222" s="3"/>
      <c r="E222" s="3"/>
    </row>
    <row r="223" spans="1:5">
      <c r="A223" s="3"/>
      <c r="B223" s="3"/>
      <c r="C223" s="3"/>
      <c r="D223" s="3"/>
      <c r="E223" s="3"/>
    </row>
    <row r="224" spans="1:5">
      <c r="A224" s="3"/>
      <c r="B224" s="3"/>
      <c r="C224" s="3"/>
      <c r="D224" s="3"/>
      <c r="E224" s="3"/>
    </row>
    <row r="225" spans="1:5">
      <c r="A225" s="3"/>
      <c r="B225" s="3"/>
      <c r="C225" s="3"/>
      <c r="D225" s="3"/>
      <c r="E225" s="3"/>
    </row>
  </sheetData>
  <conditionalFormatting sqref="D2:D124">
    <cfRule type="cellIs" dxfId="0" priority="2" operator="equal">
      <formula>TRUE</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AB915-E001-49DA-B5C3-15EE9AEAF79A}">
  <sheetPr codeName="Sheet2"/>
  <dimension ref="A1:O41"/>
  <sheetViews>
    <sheetView tabSelected="1" zoomScaleNormal="100" workbookViewId="0">
      <selection activeCell="E17" sqref="E17"/>
    </sheetView>
  </sheetViews>
  <sheetFormatPr defaultRowHeight="11.25"/>
  <cols>
    <col min="1" max="1" width="25.85546875" style="3" customWidth="1"/>
    <col min="2" max="2" width="15.5703125" style="3" customWidth="1"/>
    <col min="3" max="14" width="9.140625" style="3"/>
    <col min="15" max="15" width="18.42578125" style="3" customWidth="1"/>
    <col min="16" max="16384" width="9.140625" style="3"/>
  </cols>
  <sheetData>
    <row r="1" spans="1:9">
      <c r="D1" s="4" t="s">
        <v>201</v>
      </c>
      <c r="E1" s="23">
        <v>0.25</v>
      </c>
      <c r="F1" s="23">
        <v>0.5</v>
      </c>
      <c r="G1" s="23">
        <v>0.75</v>
      </c>
      <c r="H1" s="4" t="s">
        <v>202</v>
      </c>
      <c r="I1" s="4" t="s">
        <v>203</v>
      </c>
    </row>
    <row r="2" spans="1:9">
      <c r="A2" s="3" t="s">
        <v>133</v>
      </c>
      <c r="B2" s="11">
        <f>37+MATCH("CCC", BDNAMES2,0)-1</f>
        <v>42</v>
      </c>
      <c r="D2" s="3" cm="1">
        <f t="array" aca="1" ref="D2" ca="1">VALUE(INDIRECT("Data!"&amp;ADDRESS($B2,4)))</f>
        <v>-43.534710413897685</v>
      </c>
      <c r="E2" s="3" cm="1">
        <f t="array" aca="1" ref="E2" ca="1">VALUE(INDIRECT("Data!"&amp;ADDRESS($B2,6)))</f>
        <v>7.1229982332690618</v>
      </c>
      <c r="F2" s="3" cm="1">
        <f t="array" aca="1" ref="F2" ca="1">VALUE(INDIRECT("Data!"&amp;ADDRESS($B2,7)))</f>
        <v>25.723009181342967</v>
      </c>
      <c r="G2" s="3" cm="1">
        <f t="array" aca="1" ref="G2" ca="1">VALUE(INDIRECT("Data!"&amp;ADDRESS($B2,8)))</f>
        <v>42.996051216460472</v>
      </c>
      <c r="H2" s="3" cm="1">
        <f t="array" aca="1" ref="H2" ca="1">VALUE(INDIRECT("Data!"&amp;ADDRESS($B2,10)))</f>
        <v>63.451308722795943</v>
      </c>
      <c r="I2" s="3" cm="1">
        <f t="array" aca="1" ref="I2" ca="1">VALUE(INDIRECT("Data!"&amp;ADDRESS($B2,11)))</f>
        <v>12.73427883531177</v>
      </c>
    </row>
    <row r="3" spans="1:9">
      <c r="D3" s="12">
        <f ca="1">IF($I2&lt;=D2,1,0)</f>
        <v>0</v>
      </c>
      <c r="E3" s="12">
        <f ca="1">IF($I2&lt;=E2,1,0)</f>
        <v>0</v>
      </c>
      <c r="F3" s="12">
        <f ca="1">IF($I2&lt;=F2,1,0)</f>
        <v>1</v>
      </c>
      <c r="G3" s="12">
        <f ca="1">IF($I2&lt;=G2,1,0)</f>
        <v>1</v>
      </c>
      <c r="H3" s="12">
        <f ca="1">IF($I2&lt;=H2,1,0)</f>
        <v>1</v>
      </c>
    </row>
    <row r="4" spans="1:9">
      <c r="A4" s="3" t="s">
        <v>139</v>
      </c>
      <c r="C4" s="24">
        <f ca="1">SUM(D3:H3)</f>
        <v>3</v>
      </c>
      <c r="D4" s="3" t="str" cm="1">
        <f t="array" aca="1" ref="D4" ca="1">INDIRECT(ADDRESS(6+C4,3))</f>
        <v>M</v>
      </c>
    </row>
    <row r="6" spans="1:9">
      <c r="B6" s="12">
        <v>0</v>
      </c>
      <c r="C6" s="12" t="s">
        <v>145</v>
      </c>
    </row>
    <row r="7" spans="1:9">
      <c r="B7" s="12">
        <v>1</v>
      </c>
      <c r="C7" s="12" t="s">
        <v>146</v>
      </c>
    </row>
    <row r="8" spans="1:9">
      <c r="B8" s="12">
        <v>2</v>
      </c>
      <c r="C8" s="12" t="s">
        <v>147</v>
      </c>
    </row>
    <row r="9" spans="1:9">
      <c r="B9" s="12">
        <v>3</v>
      </c>
      <c r="C9" s="12" t="s">
        <v>143</v>
      </c>
    </row>
    <row r="10" spans="1:9">
      <c r="B10" s="12">
        <v>4</v>
      </c>
      <c r="C10" s="12" t="s">
        <v>144</v>
      </c>
    </row>
    <row r="11" spans="1:9">
      <c r="B11" s="12">
        <v>5</v>
      </c>
      <c r="C11" s="12" t="s">
        <v>148</v>
      </c>
    </row>
    <row r="12" spans="1:9">
      <c r="B12" s="12">
        <v>6</v>
      </c>
      <c r="C12" s="12" t="s">
        <v>459</v>
      </c>
    </row>
    <row r="13" spans="1:9">
      <c r="B13" s="12">
        <v>7</v>
      </c>
      <c r="C13" s="12" t="s">
        <v>459</v>
      </c>
    </row>
    <row r="16" spans="1:9" s="13" customFormat="1">
      <c r="A16" s="13" t="s">
        <v>155</v>
      </c>
      <c r="D16" s="14">
        <v>-0.2</v>
      </c>
      <c r="E16" s="15">
        <v>0.2</v>
      </c>
    </row>
    <row r="17" spans="1:15">
      <c r="A17" s="3" t="s">
        <v>156</v>
      </c>
      <c r="C17" s="3">
        <f ca="1">C22</f>
        <v>0</v>
      </c>
      <c r="D17" s="3">
        <f ca="1">ROUND(C17*0.8,0)</f>
        <v>0</v>
      </c>
      <c r="E17" s="3">
        <f ca="1">ROUND(C17*1.2,0)</f>
        <v>0</v>
      </c>
      <c r="F17" s="3" t="str">
        <f ca="1" xml:space="preserve"> "$" &amp; D17 &amp; "M - $" &amp; E17 &amp; "M"</f>
        <v>$0M - $0M</v>
      </c>
      <c r="H17" s="141"/>
      <c r="I17" s="3">
        <f ca="1">ROUND(C17,4)</f>
        <v>0</v>
      </c>
      <c r="J17" s="141" t="s">
        <v>161</v>
      </c>
      <c r="K17" s="141" t="s">
        <v>18</v>
      </c>
      <c r="L17" s="3">
        <f ca="1">MAX($I$17:$I$19)</f>
        <v>515.89710000000002</v>
      </c>
      <c r="M17" s="3" t="str">
        <f ca="1">VLOOKUP(L17,$I$17:$J$19,2)</f>
        <v>AP</v>
      </c>
      <c r="O17" s="3" t="str">
        <f ca="1">IF(L20=0,"",(IF(L20=1,M17,IF(L20=2,M17&amp;" and "&amp;M18,M17&amp;", "&amp;M18&amp;", and "&amp;M19))) &amp; " performance")</f>
        <v>AP and Inventory performance</v>
      </c>
    </row>
    <row r="18" spans="1:15">
      <c r="A18" s="3" t="s">
        <v>157</v>
      </c>
      <c r="C18" s="3">
        <f ca="1">C23</f>
        <v>76.472127311816578</v>
      </c>
      <c r="D18" s="3">
        <f ca="1">ROUND(C18*0.8,0)</f>
        <v>61</v>
      </c>
      <c r="E18" s="3">
        <f ca="1">ROUND(C18*1.2,0)</f>
        <v>92</v>
      </c>
      <c r="F18" s="3" t="str">
        <f ca="1" xml:space="preserve"> "$" &amp; D18 &amp; "M - $" &amp; E18 &amp; "M"</f>
        <v>$61M - $92M</v>
      </c>
      <c r="H18" s="141"/>
      <c r="I18" s="3">
        <f ca="1">ROUND(C18,4)</f>
        <v>76.472099999999998</v>
      </c>
      <c r="J18" s="141" t="s">
        <v>218</v>
      </c>
      <c r="K18" s="141" t="s">
        <v>506</v>
      </c>
      <c r="L18" s="3">
        <f ca="1">LARGE($I$17:$I$19,2)</f>
        <v>76.472099999999998</v>
      </c>
      <c r="M18" s="3" t="str">
        <f ca="1">VLOOKUP(L18,$I$17:$J$19,2)</f>
        <v>Inventory</v>
      </c>
      <c r="O18" s="3" t="str">
        <f ca="1">IF(C18&gt;0, "  Inventory Rationalization and SKU optimization and Forecasting will help them improve their DIO.", "")</f>
        <v xml:space="preserve">  Inventory Rationalization and SKU optimization and Forecasting will help them improve their DIO.</v>
      </c>
    </row>
    <row r="19" spans="1:15">
      <c r="A19" s="3" t="s">
        <v>158</v>
      </c>
      <c r="C19" s="3">
        <f ca="1">C24</f>
        <v>515.89714765702308</v>
      </c>
      <c r="D19" s="3">
        <f ca="1">ROUND(C19*0.8,0)</f>
        <v>413</v>
      </c>
      <c r="E19" s="3">
        <f ca="1">ROUND(C19*1.2,0)</f>
        <v>619</v>
      </c>
      <c r="F19" s="3" t="str">
        <f ca="1" xml:space="preserve"> "$" &amp; D19 &amp; "M - $" &amp; E19 &amp; "M"</f>
        <v>$413M - $619M</v>
      </c>
      <c r="H19" s="141"/>
      <c r="I19" s="3">
        <f ca="1">ROUND(C19,4)</f>
        <v>515.89710000000002</v>
      </c>
      <c r="J19" s="141" t="s">
        <v>98</v>
      </c>
      <c r="K19" s="141" t="s">
        <v>17</v>
      </c>
      <c r="L19" s="3">
        <f ca="1">MIN($I$17:$I$19)</f>
        <v>0</v>
      </c>
      <c r="M19" s="3" t="str">
        <f ca="1">VLOOKUP(L19,$I$17:$J$19,2)</f>
        <v>AR</v>
      </c>
      <c r="O19" s="3" t="str">
        <f ca="1">IF(AND($C$17&gt;0, $C$19=0), "  Negotiating credit terms with customers will allow them to improve their  DSO.", "")</f>
        <v/>
      </c>
    </row>
    <row r="20" spans="1:15">
      <c r="A20" s="3" t="s">
        <v>159</v>
      </c>
      <c r="C20" s="3">
        <f ca="1">SUM(C17:C19)</f>
        <v>592.3692749688397</v>
      </c>
      <c r="D20" s="3">
        <f ca="1">SUM(D17:D19)</f>
        <v>474</v>
      </c>
      <c r="E20" s="3">
        <f ca="1">ROUND(C20*1.2,0)</f>
        <v>711</v>
      </c>
      <c r="F20" s="3" t="str">
        <f ca="1" xml:space="preserve"> "$" &amp; D20 &amp; "M - $" &amp; E20 &amp; "M"</f>
        <v>$474M - $711M</v>
      </c>
      <c r="L20" s="3">
        <f ca="1">IF(L19&gt;0,3, IF(L18&gt;0,2, IF(L17&gt;0, 1, 0)))</f>
        <v>2</v>
      </c>
      <c r="O20" s="3" t="str">
        <f ca="1">IF(AND($C$17=0, $C$19&gt;0), "  Negotiating credit terms with suppliers will allow them to improve their DPO.", "")</f>
        <v xml:space="preserve">  Negotiating credit terms with suppliers will allow them to improve their DPO.</v>
      </c>
    </row>
    <row r="21" spans="1:15" s="13" customFormat="1">
      <c r="O21" s="3" t="str">
        <f ca="1">IF(AND($C$17&gt;0, $C$19&gt;0), "  Negotiating credit terms with suppliers as well as customers will allow them to improve their DPO and DSO.", "")</f>
        <v/>
      </c>
    </row>
    <row r="22" spans="1:15" s="16" customFormat="1">
      <c r="A22" s="16" t="s">
        <v>160</v>
      </c>
      <c r="C22" s="16">
        <f ca="1">MAX(0,(C25-C26)*C27)</f>
        <v>0</v>
      </c>
      <c r="D22" s="16" t="s">
        <v>204</v>
      </c>
    </row>
    <row r="23" spans="1:15" s="17" customFormat="1">
      <c r="A23" s="17" t="s">
        <v>212</v>
      </c>
      <c r="C23" s="17">
        <f ca="1">MAX(0, (C30-C31)*C32)</f>
        <v>76.472127311816578</v>
      </c>
      <c r="D23" s="17" t="s">
        <v>211</v>
      </c>
    </row>
    <row r="24" spans="1:15" s="18" customFormat="1">
      <c r="A24" s="18" t="s">
        <v>221</v>
      </c>
      <c r="C24" s="18">
        <f ca="1">MAX(0, (C36-C37)*C32)</f>
        <v>515.89714765702308</v>
      </c>
      <c r="D24" s="18" t="s">
        <v>220</v>
      </c>
    </row>
    <row r="25" spans="1:15" s="16" customFormat="1">
      <c r="A25" s="16" t="s">
        <v>93</v>
      </c>
      <c r="C25" s="16" cm="1">
        <f t="array" aca="1" ref="C25" ca="1">VALUE(INDIRECT("Data!" &amp; ADDRESS(B28,11)))</f>
        <v>24.148544471292102</v>
      </c>
      <c r="D25" s="16" t="s">
        <v>205</v>
      </c>
    </row>
    <row r="26" spans="1:15" s="16" customFormat="1">
      <c r="A26" s="16" t="s">
        <v>140</v>
      </c>
      <c r="C26" s="16" cm="1">
        <f t="array" aca="1" ref="C26" ca="1">VALUE(INDIRECT("Data!" &amp; ADDRESS(B28,6)))</f>
        <v>26.938795591028924</v>
      </c>
      <c r="D26" s="16" t="s">
        <v>206</v>
      </c>
    </row>
    <row r="27" spans="1:15" s="16" customFormat="1">
      <c r="A27" s="16" t="s">
        <v>208</v>
      </c>
      <c r="C27" s="16" cm="1">
        <f t="array" aca="1" ref="C27" ca="1">VALUE(INDIRECT("Data!" &amp; ADDRESS(Data!B22,B29)))</f>
        <v>23.81095890410959</v>
      </c>
      <c r="D27" s="16" t="s">
        <v>207</v>
      </c>
    </row>
    <row r="28" spans="1:15" s="16" customFormat="1">
      <c r="A28" s="16" t="s">
        <v>209</v>
      </c>
      <c r="B28" s="11">
        <f>37+MATCH("DSO", Data!$A$37:$A$60,0)-1</f>
        <v>41</v>
      </c>
    </row>
    <row r="29" spans="1:15" s="16" customFormat="1">
      <c r="A29" s="16" t="s">
        <v>210</v>
      </c>
      <c r="B29" s="11">
        <f>MATCH("ONEDAYSALES", Data!$A$1:$DW$1,0)</f>
        <v>118</v>
      </c>
    </row>
    <row r="30" spans="1:15" s="17" customFormat="1">
      <c r="A30" s="17" t="s">
        <v>135</v>
      </c>
      <c r="C30" s="17">
        <f ca="1">IF(C34=0,0,((C33/C34)*365))</f>
        <v>55.852951510892481</v>
      </c>
      <c r="D30" s="17" t="s">
        <v>213</v>
      </c>
    </row>
    <row r="31" spans="1:15" s="17" customFormat="1">
      <c r="A31" s="17" t="s">
        <v>142</v>
      </c>
      <c r="C31" s="17" cm="1">
        <f t="array" aca="1" ref="C31" ca="1">VALUE(INDIRECT("Data!" &amp; ADDRESS(B35,6)))</f>
        <v>50.949169629512816</v>
      </c>
      <c r="D31" s="17" t="s">
        <v>214</v>
      </c>
    </row>
    <row r="32" spans="1:15" s="17" customFormat="1">
      <c r="A32" s="17" t="s">
        <v>208</v>
      </c>
      <c r="C32" s="17">
        <f ca="1">C34/365</f>
        <v>15.594520547945205</v>
      </c>
      <c r="D32" s="17" t="s">
        <v>215</v>
      </c>
    </row>
    <row r="33" spans="1:4">
      <c r="A33" s="16" t="s">
        <v>218</v>
      </c>
      <c r="B33" s="11">
        <f>MATCH(A33, Data!$A$1:$DW$1,0)</f>
        <v>22</v>
      </c>
      <c r="C33" s="16" cm="1">
        <f t="array" aca="1" ref="C33" ca="1">VALUE(INDIRECT("Data!" &amp; ADDRESS(Data!$B$22,B33)))</f>
        <v>871</v>
      </c>
      <c r="D33" s="16" t="s">
        <v>216</v>
      </c>
    </row>
    <row r="34" spans="1:4">
      <c r="A34" s="19" t="s">
        <v>97</v>
      </c>
      <c r="B34" s="11">
        <f>MATCH(A34, Data!$A$1:$DW$1,0)</f>
        <v>20</v>
      </c>
      <c r="C34" s="16" cm="1">
        <f t="array" aca="1" ref="C34" ca="1">VALUE(INDIRECT("Data!" &amp; ADDRESS(Data!$B$22,B34)))</f>
        <v>5692</v>
      </c>
      <c r="D34" s="16" t="s">
        <v>217</v>
      </c>
    </row>
    <row r="35" spans="1:4" s="16" customFormat="1">
      <c r="A35" s="16" t="s">
        <v>219</v>
      </c>
      <c r="B35" s="11">
        <f>37+MATCH("DIO", Data!$A$37:$A$60,0)-1</f>
        <v>39</v>
      </c>
    </row>
    <row r="36" spans="1:4" s="18" customFormat="1">
      <c r="A36" s="20" t="s">
        <v>141</v>
      </c>
      <c r="B36" s="21"/>
      <c r="C36" s="21" cm="1">
        <f t="array" aca="1" ref="C36" ca="1">VALUE(INDIRECT("Data!" &amp; ADDRESS(B38,8)))</f>
        <v>100.34916705811902</v>
      </c>
      <c r="D36" s="20" t="s">
        <v>222</v>
      </c>
    </row>
    <row r="37" spans="1:4" s="18" customFormat="1">
      <c r="A37" s="22" t="s">
        <v>136</v>
      </c>
      <c r="B37" s="21"/>
      <c r="C37" s="20">
        <f ca="1">IF(C34=0, 0, ((C39/C34)*365))</f>
        <v>67.26721714687281</v>
      </c>
      <c r="D37" s="20" t="s">
        <v>223</v>
      </c>
    </row>
    <row r="38" spans="1:4" s="18" customFormat="1">
      <c r="A38" s="20" t="s">
        <v>224</v>
      </c>
      <c r="B38" s="21">
        <f>37+MATCH("DPO", Data!$A$37:$A$60,0)-1</f>
        <v>40</v>
      </c>
      <c r="C38" s="20"/>
      <c r="D38" s="20"/>
    </row>
    <row r="39" spans="1:4" s="18" customFormat="1">
      <c r="A39" s="20" t="s">
        <v>98</v>
      </c>
      <c r="B39" s="21">
        <f>MATCH(A39, Data!$A$1:$DW$1,0)</f>
        <v>23</v>
      </c>
      <c r="C39" s="20" cm="1">
        <f t="array" aca="1" ref="C39" ca="1">VALUE(INDIRECT("Data!" &amp; ADDRESS(Data!$B$22,B39)))</f>
        <v>1049</v>
      </c>
      <c r="D39" s="20" t="s">
        <v>225</v>
      </c>
    </row>
    <row r="41" spans="1:4">
      <c r="A41" s="3" t="s">
        <v>505</v>
      </c>
      <c r="B41" s="3" t="str">
        <f ca="1">IF(C20&gt;0, O17 &amp; "." &amp; O21 &amp; O20 &amp; O19 &amp; O18)</f>
        <v>AP and Inventory performance.  Negotiating credit terms with suppliers will allow them to improve their DPO.  Inventory Rationalization and SKU optimization and Forecasting will help them improve their DIO.</v>
      </c>
    </row>
  </sheetData>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A7C44-FB78-4678-9FE9-99FF921F3544}">
  <sheetPr codeName="Sheet14"/>
  <dimension ref="A1:P15"/>
  <sheetViews>
    <sheetView workbookViewId="0">
      <selection activeCell="J15" sqref="J15"/>
    </sheetView>
  </sheetViews>
  <sheetFormatPr defaultRowHeight="11.25"/>
  <cols>
    <col min="1" max="1" width="34.28515625" style="3" customWidth="1"/>
    <col min="2" max="16384" width="9.140625" style="3"/>
  </cols>
  <sheetData>
    <row r="1" spans="1:16">
      <c r="A1" s="106" t="s">
        <v>292</v>
      </c>
      <c r="B1" s="4" t="s">
        <v>301</v>
      </c>
      <c r="C1" s="4" t="s">
        <v>300</v>
      </c>
      <c r="D1" s="4" t="s">
        <v>299</v>
      </c>
      <c r="F1" s="4" t="s">
        <v>2</v>
      </c>
      <c r="G1" s="4" t="s">
        <v>1</v>
      </c>
      <c r="H1" s="4" t="s">
        <v>0</v>
      </c>
      <c r="O1" s="3" t="s">
        <v>12</v>
      </c>
      <c r="P1" s="3">
        <v>40</v>
      </c>
    </row>
    <row r="2" spans="1:16">
      <c r="A2" s="3" t="str">
        <f>"Pharmaceuticals, " &amp; CHAR(10) &amp; "Biotechnology, and " &amp; CHAR(10) &amp; "Life Sciences"</f>
        <v>Pharmaceuticals, 
Biotechnology, and 
Life Sciences</v>
      </c>
      <c r="B2" s="3">
        <f t="shared" ref="B2:B15" si="0">F2-G2</f>
        <v>37</v>
      </c>
      <c r="C2" s="3">
        <f t="shared" ref="C2:C15" si="1">G2-H2</f>
        <v>23</v>
      </c>
      <c r="D2" s="3">
        <v>101</v>
      </c>
      <c r="F2" s="3">
        <v>161</v>
      </c>
      <c r="G2" s="3">
        <v>124</v>
      </c>
      <c r="H2" s="3">
        <v>101</v>
      </c>
      <c r="O2" s="3" t="s">
        <v>13</v>
      </c>
      <c r="P2" s="3">
        <v>200</v>
      </c>
    </row>
    <row r="3" spans="1:16">
      <c r="A3" s="3" t="str">
        <f>"Consumer Durables" &amp; CHAR(10) &amp; "and Apparel"</f>
        <v>Consumer Durables
and Apparel</v>
      </c>
      <c r="B3" s="3">
        <f t="shared" si="0"/>
        <v>89</v>
      </c>
      <c r="C3" s="3">
        <f t="shared" si="1"/>
        <v>44</v>
      </c>
      <c r="D3" s="3">
        <v>63</v>
      </c>
      <c r="F3" s="3">
        <v>196</v>
      </c>
      <c r="G3" s="3">
        <v>107</v>
      </c>
      <c r="H3" s="3">
        <v>63</v>
      </c>
      <c r="O3" s="3" t="s">
        <v>14</v>
      </c>
      <c r="P3" s="100">
        <v>1</v>
      </c>
    </row>
    <row r="4" spans="1:16">
      <c r="A4" s="3" t="str">
        <f>"Semiconductors and" &amp; CHAR(10) &amp; "Semiconductor Equipment"</f>
        <v>Semiconductors and
Semiconductor Equipment</v>
      </c>
      <c r="B4" s="3">
        <f t="shared" si="0"/>
        <v>25</v>
      </c>
      <c r="C4" s="3">
        <f t="shared" si="1"/>
        <v>44</v>
      </c>
      <c r="D4" s="3">
        <v>61</v>
      </c>
      <c r="F4" s="3">
        <v>130</v>
      </c>
      <c r="G4" s="3">
        <v>105</v>
      </c>
      <c r="H4" s="3">
        <v>61</v>
      </c>
      <c r="O4" s="3" t="s">
        <v>15</v>
      </c>
      <c r="P4" s="100">
        <v>1</v>
      </c>
    </row>
    <row r="5" spans="1:16" ht="13.5">
      <c r="A5" s="3" t="s">
        <v>293</v>
      </c>
      <c r="B5" s="3">
        <f t="shared" si="0"/>
        <v>41</v>
      </c>
      <c r="C5" s="3">
        <f t="shared" si="1"/>
        <v>35</v>
      </c>
      <c r="D5" s="3">
        <v>41</v>
      </c>
      <c r="F5" s="3">
        <v>117</v>
      </c>
      <c r="G5" s="3">
        <v>76</v>
      </c>
      <c r="H5" s="3">
        <v>41</v>
      </c>
      <c r="O5" s="3" t="s">
        <v>303</v>
      </c>
      <c r="P5" s="3" t="s">
        <v>302</v>
      </c>
    </row>
    <row r="6" spans="1:16">
      <c r="A6" s="3" t="s">
        <v>294</v>
      </c>
      <c r="B6" s="3">
        <f t="shared" si="0"/>
        <v>28</v>
      </c>
      <c r="C6" s="3">
        <f t="shared" si="1"/>
        <v>26</v>
      </c>
      <c r="D6" s="3">
        <v>45</v>
      </c>
      <c r="F6" s="3">
        <v>99</v>
      </c>
      <c r="G6" s="3">
        <v>71</v>
      </c>
      <c r="H6" s="3">
        <v>45</v>
      </c>
      <c r="O6" s="3" t="s">
        <v>304</v>
      </c>
      <c r="P6" s="3">
        <v>78</v>
      </c>
    </row>
    <row r="7" spans="1:16">
      <c r="A7" s="3" t="str">
        <f>"Technology Hardware" &amp; CHAR(10) &amp; "and Equipment"</f>
        <v>Technology Hardware
and Equipment</v>
      </c>
      <c r="B7" s="3">
        <f t="shared" si="0"/>
        <v>22</v>
      </c>
      <c r="C7" s="3">
        <f t="shared" si="1"/>
        <v>34</v>
      </c>
      <c r="D7" s="3">
        <v>31</v>
      </c>
      <c r="F7" s="3">
        <v>87</v>
      </c>
      <c r="G7" s="3">
        <v>65</v>
      </c>
      <c r="H7" s="3">
        <v>31</v>
      </c>
      <c r="O7" s="3" t="s">
        <v>306</v>
      </c>
      <c r="P7" s="3">
        <v>55</v>
      </c>
    </row>
    <row r="8" spans="1:16">
      <c r="A8" s="3" t="str">
        <f>"Healthcare Equipment" &amp; CHAR(10) &amp; "and Services"</f>
        <v>Healthcare Equipment
and Services</v>
      </c>
      <c r="B8" s="3">
        <f t="shared" si="0"/>
        <v>81</v>
      </c>
      <c r="C8" s="3">
        <f t="shared" si="1"/>
        <v>59</v>
      </c>
      <c r="D8" s="3">
        <v>2</v>
      </c>
      <c r="F8" s="3">
        <v>142</v>
      </c>
      <c r="G8" s="3">
        <v>61</v>
      </c>
      <c r="H8" s="3">
        <v>2</v>
      </c>
      <c r="O8" s="3" t="s">
        <v>305</v>
      </c>
    </row>
    <row r="9" spans="1:16">
      <c r="A9" s="3" t="str">
        <f>"Food, Beverage" &amp; CHAR(10) &amp; "and Tobacco"</f>
        <v>Food, Beverage
and Tobacco</v>
      </c>
      <c r="B9" s="3">
        <f t="shared" si="0"/>
        <v>47</v>
      </c>
      <c r="C9" s="3">
        <f t="shared" si="1"/>
        <v>35</v>
      </c>
      <c r="D9" s="3">
        <v>16</v>
      </c>
      <c r="F9" s="3">
        <v>98</v>
      </c>
      <c r="G9" s="3">
        <v>51</v>
      </c>
      <c r="H9" s="3">
        <v>16</v>
      </c>
      <c r="O9" s="3" t="s">
        <v>307</v>
      </c>
      <c r="P9" s="3">
        <v>14</v>
      </c>
    </row>
    <row r="10" spans="1:16">
      <c r="A10" s="3" t="s">
        <v>295</v>
      </c>
      <c r="B10" s="3">
        <f t="shared" si="0"/>
        <v>28</v>
      </c>
      <c r="C10" s="3">
        <f t="shared" si="1"/>
        <v>45</v>
      </c>
      <c r="D10" s="3">
        <v>0</v>
      </c>
      <c r="F10" s="3">
        <v>73</v>
      </c>
      <c r="G10" s="3">
        <v>45</v>
      </c>
      <c r="H10" s="3">
        <v>0</v>
      </c>
      <c r="O10" s="3" t="s">
        <v>308</v>
      </c>
      <c r="P10" s="3">
        <v>2</v>
      </c>
    </row>
    <row r="11" spans="1:16">
      <c r="A11" s="3" t="str">
        <f>"Household and" &amp; CHAR(10) &amp; "Personal Products"</f>
        <v>Household and
Personal Products</v>
      </c>
      <c r="B11" s="3">
        <f t="shared" si="0"/>
        <v>68</v>
      </c>
      <c r="C11" s="3">
        <f t="shared" si="1"/>
        <v>25</v>
      </c>
      <c r="D11" s="3">
        <v>4</v>
      </c>
      <c r="F11" s="3">
        <v>97</v>
      </c>
      <c r="G11" s="3">
        <v>29</v>
      </c>
      <c r="H11" s="3">
        <v>4</v>
      </c>
    </row>
    <row r="12" spans="1:16">
      <c r="A12" s="3" t="str">
        <f>"Automobiles and" &amp; CHAR(10) &amp; "Components"</f>
        <v>Automobiles and
Components</v>
      </c>
      <c r="B12" s="3">
        <f t="shared" si="0"/>
        <v>21</v>
      </c>
      <c r="C12" s="3">
        <f t="shared" si="1"/>
        <v>27</v>
      </c>
      <c r="D12" s="3">
        <v>0</v>
      </c>
      <c r="F12" s="3">
        <v>48</v>
      </c>
      <c r="G12" s="3">
        <v>27</v>
      </c>
      <c r="H12" s="3">
        <v>0</v>
      </c>
    </row>
    <row r="13" spans="1:16">
      <c r="A13" s="3" t="s">
        <v>296</v>
      </c>
      <c r="B13" s="3">
        <f t="shared" si="0"/>
        <v>39</v>
      </c>
      <c r="C13" s="3">
        <f t="shared" si="1"/>
        <v>23</v>
      </c>
      <c r="D13" s="3">
        <v>0</v>
      </c>
      <c r="F13" s="3">
        <v>62</v>
      </c>
      <c r="G13" s="3">
        <v>23</v>
      </c>
      <c r="H13" s="3">
        <v>0</v>
      </c>
    </row>
    <row r="14" spans="1:16">
      <c r="A14" s="3" t="s">
        <v>297</v>
      </c>
      <c r="B14" s="3">
        <f t="shared" si="0"/>
        <v>19</v>
      </c>
      <c r="C14" s="3">
        <f t="shared" si="1"/>
        <v>21</v>
      </c>
      <c r="D14" s="3">
        <v>0</v>
      </c>
      <c r="F14" s="3">
        <v>40</v>
      </c>
      <c r="G14" s="3">
        <v>21</v>
      </c>
      <c r="H14" s="3">
        <v>0</v>
      </c>
    </row>
    <row r="15" spans="1:16">
      <c r="A15" s="3" t="s">
        <v>298</v>
      </c>
      <c r="B15" s="3">
        <f t="shared" si="0"/>
        <v>14</v>
      </c>
      <c r="C15" s="3">
        <f t="shared" si="1"/>
        <v>10</v>
      </c>
      <c r="D15" s="3">
        <v>0</v>
      </c>
      <c r="F15" s="3">
        <v>24</v>
      </c>
      <c r="G15" s="3">
        <v>10</v>
      </c>
      <c r="H15" s="3">
        <v>0</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rocessCashConversionByIndustryPage2">
                <anchor moveWithCells="1" sizeWithCells="1">
                  <from>
                    <xdr:col>0</xdr:col>
                    <xdr:colOff>66675</xdr:colOff>
                    <xdr:row>25</xdr:row>
                    <xdr:rowOff>114300</xdr:rowOff>
                  </from>
                  <to>
                    <xdr:col>0</xdr:col>
                    <xdr:colOff>1362075</xdr:colOff>
                    <xdr:row>27</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073-612B-46FA-91E6-AF3BD34A8FA6}">
  <sheetPr codeName="Sheet9"/>
  <dimension ref="A1:H18"/>
  <sheetViews>
    <sheetView workbookViewId="0">
      <selection activeCell="L10" sqref="L10"/>
    </sheetView>
  </sheetViews>
  <sheetFormatPr defaultRowHeight="11.25"/>
  <cols>
    <col min="1" max="1" width="9.140625" style="3"/>
    <col min="2" max="2" width="22.7109375" style="3" customWidth="1"/>
    <col min="3" max="4" width="9.140625" style="3"/>
    <col min="5" max="5" width="53.140625" style="3" customWidth="1"/>
    <col min="6" max="6" width="13" style="3" customWidth="1"/>
    <col min="7" max="16384" width="9.140625" style="3"/>
  </cols>
  <sheetData>
    <row r="1" spans="1:8">
      <c r="B1" s="4" t="s">
        <v>226</v>
      </c>
      <c r="C1" s="4" t="s">
        <v>693</v>
      </c>
      <c r="D1" s="4" t="s">
        <v>227</v>
      </c>
      <c r="E1" s="4" t="s">
        <v>309</v>
      </c>
      <c r="F1" s="4" t="s">
        <v>692</v>
      </c>
      <c r="G1" s="4" t="s">
        <v>96</v>
      </c>
      <c r="H1" s="4" t="s">
        <v>780</v>
      </c>
    </row>
    <row r="2" spans="1:8">
      <c r="A2" s="3" t="s">
        <v>149</v>
      </c>
      <c r="B2" s="12">
        <f t="shared" ref="B2:G2" si="0">MATCH(B1, SKCOLNAMES,0)</f>
        <v>3</v>
      </c>
      <c r="C2" s="12">
        <f t="shared" si="0"/>
        <v>116</v>
      </c>
      <c r="D2" s="12">
        <f t="shared" si="0"/>
        <v>6</v>
      </c>
      <c r="E2" s="12">
        <f t="shared" si="0"/>
        <v>136</v>
      </c>
      <c r="F2" s="12">
        <f t="shared" si="0"/>
        <v>137</v>
      </c>
      <c r="G2" s="12">
        <f t="shared" si="0"/>
        <v>10</v>
      </c>
      <c r="H2" s="12">
        <f t="shared" ref="H2" si="1">MATCH(H1, SKCOLNAMES,0)</f>
        <v>131</v>
      </c>
    </row>
    <row r="3" spans="1:8">
      <c r="A3" s="3">
        <v>2</v>
      </c>
      <c r="B3" s="3" t="str" cm="1">
        <f t="array" aca="1" ref="B3" ca="1">INDIRECT("Data!" &amp; ADDRESS($A3,B$2))</f>
        <v>BRF SA</v>
      </c>
      <c r="C3" s="3" cm="1">
        <f t="array" aca="1" ref="C3" ca="1">INDIRECT("Data!" &amp; ADDRESS($A3,C$2))</f>
        <v>2021</v>
      </c>
      <c r="D3" s="3" cm="1">
        <f t="array" aca="1" ref="D3" ca="1">INDIRECT("Data!" &amp; ADDRESS($A3,D$2))</f>
        <v>2011</v>
      </c>
      <c r="E3" s="3" t="str" cm="1">
        <f t="array" aca="1" ref="E3" ca="1">INDIRECT("Data!" &amp; ADDRESS($A3,E$2))</f>
        <v>Meat Packing Plants</v>
      </c>
      <c r="F3" s="3" t="str" cm="1">
        <f t="array" aca="1" ref="F3" ca="1">INDIRECT("Data!" &amp; ADDRESS($A3,F$2))</f>
        <v>BRAZIL</v>
      </c>
      <c r="G3" s="159" t="str" cm="1">
        <f t="array" aca="1" ref="G3" ca="1">TEXT(ROUND(INDIRECT("Data!" &amp; ADDRESS($A3,G$2)),0),"#,#") &amp; " "</f>
        <v xml:space="preserve">8,679 </v>
      </c>
      <c r="H3" s="3" t="b" cm="1">
        <f t="array" aca="1" ref="H3" ca="1">INDIRECT("Data!" &amp; ADDRESS($A3,H$2))</f>
        <v>0</v>
      </c>
    </row>
    <row r="4" spans="1:8">
      <c r="A4" s="3">
        <f t="shared" ref="A4:A18" si="2">A3+1</f>
        <v>3</v>
      </c>
      <c r="B4" s="3" t="str" cm="1">
        <f t="array" aca="1" ref="B4" ca="1">INDIRECT("Data!" &amp; ADDRESS($A4,B$2))</f>
        <v>CAMPBELL SOUP CO</v>
      </c>
      <c r="C4" s="3" cm="1">
        <f t="array" aca="1" ref="C4" ca="1">INDIRECT("Data!" &amp; ADDRESS($A4,C$2))</f>
        <v>2020</v>
      </c>
      <c r="D4" s="3" cm="1">
        <f t="array" aca="1" ref="D4" ca="1">INDIRECT("Data!" &amp; ADDRESS($A4,D$2))</f>
        <v>2000</v>
      </c>
      <c r="E4" s="3" t="str" cm="1">
        <f t="array" aca="1" ref="E4" ca="1">INDIRECT("Data!" &amp; ADDRESS($A4,E$2))</f>
        <v>Food And Kindred Products</v>
      </c>
      <c r="F4" s="3" t="str" cm="1">
        <f t="array" aca="1" ref="F4" ca="1">INDIRECT("Data!" &amp; ADDRESS($A4,F$2))</f>
        <v>UNITED STATES</v>
      </c>
      <c r="G4" s="159" t="str" cm="1">
        <f t="array" aca="1" ref="G4" ca="1">TEXT(ROUND(INDIRECT("Data!" &amp; ADDRESS($A4,G$2)),0),"#,#") &amp; " "</f>
        <v xml:space="preserve">8,691 </v>
      </c>
      <c r="H4" s="3" t="b" cm="1">
        <f t="array" aca="1" ref="H4" ca="1">INDIRECT("Data!" &amp; ADDRESS($A4,H$2))</f>
        <v>1</v>
      </c>
    </row>
    <row r="5" spans="1:8">
      <c r="A5" s="3">
        <f t="shared" si="2"/>
        <v>4</v>
      </c>
      <c r="B5" s="3" t="str" cm="1">
        <f t="array" aca="1" ref="B5" ca="1">INDIRECT("Data!" &amp; ADDRESS($A5,B$2))</f>
        <v>CONAGRA BRANDS INC</v>
      </c>
      <c r="C5" s="3" cm="1">
        <f t="array" aca="1" ref="C5" ca="1">INDIRECT("Data!" &amp; ADDRESS($A5,C$2))</f>
        <v>2020</v>
      </c>
      <c r="D5" s="3" cm="1">
        <f t="array" aca="1" ref="D5" ca="1">INDIRECT("Data!" &amp; ADDRESS($A5,D$2))</f>
        <v>2000</v>
      </c>
      <c r="E5" s="3" t="str" cm="1">
        <f t="array" aca="1" ref="E5" ca="1">INDIRECT("Data!" &amp; ADDRESS($A5,E$2))</f>
        <v>Food And Kindred Products</v>
      </c>
      <c r="F5" s="3" t="str" cm="1">
        <f t="array" aca="1" ref="F5" ca="1">INDIRECT("Data!" &amp; ADDRESS($A5,F$2))</f>
        <v>UNITED STATES</v>
      </c>
      <c r="G5" s="159" t="str" cm="1">
        <f t="array" aca="1" ref="G5" ca="1">TEXT(ROUND(INDIRECT("Data!" &amp; ADDRESS($A5,G$2)),0),"#,#") &amp; " "</f>
        <v xml:space="preserve">11,054 </v>
      </c>
      <c r="H5" s="3" t="b" cm="1">
        <f t="array" aca="1" ref="H5" ca="1">INDIRECT("Data!" &amp; ADDRESS($A5,H$2))</f>
        <v>0</v>
      </c>
    </row>
    <row r="6" spans="1:8">
      <c r="A6" s="3">
        <f t="shared" si="2"/>
        <v>5</v>
      </c>
      <c r="B6" s="3" t="str" cm="1">
        <f t="array" aca="1" ref="B6" ca="1">INDIRECT("Data!" &amp; ADDRESS($A6,B$2))</f>
        <v>DANONE S.A.</v>
      </c>
      <c r="C6" s="3" cm="1">
        <f t="array" aca="1" ref="C6" ca="1">INDIRECT("Data!" &amp; ADDRESS($A6,C$2))</f>
        <v>2019</v>
      </c>
      <c r="D6" s="3" cm="1">
        <f t="array" aca="1" ref="D6" ca="1">INDIRECT("Data!" &amp; ADDRESS($A6,D$2))</f>
        <v>2000</v>
      </c>
      <c r="E6" s="3" t="str" cm="1">
        <f t="array" aca="1" ref="E6" ca="1">INDIRECT("Data!" &amp; ADDRESS($A6,E$2))</f>
        <v>Food And Kindred Products</v>
      </c>
      <c r="F6" s="3" t="str" cm="1">
        <f t="array" aca="1" ref="F6" ca="1">INDIRECT("Data!" &amp; ADDRESS($A6,F$2))</f>
        <v>UNITED STATES</v>
      </c>
      <c r="G6" s="159" t="str" cm="1">
        <f t="array" aca="1" ref="G6" ca="1">TEXT(ROUND(INDIRECT("Data!" &amp; ADDRESS($A6,G$2)),0),"#,#") &amp; " "</f>
        <v xml:space="preserve">28,377 </v>
      </c>
      <c r="H6" s="3" t="b" cm="1">
        <f t="array" aca="1" ref="H6" ca="1">INDIRECT("Data!" &amp; ADDRESS($A6,H$2))</f>
        <v>0</v>
      </c>
    </row>
    <row r="7" spans="1:8">
      <c r="A7" s="3">
        <f t="shared" si="2"/>
        <v>6</v>
      </c>
      <c r="B7" s="3" t="str" cm="1">
        <f t="array" aca="1" ref="B7" ca="1">INDIRECT("Data!" &amp; ADDRESS($A7,B$2))</f>
        <v>GENERAL MILLS INC</v>
      </c>
      <c r="C7" s="3" cm="1">
        <f t="array" aca="1" ref="C7" ca="1">INDIRECT("Data!" &amp; ADDRESS($A7,C$2))</f>
        <v>2020</v>
      </c>
      <c r="D7" s="3" cm="1">
        <f t="array" aca="1" ref="D7" ca="1">INDIRECT("Data!" &amp; ADDRESS($A7,D$2))</f>
        <v>2040</v>
      </c>
      <c r="E7" s="3" t="str" cm="1">
        <f t="array" aca="1" ref="E7" ca="1">INDIRECT("Data!" &amp; ADDRESS($A7,E$2))</f>
        <v>Grain Mill Products</v>
      </c>
      <c r="F7" s="3" t="str" cm="1">
        <f t="array" aca="1" ref="F7" ca="1">INDIRECT("Data!" &amp; ADDRESS($A7,F$2))</f>
        <v>UNITED STATES</v>
      </c>
      <c r="G7" s="159" t="str" cm="1">
        <f t="array" aca="1" ref="G7" ca="1">TEXT(ROUND(INDIRECT("Data!" &amp; ADDRESS($A7,G$2)),0),"#,#") &amp; " "</f>
        <v xml:space="preserve">17,627 </v>
      </c>
      <c r="H7" s="3" t="b" cm="1">
        <f t="array" aca="1" ref="H7" ca="1">INDIRECT("Data!" &amp; ADDRESS($A7,H$2))</f>
        <v>0</v>
      </c>
    </row>
    <row r="8" spans="1:8">
      <c r="A8" s="3">
        <f t="shared" si="2"/>
        <v>7</v>
      </c>
      <c r="B8" s="3" t="str" cm="1">
        <f t="array" aca="1" ref="B8" ca="1">INDIRECT("Data!" &amp; ADDRESS($A8,B$2))</f>
        <v>HAIN CELESTIAL GROUP INC</v>
      </c>
      <c r="C8" s="3" cm="1">
        <f t="array" aca="1" ref="C8" ca="1">INDIRECT("Data!" &amp; ADDRESS($A8,C$2))</f>
        <v>2020</v>
      </c>
      <c r="D8" s="3" cm="1">
        <f t="array" aca="1" ref="D8" ca="1">INDIRECT("Data!" &amp; ADDRESS($A8,D$2))</f>
        <v>2000</v>
      </c>
      <c r="E8" s="3" t="str" cm="1">
        <f t="array" aca="1" ref="E8" ca="1">INDIRECT("Data!" &amp; ADDRESS($A8,E$2))</f>
        <v>Food And Kindred Products</v>
      </c>
      <c r="F8" s="3" t="str" cm="1">
        <f t="array" aca="1" ref="F8" ca="1">INDIRECT("Data!" &amp; ADDRESS($A8,F$2))</f>
        <v>UNITED STATES</v>
      </c>
      <c r="G8" s="159" t="str" cm="1">
        <f t="array" aca="1" ref="G8" ca="1">TEXT(ROUND(INDIRECT("Data!" &amp; ADDRESS($A8,G$2)),0),"#,#") &amp; " "</f>
        <v xml:space="preserve">2,054 </v>
      </c>
      <c r="H8" s="3" t="b" cm="1">
        <f t="array" aca="1" ref="H8" ca="1">INDIRECT("Data!" &amp; ADDRESS($A8,H$2))</f>
        <v>0</v>
      </c>
    </row>
    <row r="9" spans="1:8">
      <c r="A9" s="3">
        <f t="shared" si="2"/>
        <v>8</v>
      </c>
      <c r="B9" s="3" t="str" cm="1">
        <f t="array" aca="1" ref="B9" ca="1">INDIRECT("Data!" &amp; ADDRESS($A9,B$2))</f>
        <v>HERSHEY CO</v>
      </c>
      <c r="C9" s="3" cm="1">
        <f t="array" aca="1" ref="C9" ca="1">INDIRECT("Data!" &amp; ADDRESS($A9,C$2))</f>
        <v>2021</v>
      </c>
      <c r="D9" s="3" cm="1">
        <f t="array" aca="1" ref="D9" ca="1">INDIRECT("Data!" &amp; ADDRESS($A9,D$2))</f>
        <v>2060</v>
      </c>
      <c r="E9" s="3" t="str" cm="1">
        <f t="array" aca="1" ref="E9" ca="1">INDIRECT("Data!" &amp; ADDRESS($A9,E$2))</f>
        <v>Sugar And Confectionery Products</v>
      </c>
      <c r="F9" s="3" t="str" cm="1">
        <f t="array" aca="1" ref="F9" ca="1">INDIRECT("Data!" &amp; ADDRESS($A9,F$2))</f>
        <v>UNITED STATES</v>
      </c>
      <c r="G9" s="159" t="str" cm="1">
        <f t="array" aca="1" ref="G9" ca="1">TEXT(ROUND(INDIRECT("Data!" &amp; ADDRESS($A9,G$2)),0),"#,#") &amp; " "</f>
        <v xml:space="preserve">8,971 </v>
      </c>
      <c r="H9" s="3" t="b" cm="1">
        <f t="array" aca="1" ref="H9" ca="1">INDIRECT("Data!" &amp; ADDRESS($A9,H$2))</f>
        <v>0</v>
      </c>
    </row>
    <row r="10" spans="1:8">
      <c r="A10" s="3">
        <f t="shared" si="2"/>
        <v>9</v>
      </c>
      <c r="B10" s="3" t="str" cm="1">
        <f t="array" aca="1" ref="B10" ca="1">INDIRECT("Data!" &amp; ADDRESS($A10,B$2))</f>
        <v>HORMEL FOODS CORP</v>
      </c>
      <c r="C10" s="3" cm="1">
        <f t="array" aca="1" ref="C10" ca="1">INDIRECT("Data!" &amp; ADDRESS($A10,C$2))</f>
        <v>2021</v>
      </c>
      <c r="D10" s="3" cm="1">
        <f t="array" aca="1" ref="D10" ca="1">INDIRECT("Data!" &amp; ADDRESS($A10,D$2))</f>
        <v>2011</v>
      </c>
      <c r="E10" s="3" t="str" cm="1">
        <f t="array" aca="1" ref="E10" ca="1">INDIRECT("Data!" &amp; ADDRESS($A10,E$2))</f>
        <v>Meat Packing Plants</v>
      </c>
      <c r="F10" s="3" t="str" cm="1">
        <f t="array" aca="1" ref="F10" ca="1">INDIRECT("Data!" &amp; ADDRESS($A10,F$2))</f>
        <v>UNITED STATES</v>
      </c>
      <c r="G10" s="159" t="str" cm="1">
        <f t="array" aca="1" ref="G10" ca="1">TEXT(ROUND(INDIRECT("Data!" &amp; ADDRESS($A10,G$2)),0),"#,#") &amp; " "</f>
        <v xml:space="preserve">11,386 </v>
      </c>
      <c r="H10" s="3" t="b" cm="1">
        <f t="array" aca="1" ref="H10" ca="1">INDIRECT("Data!" &amp; ADDRESS($A10,H$2))</f>
        <v>0</v>
      </c>
    </row>
    <row r="11" spans="1:8">
      <c r="A11" s="3">
        <f t="shared" si="2"/>
        <v>10</v>
      </c>
      <c r="B11" s="3" t="str" cm="1">
        <f t="array" aca="1" ref="B11" ca="1">INDIRECT("Data!" &amp; ADDRESS($A11,B$2))</f>
        <v>J M SMUCKER CO</v>
      </c>
      <c r="C11" s="3" cm="1">
        <f t="array" aca="1" ref="C11" ca="1">INDIRECT("Data!" &amp; ADDRESS($A11,C$2))</f>
        <v>2020</v>
      </c>
      <c r="D11" s="3" cm="1">
        <f t="array" aca="1" ref="D11" ca="1">INDIRECT("Data!" &amp; ADDRESS($A11,D$2))</f>
        <v>2033</v>
      </c>
      <c r="E11" s="3" t="str" cm="1">
        <f t="array" aca="1" ref="E11" ca="1">INDIRECT("Data!" &amp; ADDRESS($A11,E$2))</f>
        <v>Canned Fruits And Specialties</v>
      </c>
      <c r="F11" s="3" t="str" cm="1">
        <f t="array" aca="1" ref="F11" ca="1">INDIRECT("Data!" &amp; ADDRESS($A11,F$2))</f>
        <v>UNITED STATES</v>
      </c>
      <c r="G11" s="159" t="str" cm="1">
        <f t="array" aca="1" ref="G11" ca="1">TEXT(ROUND(INDIRECT("Data!" &amp; ADDRESS($A11,G$2)),0),"#,#") &amp; " "</f>
        <v xml:space="preserve">7,801 </v>
      </c>
      <c r="H11" s="3" t="b" cm="1">
        <f t="array" aca="1" ref="H11" ca="1">INDIRECT("Data!" &amp; ADDRESS($A11,H$2))</f>
        <v>0</v>
      </c>
    </row>
    <row r="12" spans="1:8">
      <c r="A12" s="3">
        <f t="shared" si="2"/>
        <v>11</v>
      </c>
      <c r="B12" s="3" t="str" cm="1">
        <f t="array" aca="1" ref="B12" ca="1">INDIRECT("Data!" &amp; ADDRESS($A12,B$2))</f>
        <v>KELLOGG CO</v>
      </c>
      <c r="C12" s="3" cm="1">
        <f t="array" aca="1" ref="C12" ca="1">INDIRECT("Data!" &amp; ADDRESS($A12,C$2))</f>
        <v>2022</v>
      </c>
      <c r="D12" s="3" cm="1">
        <f t="array" aca="1" ref="D12" ca="1">INDIRECT("Data!" &amp; ADDRESS($A12,D$2))</f>
        <v>2040</v>
      </c>
      <c r="E12" s="3" t="str" cm="1">
        <f t="array" aca="1" ref="E12" ca="1">INDIRECT("Data!" &amp; ADDRESS($A12,E$2))</f>
        <v>Grain Mill Products</v>
      </c>
      <c r="F12" s="3" t="str" cm="1">
        <f t="array" aca="1" ref="F12" ca="1">INDIRECT("Data!" &amp; ADDRESS($A12,F$2))</f>
        <v>UNITED STATES</v>
      </c>
      <c r="G12" s="159" t="str" cm="1">
        <f t="array" aca="1" ref="G12" ca="1">TEXT(ROUND(INDIRECT("Data!" &amp; ADDRESS($A12,G$2)),0),"#,#") &amp; " "</f>
        <v xml:space="preserve">14,181 </v>
      </c>
      <c r="H12" s="3" t="b" cm="1">
        <f t="array" aca="1" ref="H12" ca="1">INDIRECT("Data!" &amp; ADDRESS($A12,H$2))</f>
        <v>0</v>
      </c>
    </row>
    <row r="13" spans="1:8">
      <c r="A13" s="3">
        <f t="shared" si="2"/>
        <v>12</v>
      </c>
      <c r="B13" s="3" t="str" cm="1">
        <f t="array" aca="1" ref="B13" ca="1">INDIRECT("Data!" &amp; ADDRESS($A13,B$2))</f>
        <v>KRAFT HEINZ CO</v>
      </c>
      <c r="C13" s="3" cm="1">
        <f t="array" aca="1" ref="C13" ca="1">INDIRECT("Data!" &amp; ADDRESS($A13,C$2))</f>
        <v>2021</v>
      </c>
      <c r="D13" s="3" cm="1">
        <f t="array" aca="1" ref="D13" ca="1">INDIRECT("Data!" &amp; ADDRESS($A13,D$2))</f>
        <v>2030</v>
      </c>
      <c r="E13" s="3" t="str" cm="1">
        <f t="array" aca="1" ref="E13" ca="1">INDIRECT("Data!" &amp; ADDRESS($A13,E$2))</f>
        <v>Canned, Frozen, And Preserved Fruits, Vegetables, And Food Specialties</v>
      </c>
      <c r="F13" s="3" t="str" cm="1">
        <f t="array" aca="1" ref="F13" ca="1">INDIRECT("Data!" &amp; ADDRESS($A13,F$2))</f>
        <v>UNITED STATES</v>
      </c>
      <c r="G13" s="159" t="str" cm="1">
        <f t="array" aca="1" ref="G13" ca="1">TEXT(ROUND(INDIRECT("Data!" &amp; ADDRESS($A13,G$2)),0),"#,#") &amp; " "</f>
        <v xml:space="preserve">26,042 </v>
      </c>
      <c r="H13" s="3" t="b" cm="1">
        <f t="array" aca="1" ref="H13" ca="1">INDIRECT("Data!" &amp; ADDRESS($A13,H$2))</f>
        <v>0</v>
      </c>
    </row>
    <row r="14" spans="1:8">
      <c r="A14" s="3">
        <f t="shared" si="2"/>
        <v>13</v>
      </c>
      <c r="B14" s="3" t="str" cm="1">
        <f t="array" aca="1" ref="B14" ca="1">INDIRECT("Data!" &amp; ADDRESS($A14,B$2))</f>
        <v>LAMB WESTON HOLDINGS INC</v>
      </c>
      <c r="C14" s="3" cm="1">
        <f t="array" aca="1" ref="C14" ca="1">INDIRECT("Data!" &amp; ADDRESS($A14,C$2))</f>
        <v>2020</v>
      </c>
      <c r="D14" s="3" cm="1">
        <f t="array" aca="1" ref="D14" ca="1">INDIRECT("Data!" &amp; ADDRESS($A14,D$2))</f>
        <v>2030</v>
      </c>
      <c r="E14" s="3" t="str" cm="1">
        <f t="array" aca="1" ref="E14" ca="1">INDIRECT("Data!" &amp; ADDRESS($A14,E$2))</f>
        <v>Canned, Frozen, And Preserved Fruits, Vegetables, And Food Specialties</v>
      </c>
      <c r="F14" s="3" t="str" cm="1">
        <f t="array" aca="1" ref="F14" ca="1">INDIRECT("Data!" &amp; ADDRESS($A14,F$2))</f>
        <v>UNITED STATES</v>
      </c>
      <c r="G14" s="159" t="str" cm="1">
        <f t="array" aca="1" ref="G14" ca="1">TEXT(ROUND(INDIRECT("Data!" &amp; ADDRESS($A14,G$2)),0),"#,#") &amp; " "</f>
        <v xml:space="preserve">3,792 </v>
      </c>
      <c r="H14" s="3" t="b" cm="1">
        <f t="array" aca="1" ref="H14" ca="1">INDIRECT("Data!" &amp; ADDRESS($A14,H$2))</f>
        <v>0</v>
      </c>
    </row>
    <row r="15" spans="1:8">
      <c r="A15" s="3">
        <f t="shared" si="2"/>
        <v>14</v>
      </c>
      <c r="B15" s="3" t="str" cm="1">
        <f t="array" aca="1" ref="B15" ca="1">INDIRECT("Data!" &amp; ADDRESS($A15,B$2))</f>
        <v>MCCORMICK &amp; CO INC</v>
      </c>
      <c r="C15" s="3" cm="1">
        <f t="array" aca="1" ref="C15" ca="1">INDIRECT("Data!" &amp; ADDRESS($A15,C$2))</f>
        <v>2021</v>
      </c>
      <c r="D15" s="3" cm="1">
        <f t="array" aca="1" ref="D15" ca="1">INDIRECT("Data!" &amp; ADDRESS($A15,D$2))</f>
        <v>2090</v>
      </c>
      <c r="E15" s="3" t="str" cm="1">
        <f t="array" aca="1" ref="E15" ca="1">INDIRECT("Data!" &amp; ADDRESS($A15,E$2))</f>
        <v>Miscellaneous Food Preparations And Kindred Products</v>
      </c>
      <c r="F15" s="3" t="str" cm="1">
        <f t="array" aca="1" ref="F15" ca="1">INDIRECT("Data!" &amp; ADDRESS($A15,F$2))</f>
        <v>UNITED STATES</v>
      </c>
      <c r="G15" s="159" t="str" cm="1">
        <f t="array" aca="1" ref="G15" ca="1">TEXT(ROUND(INDIRECT("Data!" &amp; ADDRESS($A15,G$2)),0),"#,#") &amp; " "</f>
        <v xml:space="preserve">6,318 </v>
      </c>
      <c r="H15" s="3" t="b" cm="1">
        <f t="array" aca="1" ref="H15" ca="1">INDIRECT("Data!" &amp; ADDRESS($A15,H$2))</f>
        <v>0</v>
      </c>
    </row>
    <row r="16" spans="1:8">
      <c r="A16" s="3">
        <f t="shared" si="2"/>
        <v>15</v>
      </c>
      <c r="B16" s="3" t="str" cm="1">
        <f t="array" aca="1" ref="B16" ca="1">INDIRECT("Data!" &amp; ADDRESS($A16,B$2))</f>
        <v>MONDELEZ INTERNATIONAL INC</v>
      </c>
      <c r="C16" s="3" cm="1">
        <f t="array" aca="1" ref="C16" ca="1">INDIRECT("Data!" &amp; ADDRESS($A16,C$2))</f>
        <v>2021</v>
      </c>
      <c r="D16" s="3" cm="1">
        <f t="array" aca="1" ref="D16" ca="1">INDIRECT("Data!" &amp; ADDRESS($A16,D$2))</f>
        <v>2000</v>
      </c>
      <c r="E16" s="3" t="str" cm="1">
        <f t="array" aca="1" ref="E16" ca="1">INDIRECT("Data!" &amp; ADDRESS($A16,E$2))</f>
        <v>Food And Kindred Products</v>
      </c>
      <c r="F16" s="3" t="str" cm="1">
        <f t="array" aca="1" ref="F16" ca="1">INDIRECT("Data!" &amp; ADDRESS($A16,F$2))</f>
        <v>UNITED STATES</v>
      </c>
      <c r="G16" s="159" t="str" cm="1">
        <f t="array" aca="1" ref="G16" ca="1">TEXT(ROUND(INDIRECT("Data!" &amp; ADDRESS($A16,G$2)),0),"#,#") &amp; " "</f>
        <v xml:space="preserve">28,720 </v>
      </c>
      <c r="H16" s="3" t="b" cm="1">
        <f t="array" aca="1" ref="H16" ca="1">INDIRECT("Data!" &amp; ADDRESS($A16,H$2))</f>
        <v>0</v>
      </c>
    </row>
    <row r="17" spans="1:8">
      <c r="A17" s="3">
        <f t="shared" si="2"/>
        <v>16</v>
      </c>
      <c r="B17" s="3" t="str" cm="1">
        <f t="array" aca="1" ref="B17" ca="1">INDIRECT("Data!" &amp; ADDRESS($A17,B$2))</f>
        <v>PILGRIMS PRIDE CORP</v>
      </c>
      <c r="C17" s="3" cm="1">
        <f t="array" aca="1" ref="C17" ca="1">INDIRECT("Data!" &amp; ADDRESS($A17,C$2))</f>
        <v>2021</v>
      </c>
      <c r="D17" s="3" cm="1">
        <f t="array" aca="1" ref="D17" ca="1">INDIRECT("Data!" &amp; ADDRESS($A17,D$2))</f>
        <v>2015</v>
      </c>
      <c r="E17" s="3" t="str" cm="1">
        <f t="array" aca="1" ref="E17" ca="1">INDIRECT("Data!" &amp; ADDRESS($A17,E$2))</f>
        <v>Poultry Slaughtering And Processing</v>
      </c>
      <c r="F17" s="3" t="str" cm="1">
        <f t="array" aca="1" ref="F17" ca="1">INDIRECT("Data!" &amp; ADDRESS($A17,F$2))</f>
        <v>UNITED STATES</v>
      </c>
      <c r="G17" s="159" t="str" cm="1">
        <f t="array" aca="1" ref="G17" ca="1">TEXT(ROUND(INDIRECT("Data!" &amp; ADDRESS($A17,G$2)),0),"#,#") &amp; " "</f>
        <v xml:space="preserve">14,777 </v>
      </c>
      <c r="H17" s="3" t="b" cm="1">
        <f t="array" aca="1" ref="H17" ca="1">INDIRECT("Data!" &amp; ADDRESS($A17,H$2))</f>
        <v>0</v>
      </c>
    </row>
    <row r="18" spans="1:8">
      <c r="A18" s="3">
        <f t="shared" si="2"/>
        <v>17</v>
      </c>
      <c r="B18" s="3" t="str" cm="1">
        <f t="array" aca="1" ref="B18" ca="1">INDIRECT("Data!" &amp; ADDRESS($A18,B$2))</f>
        <v>TYSON FOODS INC</v>
      </c>
      <c r="C18" s="3" cm="1">
        <f t="array" aca="1" ref="C18" ca="1">INDIRECT("Data!" &amp; ADDRESS($A18,C$2))</f>
        <v>2021</v>
      </c>
      <c r="D18" s="3" cm="1">
        <f t="array" aca="1" ref="D18" ca="1">INDIRECT("Data!" &amp; ADDRESS($A18,D$2))</f>
        <v>2015</v>
      </c>
      <c r="E18" s="3" t="str" cm="1">
        <f t="array" aca="1" ref="E18" ca="1">INDIRECT("Data!" &amp; ADDRESS($A18,E$2))</f>
        <v>Poultry Slaughtering And Processing</v>
      </c>
      <c r="F18" s="3" t="str" cm="1">
        <f t="array" aca="1" ref="F18" ca="1">INDIRECT("Data!" &amp; ADDRESS($A18,F$2))</f>
        <v>UNITED STATES</v>
      </c>
      <c r="G18" s="159" t="str" cm="1">
        <f t="array" aca="1" ref="G18" ca="1">TEXT(ROUND(INDIRECT("Data!" &amp; ADDRESS($A18,G$2)),0),"#,#") &amp; " "</f>
        <v xml:space="preserve">47,049 </v>
      </c>
      <c r="H18" s="3" t="b" cm="1">
        <f t="array" aca="1" ref="H18" ca="1">INDIRECT("Data!" &amp; ADDRESS($A18,H$2))</f>
        <v>0</v>
      </c>
    </row>
  </sheetData>
  <dataConsolid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F268F4-E488-41E6-B070-82E89175937A}">
  <sheetPr codeName="Sheet5"/>
  <dimension ref="A1:BPX183"/>
  <sheetViews>
    <sheetView showGridLines="0" zoomScaleNormal="100" workbookViewId="0">
      <selection activeCell="AB24" sqref="AB24"/>
    </sheetView>
  </sheetViews>
  <sheetFormatPr defaultRowHeight="11.25"/>
  <cols>
    <col min="1" max="1" width="9.140625" style="7"/>
    <col min="2" max="8" width="9.140625" style="3"/>
    <col min="9" max="9" width="8.140625" style="3" customWidth="1"/>
    <col min="10" max="15" width="9.140625" style="3"/>
    <col min="16" max="16" width="1.7109375" style="3" customWidth="1"/>
    <col min="17" max="21" width="9.140625" style="3"/>
    <col min="22" max="22" width="11" style="3" customWidth="1"/>
    <col min="23" max="23" width="7" style="3" customWidth="1"/>
    <col min="24" max="26" width="7.42578125" style="3" customWidth="1"/>
    <col min="27" max="16384" width="9.140625" style="3"/>
  </cols>
  <sheetData>
    <row r="1" spans="1:1792">
      <c r="B1" s="7"/>
      <c r="C1" s="31">
        <v>4</v>
      </c>
      <c r="D1" s="31">
        <f>C1+2</f>
        <v>6</v>
      </c>
      <c r="E1" s="31">
        <f>D1+1</f>
        <v>7</v>
      </c>
      <c r="F1" s="31">
        <f>E1+1</f>
        <v>8</v>
      </c>
      <c r="G1" s="31">
        <f>F1+2</f>
        <v>10</v>
      </c>
      <c r="H1" s="31">
        <f>G1+1</f>
        <v>11</v>
      </c>
      <c r="I1" s="31"/>
      <c r="J1" s="31"/>
      <c r="K1" s="31"/>
      <c r="L1" s="31"/>
      <c r="M1" s="31"/>
      <c r="N1" s="31"/>
      <c r="O1" s="31"/>
      <c r="P1" s="31"/>
      <c r="Q1" s="31"/>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7"/>
      <c r="BI1" s="7"/>
      <c r="BJ1" s="7"/>
      <c r="BK1" s="7"/>
      <c r="BL1" s="7"/>
      <c r="BM1" s="7"/>
      <c r="BN1" s="7"/>
      <c r="BO1" s="7"/>
      <c r="BP1" s="7"/>
      <c r="BQ1" s="7"/>
      <c r="BR1" s="7"/>
      <c r="BS1" s="7"/>
      <c r="BT1" s="7"/>
      <c r="BU1" s="7"/>
      <c r="BV1" s="7"/>
      <c r="BW1" s="7"/>
      <c r="BX1" s="7"/>
      <c r="BY1" s="7"/>
      <c r="BZ1" s="7"/>
      <c r="CA1" s="7"/>
      <c r="CB1" s="7"/>
      <c r="CC1" s="7"/>
      <c r="CD1" s="7"/>
      <c r="CE1" s="7"/>
      <c r="CF1" s="7"/>
      <c r="CG1" s="7"/>
      <c r="CH1" s="7"/>
      <c r="CI1" s="7"/>
      <c r="CJ1" s="7"/>
      <c r="CK1" s="7"/>
      <c r="CL1" s="7"/>
      <c r="CM1" s="7"/>
      <c r="CN1" s="7"/>
      <c r="CO1" s="7"/>
      <c r="CP1" s="7"/>
      <c r="CQ1" s="7"/>
      <c r="CR1" s="7"/>
      <c r="CS1" s="7"/>
      <c r="CT1" s="7"/>
      <c r="CU1" s="7"/>
      <c r="CV1" s="7"/>
      <c r="CW1" s="7"/>
      <c r="CX1" s="7"/>
      <c r="CY1" s="7"/>
      <c r="CZ1" s="7"/>
      <c r="DA1" s="7"/>
      <c r="DB1" s="7"/>
      <c r="DC1" s="7"/>
      <c r="DD1" s="7"/>
      <c r="DE1" s="7"/>
      <c r="DF1" s="7"/>
      <c r="DG1" s="7"/>
      <c r="DH1" s="7"/>
      <c r="DI1" s="7"/>
      <c r="DJ1" s="7"/>
      <c r="DK1" s="7"/>
      <c r="DL1" s="7"/>
      <c r="DM1" s="7"/>
      <c r="DN1" s="7"/>
      <c r="DO1" s="7"/>
      <c r="DP1" s="7"/>
      <c r="DQ1" s="7"/>
      <c r="DR1" s="7"/>
      <c r="DS1" s="7"/>
      <c r="DT1" s="7"/>
      <c r="DU1" s="7"/>
      <c r="DV1" s="7"/>
      <c r="DW1" s="7"/>
      <c r="DX1" s="7"/>
      <c r="DY1" s="7"/>
      <c r="DZ1" s="7"/>
      <c r="EA1" s="7"/>
      <c r="EB1" s="7"/>
      <c r="EC1" s="7"/>
      <c r="ED1" s="7"/>
      <c r="EE1" s="7"/>
      <c r="EF1" s="7"/>
      <c r="EG1" s="7"/>
      <c r="EH1" s="7"/>
      <c r="EI1" s="7"/>
      <c r="EJ1" s="7"/>
      <c r="EK1" s="7"/>
      <c r="EL1" s="7"/>
      <c r="EM1" s="7"/>
      <c r="EN1" s="7"/>
      <c r="EO1" s="7"/>
      <c r="EP1" s="7"/>
      <c r="EQ1" s="7"/>
      <c r="ER1" s="7"/>
      <c r="ES1" s="7"/>
      <c r="ET1" s="7"/>
      <c r="EU1" s="7"/>
      <c r="EV1" s="7"/>
      <c r="EW1" s="7"/>
      <c r="EX1" s="7"/>
      <c r="EY1" s="7"/>
      <c r="EZ1" s="7"/>
      <c r="FA1" s="7"/>
      <c r="FB1" s="7"/>
      <c r="FC1" s="7"/>
      <c r="FD1" s="7"/>
      <c r="FE1" s="7"/>
      <c r="FF1" s="7"/>
      <c r="FG1" s="7"/>
      <c r="FH1" s="7"/>
      <c r="FI1" s="7"/>
      <c r="FJ1" s="7"/>
      <c r="FK1" s="7"/>
      <c r="FL1" s="7"/>
      <c r="FM1" s="7"/>
      <c r="FN1" s="7"/>
      <c r="FO1" s="7"/>
      <c r="FP1" s="7"/>
      <c r="FQ1" s="7"/>
      <c r="FR1" s="7"/>
      <c r="FS1" s="7"/>
      <c r="FT1" s="7"/>
      <c r="FU1" s="7"/>
      <c r="FV1" s="7"/>
      <c r="FW1" s="7"/>
      <c r="FX1" s="7"/>
      <c r="FY1" s="7"/>
      <c r="FZ1" s="7"/>
      <c r="GA1" s="7"/>
      <c r="GB1" s="7"/>
      <c r="GC1" s="7"/>
      <c r="GD1" s="7"/>
      <c r="GE1" s="7"/>
      <c r="GF1" s="7"/>
      <c r="GG1" s="7"/>
      <c r="GH1" s="7"/>
      <c r="GI1" s="7"/>
      <c r="GJ1" s="7"/>
      <c r="GK1" s="7"/>
      <c r="GL1" s="7"/>
      <c r="GM1" s="7"/>
      <c r="GN1" s="7"/>
      <c r="GO1" s="7"/>
      <c r="GP1" s="7"/>
      <c r="GQ1" s="7"/>
      <c r="GR1" s="7"/>
      <c r="GS1" s="7"/>
      <c r="GT1" s="7"/>
      <c r="GU1" s="7"/>
      <c r="GV1" s="7"/>
      <c r="GW1" s="7"/>
      <c r="GX1" s="7"/>
      <c r="GY1" s="7"/>
      <c r="GZ1" s="7"/>
      <c r="HA1" s="7"/>
      <c r="HB1" s="7"/>
      <c r="HC1" s="7"/>
      <c r="HD1" s="7"/>
      <c r="HE1" s="7"/>
      <c r="HF1" s="7"/>
      <c r="HG1" s="7"/>
      <c r="HH1" s="7"/>
      <c r="HI1" s="7"/>
      <c r="HJ1" s="7"/>
      <c r="HK1" s="7"/>
      <c r="HL1" s="7"/>
      <c r="HM1" s="7"/>
      <c r="HN1" s="7"/>
      <c r="HO1" s="7"/>
      <c r="HP1" s="7"/>
      <c r="HQ1" s="7"/>
      <c r="HR1" s="7"/>
      <c r="HS1" s="7"/>
      <c r="HT1" s="7"/>
      <c r="HU1" s="7"/>
      <c r="HV1" s="7"/>
      <c r="HW1" s="7"/>
      <c r="HX1" s="7"/>
      <c r="HY1" s="7"/>
      <c r="HZ1" s="7"/>
      <c r="IA1" s="7"/>
      <c r="IB1" s="7"/>
      <c r="IC1" s="7"/>
      <c r="ID1" s="7"/>
      <c r="IE1" s="7"/>
      <c r="IF1" s="7"/>
      <c r="IG1" s="7"/>
      <c r="IH1" s="7"/>
      <c r="II1" s="7"/>
      <c r="IJ1" s="7"/>
      <c r="IK1" s="7"/>
      <c r="IL1" s="7"/>
      <c r="IM1" s="7"/>
      <c r="IN1" s="7"/>
      <c r="IO1" s="7"/>
      <c r="IP1" s="7"/>
      <c r="IQ1" s="7"/>
      <c r="IR1" s="7"/>
      <c r="IS1" s="7"/>
      <c r="IT1" s="7"/>
      <c r="IU1" s="7"/>
      <c r="IV1" s="7"/>
      <c r="IW1" s="7"/>
      <c r="IX1" s="7"/>
      <c r="IY1" s="7"/>
      <c r="IZ1" s="7"/>
      <c r="JA1" s="7"/>
      <c r="JB1" s="7"/>
      <c r="JC1" s="7"/>
      <c r="JD1" s="7"/>
      <c r="JE1" s="7"/>
      <c r="JF1" s="7"/>
      <c r="JG1" s="7"/>
      <c r="JH1" s="7"/>
      <c r="JI1" s="7"/>
      <c r="JJ1" s="7"/>
      <c r="JK1" s="7"/>
      <c r="JL1" s="7"/>
      <c r="JM1" s="7"/>
      <c r="JN1" s="7"/>
      <c r="JO1" s="7"/>
      <c r="JP1" s="7"/>
      <c r="JQ1" s="7"/>
      <c r="JR1" s="7"/>
      <c r="JS1" s="7"/>
      <c r="JT1" s="7"/>
      <c r="JU1" s="7"/>
      <c r="JV1" s="7"/>
      <c r="JW1" s="7"/>
      <c r="JX1" s="7"/>
      <c r="JY1" s="7"/>
      <c r="JZ1" s="7"/>
      <c r="KA1" s="7"/>
      <c r="KB1" s="7"/>
      <c r="KC1" s="7"/>
      <c r="KD1" s="7"/>
      <c r="KE1" s="7"/>
      <c r="KF1" s="7"/>
      <c r="KG1" s="7"/>
      <c r="KH1" s="7"/>
      <c r="KI1" s="7"/>
      <c r="KJ1" s="7"/>
      <c r="KK1" s="7"/>
      <c r="KL1" s="7"/>
      <c r="KM1" s="7"/>
      <c r="KN1" s="7"/>
      <c r="KO1" s="7"/>
      <c r="KP1" s="7"/>
      <c r="KQ1" s="7"/>
      <c r="KR1" s="7"/>
      <c r="KS1" s="7"/>
      <c r="KT1" s="7"/>
      <c r="KU1" s="7"/>
      <c r="KV1" s="7"/>
      <c r="KW1" s="7"/>
      <c r="KX1" s="7"/>
      <c r="KY1" s="7"/>
      <c r="KZ1" s="7"/>
      <c r="LA1" s="7"/>
      <c r="LB1" s="7"/>
      <c r="LC1" s="7"/>
      <c r="LD1" s="7"/>
      <c r="LE1" s="7"/>
      <c r="LF1" s="7"/>
      <c r="LG1" s="7"/>
      <c r="LH1" s="7"/>
      <c r="LI1" s="7"/>
      <c r="LJ1" s="7"/>
      <c r="LK1" s="7"/>
      <c r="LL1" s="7"/>
      <c r="LM1" s="7"/>
      <c r="LN1" s="7"/>
      <c r="LO1" s="7"/>
      <c r="LP1" s="7"/>
      <c r="LQ1" s="7"/>
      <c r="LR1" s="7"/>
      <c r="LS1" s="7"/>
      <c r="LT1" s="7"/>
      <c r="LU1" s="7"/>
      <c r="LV1" s="7"/>
      <c r="LW1" s="7"/>
      <c r="LX1" s="7"/>
      <c r="LY1" s="7"/>
      <c r="LZ1" s="7"/>
      <c r="MA1" s="7"/>
      <c r="MB1" s="7"/>
      <c r="MC1" s="7"/>
      <c r="MD1" s="7"/>
      <c r="ME1" s="7"/>
      <c r="MF1" s="7"/>
      <c r="MG1" s="7"/>
      <c r="MH1" s="7"/>
      <c r="MI1" s="7"/>
      <c r="MJ1" s="7"/>
      <c r="MK1" s="7"/>
      <c r="ML1" s="7"/>
      <c r="MM1" s="7"/>
      <c r="MN1" s="7"/>
      <c r="MO1" s="7"/>
      <c r="MP1" s="7"/>
      <c r="MQ1" s="7"/>
      <c r="MR1" s="7"/>
      <c r="MS1" s="7"/>
      <c r="MT1" s="7"/>
      <c r="MU1" s="7"/>
      <c r="MV1" s="7"/>
      <c r="MW1" s="7"/>
      <c r="MX1" s="7"/>
      <c r="MY1" s="7"/>
      <c r="MZ1" s="7"/>
      <c r="NA1" s="7"/>
      <c r="NB1" s="7"/>
      <c r="NC1" s="7"/>
      <c r="ND1" s="7"/>
      <c r="NE1" s="7"/>
      <c r="NF1" s="7"/>
      <c r="NG1" s="7"/>
      <c r="NH1" s="7"/>
      <c r="NI1" s="7"/>
      <c r="NJ1" s="7"/>
      <c r="NK1" s="7"/>
      <c r="NL1" s="7"/>
      <c r="NM1" s="7"/>
      <c r="NN1" s="7"/>
      <c r="NO1" s="7"/>
      <c r="NP1" s="7"/>
      <c r="NQ1" s="7"/>
      <c r="NR1" s="7"/>
      <c r="NS1" s="7"/>
      <c r="NT1" s="7"/>
      <c r="NU1" s="7"/>
      <c r="NV1" s="7"/>
      <c r="NW1" s="7"/>
      <c r="NX1" s="7"/>
      <c r="NY1" s="7"/>
      <c r="NZ1" s="7"/>
      <c r="OA1" s="7"/>
      <c r="OB1" s="7"/>
      <c r="OC1" s="7"/>
      <c r="OD1" s="7"/>
      <c r="OE1" s="7"/>
      <c r="OF1" s="7"/>
      <c r="OG1" s="7"/>
      <c r="OH1" s="7"/>
      <c r="OI1" s="7"/>
      <c r="OJ1" s="7"/>
      <c r="OK1" s="7"/>
      <c r="OL1" s="7"/>
      <c r="OM1" s="7"/>
      <c r="ON1" s="7"/>
      <c r="OO1" s="7"/>
      <c r="OP1" s="7"/>
      <c r="OQ1" s="7"/>
      <c r="OR1" s="7"/>
      <c r="OS1" s="7"/>
      <c r="OT1" s="7"/>
      <c r="OU1" s="7"/>
      <c r="OV1" s="7"/>
      <c r="OW1" s="7"/>
      <c r="OX1" s="7"/>
      <c r="OY1" s="7"/>
      <c r="OZ1" s="7"/>
      <c r="PA1" s="7"/>
      <c r="PB1" s="7"/>
      <c r="PC1" s="7"/>
      <c r="PD1" s="7"/>
      <c r="PE1" s="7"/>
      <c r="PF1" s="7"/>
      <c r="PG1" s="7"/>
      <c r="PH1" s="7"/>
      <c r="PI1" s="7"/>
      <c r="PJ1" s="7"/>
      <c r="PK1" s="7"/>
      <c r="PL1" s="7"/>
      <c r="PM1" s="7"/>
      <c r="PN1" s="7"/>
      <c r="PO1" s="7"/>
      <c r="PP1" s="7"/>
      <c r="PQ1" s="7"/>
      <c r="PR1" s="7"/>
      <c r="PS1" s="7"/>
      <c r="PT1" s="7"/>
      <c r="PU1" s="7"/>
      <c r="PV1" s="7"/>
      <c r="PW1" s="7"/>
      <c r="PX1" s="7"/>
      <c r="PY1" s="7"/>
      <c r="PZ1" s="7"/>
      <c r="QA1" s="7"/>
      <c r="QB1" s="7"/>
      <c r="QC1" s="7"/>
      <c r="QD1" s="7"/>
      <c r="QE1" s="7"/>
      <c r="QF1" s="7"/>
      <c r="QG1" s="7"/>
      <c r="QH1" s="7"/>
      <c r="QI1" s="7"/>
      <c r="QJ1" s="7"/>
      <c r="QK1" s="7"/>
      <c r="QL1" s="7"/>
      <c r="QM1" s="7"/>
      <c r="QN1" s="7"/>
      <c r="QO1" s="7"/>
      <c r="QP1" s="7"/>
      <c r="QQ1" s="7"/>
      <c r="QR1" s="7"/>
      <c r="QS1" s="7"/>
      <c r="QT1" s="7"/>
      <c r="QU1" s="7"/>
      <c r="QV1" s="7"/>
      <c r="QW1" s="7"/>
      <c r="QX1" s="7"/>
      <c r="QY1" s="7"/>
      <c r="QZ1" s="7"/>
      <c r="RA1" s="7"/>
      <c r="RB1" s="7"/>
      <c r="RC1" s="7"/>
      <c r="RD1" s="7"/>
      <c r="RE1" s="7"/>
      <c r="RF1" s="7"/>
      <c r="RG1" s="7"/>
      <c r="RH1" s="7"/>
      <c r="RI1" s="7"/>
      <c r="RJ1" s="7"/>
      <c r="RK1" s="7"/>
      <c r="RL1" s="7"/>
      <c r="RM1" s="7"/>
      <c r="RN1" s="7"/>
      <c r="RO1" s="7"/>
      <c r="RP1" s="7"/>
      <c r="RQ1" s="7"/>
      <c r="RR1" s="7"/>
      <c r="RS1" s="7"/>
      <c r="RT1" s="7"/>
      <c r="RU1" s="7"/>
      <c r="RV1" s="7"/>
      <c r="RW1" s="7"/>
      <c r="RX1" s="7"/>
      <c r="RY1" s="7"/>
      <c r="RZ1" s="7"/>
      <c r="SA1" s="7"/>
      <c r="SB1" s="7"/>
      <c r="SC1" s="7"/>
      <c r="SD1" s="7"/>
      <c r="SE1" s="7"/>
      <c r="SF1" s="7"/>
      <c r="SG1" s="7"/>
      <c r="SH1" s="7"/>
      <c r="SI1" s="7"/>
      <c r="SJ1" s="7"/>
      <c r="SK1" s="7"/>
      <c r="SL1" s="7"/>
      <c r="SM1" s="7"/>
      <c r="SN1" s="7"/>
      <c r="SO1" s="7"/>
      <c r="SP1" s="7"/>
      <c r="SQ1" s="7"/>
      <c r="SR1" s="7"/>
      <c r="SS1" s="7"/>
      <c r="ST1" s="7"/>
      <c r="SU1" s="7"/>
      <c r="SV1" s="7"/>
      <c r="SW1" s="7"/>
      <c r="SX1" s="7"/>
      <c r="SY1" s="7"/>
      <c r="SZ1" s="7"/>
      <c r="TA1" s="7"/>
      <c r="TB1" s="7"/>
      <c r="TC1" s="7"/>
      <c r="TD1" s="7"/>
      <c r="TE1" s="7"/>
      <c r="TF1" s="7"/>
      <c r="TG1" s="7"/>
      <c r="TH1" s="7"/>
      <c r="TI1" s="7"/>
      <c r="TJ1" s="7"/>
      <c r="TK1" s="7"/>
      <c r="TL1" s="7"/>
      <c r="TM1" s="7"/>
      <c r="TN1" s="7"/>
      <c r="TO1" s="7"/>
      <c r="TP1" s="7"/>
      <c r="TQ1" s="7"/>
      <c r="TR1" s="7"/>
      <c r="TS1" s="7"/>
      <c r="TT1" s="7"/>
      <c r="TU1" s="7"/>
      <c r="TV1" s="7"/>
      <c r="TW1" s="7"/>
      <c r="TX1" s="7"/>
      <c r="TY1" s="7"/>
      <c r="TZ1" s="7"/>
      <c r="UA1" s="7"/>
      <c r="UB1" s="7"/>
      <c r="UC1" s="7"/>
      <c r="UD1" s="7"/>
      <c r="UE1" s="7"/>
      <c r="UF1" s="7"/>
      <c r="UG1" s="7"/>
      <c r="UH1" s="7"/>
      <c r="UI1" s="7"/>
      <c r="UJ1" s="7"/>
      <c r="UK1" s="7"/>
      <c r="UL1" s="7"/>
      <c r="UM1" s="7"/>
      <c r="UN1" s="7"/>
      <c r="UO1" s="7"/>
      <c r="UP1" s="7"/>
      <c r="UQ1" s="7"/>
      <c r="UR1" s="7"/>
      <c r="US1" s="7"/>
      <c r="UT1" s="7"/>
      <c r="UU1" s="7"/>
      <c r="UV1" s="7"/>
      <c r="UW1" s="7"/>
      <c r="UX1" s="7"/>
      <c r="UY1" s="7"/>
      <c r="UZ1" s="7"/>
      <c r="VA1" s="7"/>
      <c r="VB1" s="7"/>
      <c r="VC1" s="7"/>
      <c r="VD1" s="7"/>
      <c r="VE1" s="7"/>
      <c r="VF1" s="7"/>
      <c r="VG1" s="7"/>
      <c r="VH1" s="7"/>
      <c r="VI1" s="7"/>
      <c r="VJ1" s="7"/>
      <c r="VK1" s="7"/>
      <c r="VL1" s="7"/>
      <c r="VM1" s="7"/>
      <c r="VN1" s="7"/>
      <c r="VO1" s="7"/>
      <c r="VP1" s="7"/>
      <c r="VQ1" s="7"/>
      <c r="VR1" s="7"/>
      <c r="VS1" s="7"/>
      <c r="VT1" s="7"/>
      <c r="VU1" s="7"/>
      <c r="VV1" s="7"/>
      <c r="VW1" s="7"/>
      <c r="VX1" s="7"/>
      <c r="VY1" s="7"/>
      <c r="VZ1" s="7"/>
      <c r="WA1" s="7"/>
      <c r="WB1" s="7"/>
      <c r="WC1" s="7"/>
      <c r="WD1" s="7"/>
      <c r="WE1" s="7"/>
      <c r="WF1" s="7"/>
      <c r="WG1" s="7"/>
      <c r="WH1" s="7"/>
      <c r="WI1" s="7"/>
      <c r="WJ1" s="7"/>
      <c r="WK1" s="7"/>
      <c r="WL1" s="7"/>
      <c r="WM1" s="7"/>
      <c r="WN1" s="7"/>
      <c r="WO1" s="7"/>
      <c r="WP1" s="7"/>
      <c r="WQ1" s="7"/>
      <c r="WR1" s="7"/>
      <c r="WS1" s="7"/>
      <c r="WT1" s="7"/>
      <c r="WU1" s="7"/>
      <c r="WV1" s="7"/>
      <c r="WW1" s="7"/>
      <c r="WX1" s="7"/>
      <c r="WY1" s="7"/>
      <c r="WZ1" s="7"/>
      <c r="XA1" s="7"/>
      <c r="XB1" s="7"/>
      <c r="XC1" s="7"/>
      <c r="XD1" s="7"/>
      <c r="XE1" s="7"/>
      <c r="XF1" s="7"/>
      <c r="XG1" s="7"/>
      <c r="XH1" s="7"/>
      <c r="XI1" s="7"/>
      <c r="XJ1" s="7"/>
      <c r="XK1" s="7"/>
      <c r="XL1" s="7"/>
      <c r="XM1" s="7"/>
      <c r="XN1" s="7"/>
      <c r="XO1" s="7"/>
      <c r="XP1" s="7"/>
      <c r="XQ1" s="7"/>
      <c r="XR1" s="7"/>
      <c r="XS1" s="7"/>
      <c r="XT1" s="7"/>
      <c r="XU1" s="7"/>
      <c r="XV1" s="7"/>
      <c r="XW1" s="7"/>
      <c r="XX1" s="7"/>
      <c r="XY1" s="7"/>
      <c r="XZ1" s="7"/>
      <c r="YA1" s="7"/>
      <c r="YB1" s="7"/>
      <c r="YC1" s="7"/>
      <c r="YD1" s="7"/>
      <c r="YE1" s="7"/>
      <c r="YF1" s="7"/>
      <c r="YG1" s="7"/>
      <c r="YH1" s="7"/>
      <c r="YI1" s="7"/>
      <c r="YJ1" s="7"/>
      <c r="YK1" s="7"/>
      <c r="YL1" s="7"/>
      <c r="YM1" s="7"/>
      <c r="YN1" s="7"/>
      <c r="YO1" s="7"/>
      <c r="YP1" s="7"/>
      <c r="YQ1" s="7"/>
      <c r="YR1" s="7"/>
      <c r="YS1" s="7"/>
      <c r="YT1" s="7"/>
      <c r="YU1" s="7"/>
      <c r="YV1" s="7"/>
      <c r="YW1" s="7"/>
      <c r="YX1" s="7"/>
      <c r="YY1" s="7"/>
      <c r="YZ1" s="7"/>
      <c r="ZA1" s="7"/>
      <c r="ZB1" s="7"/>
      <c r="ZC1" s="7"/>
      <c r="ZD1" s="7"/>
      <c r="ZE1" s="7"/>
      <c r="ZF1" s="7"/>
      <c r="ZG1" s="7"/>
      <c r="ZH1" s="7"/>
      <c r="ZI1" s="7"/>
      <c r="ZJ1" s="7"/>
      <c r="ZK1" s="7"/>
      <c r="ZL1" s="7"/>
      <c r="ZM1" s="7"/>
      <c r="ZN1" s="7"/>
      <c r="ZO1" s="7"/>
      <c r="ZP1" s="7"/>
      <c r="ZQ1" s="7"/>
      <c r="ZR1" s="7"/>
      <c r="ZS1" s="7"/>
      <c r="ZT1" s="7"/>
      <c r="ZU1" s="7"/>
      <c r="ZV1" s="7"/>
      <c r="ZW1" s="7"/>
      <c r="ZX1" s="7"/>
      <c r="ZY1" s="7"/>
      <c r="ZZ1" s="7"/>
      <c r="AAA1" s="7"/>
      <c r="AAB1" s="7"/>
      <c r="AAC1" s="7"/>
      <c r="AAD1" s="7"/>
      <c r="AAE1" s="7"/>
      <c r="AAF1" s="7"/>
      <c r="AAG1" s="7"/>
      <c r="AAH1" s="7"/>
      <c r="AAI1" s="7"/>
      <c r="AAJ1" s="7"/>
      <c r="AAK1" s="7"/>
      <c r="AAL1" s="7"/>
      <c r="AAM1" s="7"/>
      <c r="AAN1" s="7"/>
      <c r="AAO1" s="7"/>
      <c r="AAP1" s="7"/>
      <c r="AAQ1" s="7"/>
      <c r="AAR1" s="7"/>
      <c r="AAS1" s="7"/>
      <c r="AAT1" s="7"/>
      <c r="AAU1" s="7"/>
      <c r="AAV1" s="7"/>
      <c r="AAW1" s="7"/>
      <c r="AAX1" s="7"/>
      <c r="AAY1" s="7"/>
      <c r="AAZ1" s="7"/>
      <c r="ABA1" s="7"/>
      <c r="ABB1" s="7"/>
      <c r="ABC1" s="7"/>
      <c r="ABD1" s="7"/>
      <c r="ABE1" s="7"/>
      <c r="ABF1" s="7"/>
      <c r="ABG1" s="7"/>
      <c r="ABH1" s="7"/>
      <c r="ABI1" s="7"/>
      <c r="ABJ1" s="7"/>
      <c r="ABK1" s="7"/>
      <c r="ABL1" s="7"/>
      <c r="ABM1" s="7"/>
      <c r="ABN1" s="7"/>
      <c r="ABO1" s="7"/>
      <c r="ABP1" s="7"/>
      <c r="ABQ1" s="7"/>
      <c r="ABR1" s="7"/>
      <c r="ABS1" s="7"/>
      <c r="ABT1" s="7"/>
      <c r="ABU1" s="7"/>
      <c r="ABV1" s="7"/>
      <c r="ABW1" s="7"/>
      <c r="ABX1" s="7"/>
      <c r="ABY1" s="7"/>
      <c r="ABZ1" s="7"/>
      <c r="ACA1" s="7"/>
      <c r="ACB1" s="7"/>
      <c r="ACC1" s="7"/>
      <c r="ACD1" s="7"/>
      <c r="ACE1" s="7"/>
      <c r="ACF1" s="7"/>
      <c r="ACG1" s="7"/>
      <c r="ACH1" s="7"/>
      <c r="ACI1" s="7"/>
      <c r="ACJ1" s="7"/>
      <c r="ACK1" s="7"/>
      <c r="ACL1" s="7"/>
      <c r="ACM1" s="7"/>
      <c r="ACN1" s="7"/>
      <c r="ACO1" s="7"/>
      <c r="ACP1" s="7"/>
      <c r="ACQ1" s="7"/>
      <c r="ACR1" s="7"/>
      <c r="ACS1" s="7"/>
      <c r="ACT1" s="7"/>
      <c r="ACU1" s="7"/>
      <c r="ACV1" s="7"/>
      <c r="ACW1" s="7"/>
      <c r="ACX1" s="7"/>
      <c r="ACY1" s="7"/>
      <c r="ACZ1" s="7"/>
      <c r="ADA1" s="7"/>
      <c r="ADB1" s="7"/>
      <c r="ADC1" s="7"/>
      <c r="ADD1" s="7"/>
      <c r="ADE1" s="7"/>
      <c r="ADF1" s="7"/>
      <c r="ADG1" s="7"/>
      <c r="ADH1" s="7"/>
      <c r="ADI1" s="7"/>
      <c r="ADJ1" s="7"/>
      <c r="ADK1" s="7"/>
      <c r="ADL1" s="7"/>
      <c r="ADM1" s="7"/>
      <c r="ADN1" s="7"/>
      <c r="ADO1" s="7"/>
      <c r="ADP1" s="7"/>
      <c r="ADQ1" s="7"/>
      <c r="ADR1" s="7"/>
      <c r="ADS1" s="7"/>
      <c r="ADT1" s="7"/>
      <c r="ADU1" s="7"/>
      <c r="ADV1" s="7"/>
      <c r="ADW1" s="7"/>
      <c r="ADX1" s="7"/>
      <c r="ADY1" s="7"/>
      <c r="ADZ1" s="7"/>
      <c r="AEA1" s="7"/>
      <c r="AEB1" s="7"/>
      <c r="AEC1" s="7"/>
      <c r="AED1" s="7"/>
      <c r="AEE1" s="7"/>
      <c r="AEF1" s="7"/>
      <c r="AEG1" s="7"/>
      <c r="AEH1" s="7"/>
      <c r="AEI1" s="7"/>
      <c r="AEJ1" s="7"/>
      <c r="AEK1" s="7"/>
      <c r="AEL1" s="7"/>
      <c r="AEM1" s="7"/>
      <c r="AEN1" s="7"/>
      <c r="AEO1" s="7"/>
      <c r="AEP1" s="7"/>
      <c r="AEQ1" s="7"/>
      <c r="AER1" s="7"/>
      <c r="AES1" s="7"/>
      <c r="AET1" s="7"/>
      <c r="AEU1" s="7"/>
      <c r="AEV1" s="7"/>
      <c r="AEW1" s="7"/>
      <c r="AEX1" s="7"/>
      <c r="AEY1" s="7"/>
      <c r="AEZ1" s="7"/>
      <c r="AFA1" s="7"/>
      <c r="AFB1" s="7"/>
      <c r="AFC1" s="7"/>
      <c r="AFD1" s="7"/>
      <c r="AFE1" s="7"/>
      <c r="AFF1" s="7"/>
      <c r="AFG1" s="7"/>
      <c r="AFH1" s="7"/>
      <c r="AFI1" s="7"/>
      <c r="AFJ1" s="7"/>
      <c r="AFK1" s="7"/>
      <c r="AFL1" s="7"/>
      <c r="AFM1" s="7"/>
      <c r="AFN1" s="7"/>
      <c r="AFO1" s="7"/>
      <c r="AFP1" s="7"/>
      <c r="AFQ1" s="7"/>
      <c r="AFR1" s="7"/>
      <c r="AFS1" s="7"/>
      <c r="AFT1" s="7"/>
      <c r="AFU1" s="7"/>
      <c r="AFV1" s="7"/>
      <c r="AFW1" s="7"/>
      <c r="AFX1" s="7"/>
      <c r="AFY1" s="7"/>
      <c r="AFZ1" s="7"/>
      <c r="AGA1" s="7"/>
      <c r="AGB1" s="7"/>
      <c r="AGC1" s="7"/>
      <c r="AGD1" s="7"/>
      <c r="AGE1" s="7"/>
      <c r="AGF1" s="7"/>
      <c r="AGG1" s="7"/>
      <c r="AGH1" s="7"/>
      <c r="AGI1" s="7"/>
      <c r="AGJ1" s="7"/>
      <c r="AGK1" s="7"/>
      <c r="AGL1" s="7"/>
      <c r="AGM1" s="7"/>
      <c r="AGN1" s="7"/>
      <c r="AGO1" s="7"/>
      <c r="AGP1" s="7"/>
      <c r="AGQ1" s="7"/>
      <c r="AGR1" s="7"/>
      <c r="AGS1" s="7"/>
      <c r="AGT1" s="7"/>
      <c r="AGU1" s="7"/>
      <c r="AGV1" s="7"/>
      <c r="AGW1" s="7"/>
      <c r="AGX1" s="7"/>
      <c r="AGY1" s="7"/>
      <c r="AGZ1" s="7"/>
      <c r="AHA1" s="7"/>
      <c r="AHB1" s="7"/>
      <c r="AHC1" s="7"/>
      <c r="AHD1" s="7"/>
      <c r="AHE1" s="7"/>
      <c r="AHF1" s="7"/>
      <c r="AHG1" s="7"/>
      <c r="AHH1" s="7"/>
      <c r="AHI1" s="7"/>
      <c r="AHJ1" s="7"/>
      <c r="AHK1" s="7"/>
      <c r="AHL1" s="7"/>
      <c r="AHM1" s="7"/>
      <c r="AHN1" s="7"/>
      <c r="AHO1" s="7"/>
      <c r="AHP1" s="7"/>
      <c r="AHQ1" s="7"/>
      <c r="AHR1" s="7"/>
      <c r="AHS1" s="7"/>
      <c r="AHT1" s="7"/>
      <c r="AHU1" s="7"/>
      <c r="AHV1" s="7"/>
      <c r="AHW1" s="7"/>
      <c r="AHX1" s="7"/>
      <c r="AHY1" s="7"/>
      <c r="AHZ1" s="7"/>
      <c r="AIA1" s="7"/>
      <c r="AIB1" s="7"/>
      <c r="AIC1" s="7"/>
      <c r="AID1" s="7"/>
      <c r="AIE1" s="7"/>
      <c r="AIF1" s="7"/>
      <c r="AIG1" s="7"/>
      <c r="AIH1" s="7"/>
      <c r="AII1" s="7"/>
      <c r="AIJ1" s="7"/>
      <c r="AIK1" s="7"/>
      <c r="AIL1" s="7"/>
      <c r="AIM1" s="7"/>
      <c r="AIN1" s="7"/>
      <c r="AIO1" s="7"/>
      <c r="AIP1" s="7"/>
      <c r="AIQ1" s="7"/>
      <c r="AIR1" s="7"/>
      <c r="AIS1" s="7"/>
      <c r="AIT1" s="7"/>
      <c r="AIU1" s="7"/>
      <c r="AIV1" s="7"/>
      <c r="AIW1" s="7"/>
      <c r="AIX1" s="7"/>
      <c r="AIY1" s="7"/>
      <c r="AIZ1" s="7"/>
      <c r="AJA1" s="7"/>
      <c r="AJB1" s="7"/>
      <c r="AJC1" s="7"/>
      <c r="AJD1" s="7"/>
      <c r="AJE1" s="7"/>
      <c r="AJF1" s="7"/>
      <c r="AJG1" s="7"/>
      <c r="AJH1" s="7"/>
      <c r="AJI1" s="7"/>
      <c r="AJJ1" s="7"/>
      <c r="AJK1" s="7"/>
      <c r="AJL1" s="7"/>
      <c r="AJM1" s="7"/>
      <c r="AJN1" s="7"/>
      <c r="AJO1" s="7"/>
      <c r="AJP1" s="7"/>
      <c r="AJQ1" s="7"/>
      <c r="AJR1" s="7"/>
      <c r="AJS1" s="7"/>
      <c r="AJT1" s="7"/>
      <c r="AJU1" s="7"/>
      <c r="AJV1" s="7"/>
      <c r="AJW1" s="7"/>
      <c r="AJX1" s="7"/>
      <c r="AJY1" s="7"/>
      <c r="AJZ1" s="7"/>
      <c r="AKA1" s="7"/>
      <c r="AKB1" s="7"/>
      <c r="AKC1" s="7"/>
      <c r="AKD1" s="7"/>
      <c r="AKE1" s="7"/>
      <c r="AKF1" s="7"/>
      <c r="AKG1" s="7"/>
      <c r="AKH1" s="7"/>
      <c r="AKI1" s="7"/>
      <c r="AKJ1" s="7"/>
      <c r="AKK1" s="7"/>
      <c r="AKL1" s="7"/>
      <c r="AKM1" s="7"/>
      <c r="AKN1" s="7"/>
      <c r="AKO1" s="7"/>
      <c r="AKP1" s="7"/>
      <c r="AKQ1" s="7"/>
      <c r="AKR1" s="7"/>
      <c r="AKS1" s="7"/>
      <c r="AKT1" s="7"/>
      <c r="AKU1" s="7"/>
      <c r="AKV1" s="7"/>
      <c r="AKW1" s="7"/>
      <c r="AKX1" s="7"/>
      <c r="AKY1" s="7"/>
      <c r="AKZ1" s="7"/>
      <c r="ALA1" s="7"/>
      <c r="ALB1" s="7"/>
      <c r="ALC1" s="7"/>
      <c r="ALD1" s="7"/>
      <c r="ALE1" s="7"/>
      <c r="ALF1" s="7"/>
      <c r="ALG1" s="7"/>
      <c r="ALH1" s="7"/>
      <c r="ALI1" s="7"/>
      <c r="ALJ1" s="7"/>
      <c r="ALK1" s="7"/>
      <c r="ALL1" s="7"/>
      <c r="ALM1" s="7"/>
      <c r="ALN1" s="7"/>
      <c r="ALO1" s="7"/>
      <c r="ALP1" s="7"/>
      <c r="ALQ1" s="7"/>
      <c r="ALR1" s="7"/>
      <c r="ALS1" s="7"/>
      <c r="ALT1" s="7"/>
      <c r="ALU1" s="7"/>
      <c r="ALV1" s="7"/>
      <c r="ALW1" s="7"/>
      <c r="ALX1" s="7"/>
      <c r="ALY1" s="7"/>
      <c r="ALZ1" s="7"/>
      <c r="AMA1" s="7"/>
      <c r="AMB1" s="7"/>
      <c r="AMC1" s="7"/>
      <c r="AMD1" s="7"/>
      <c r="AME1" s="7"/>
      <c r="AMF1" s="7"/>
      <c r="AMG1" s="7"/>
      <c r="AMH1" s="7"/>
      <c r="AMI1" s="7"/>
      <c r="AMJ1" s="7"/>
      <c r="AMK1" s="7"/>
      <c r="AML1" s="7"/>
      <c r="AMM1" s="7"/>
      <c r="AMN1" s="7"/>
      <c r="AMO1" s="7"/>
      <c r="AMP1" s="7"/>
      <c r="AMQ1" s="7"/>
      <c r="AMR1" s="7"/>
      <c r="AMS1" s="7"/>
      <c r="AMT1" s="7"/>
      <c r="AMU1" s="7"/>
      <c r="AMV1" s="7"/>
      <c r="AMW1" s="7"/>
      <c r="AMX1" s="7"/>
      <c r="AMY1" s="7"/>
      <c r="AMZ1" s="7"/>
      <c r="ANA1" s="7"/>
      <c r="ANB1" s="7"/>
      <c r="ANC1" s="7"/>
      <c r="AND1" s="7"/>
      <c r="ANE1" s="7"/>
      <c r="ANF1" s="7"/>
      <c r="ANG1" s="7"/>
      <c r="ANH1" s="7"/>
      <c r="ANI1" s="7"/>
      <c r="ANJ1" s="7"/>
      <c r="ANK1" s="7"/>
      <c r="ANL1" s="7"/>
      <c r="ANM1" s="7"/>
      <c r="ANN1" s="7"/>
      <c r="ANO1" s="7"/>
      <c r="ANP1" s="7"/>
      <c r="ANQ1" s="7"/>
      <c r="ANR1" s="7"/>
      <c r="ANS1" s="7"/>
      <c r="ANT1" s="7"/>
      <c r="ANU1" s="7"/>
      <c r="ANV1" s="7"/>
      <c r="ANW1" s="7"/>
      <c r="ANX1" s="7"/>
      <c r="ANY1" s="7"/>
      <c r="ANZ1" s="7"/>
      <c r="AOA1" s="7"/>
      <c r="AOB1" s="7"/>
      <c r="AOC1" s="7"/>
      <c r="AOD1" s="7"/>
      <c r="AOE1" s="7"/>
      <c r="AOF1" s="7"/>
      <c r="AOG1" s="7"/>
      <c r="AOH1" s="7"/>
      <c r="AOI1" s="7"/>
      <c r="AOJ1" s="7"/>
      <c r="AOK1" s="7"/>
      <c r="AOL1" s="7"/>
      <c r="AOM1" s="7"/>
      <c r="AON1" s="7"/>
      <c r="AOO1" s="7"/>
      <c r="AOP1" s="7"/>
      <c r="AOQ1" s="7"/>
      <c r="AOR1" s="7"/>
      <c r="AOS1" s="7"/>
      <c r="AOT1" s="7"/>
      <c r="AOU1" s="7"/>
      <c r="AOV1" s="7"/>
      <c r="AOW1" s="7"/>
      <c r="AOX1" s="7"/>
      <c r="AOY1" s="7"/>
      <c r="AOZ1" s="7"/>
      <c r="APA1" s="7"/>
      <c r="APB1" s="7"/>
      <c r="APC1" s="7"/>
      <c r="APD1" s="7"/>
      <c r="APE1" s="7"/>
      <c r="APF1" s="7"/>
      <c r="APG1" s="7"/>
      <c r="APH1" s="7"/>
      <c r="API1" s="7"/>
      <c r="APJ1" s="7"/>
      <c r="APK1" s="7"/>
      <c r="APL1" s="7"/>
      <c r="APM1" s="7"/>
      <c r="APN1" s="7"/>
      <c r="APO1" s="7"/>
      <c r="APP1" s="7"/>
      <c r="APQ1" s="7"/>
      <c r="APR1" s="7"/>
      <c r="APS1" s="7"/>
      <c r="APT1" s="7"/>
      <c r="APU1" s="7"/>
      <c r="APV1" s="7"/>
      <c r="APW1" s="7"/>
      <c r="APX1" s="7"/>
      <c r="APY1" s="7"/>
      <c r="APZ1" s="7"/>
      <c r="AQA1" s="7"/>
      <c r="AQB1" s="7"/>
      <c r="AQC1" s="7"/>
      <c r="AQD1" s="7"/>
      <c r="AQE1" s="7"/>
      <c r="AQF1" s="7"/>
      <c r="AQG1" s="7"/>
      <c r="AQH1" s="7"/>
      <c r="AQI1" s="7"/>
      <c r="AQJ1" s="7"/>
      <c r="AQK1" s="7"/>
      <c r="AQL1" s="7"/>
      <c r="AQM1" s="7"/>
      <c r="AQN1" s="7"/>
      <c r="AQO1" s="7"/>
      <c r="AQP1" s="7"/>
      <c r="AQQ1" s="7"/>
      <c r="AQR1" s="7"/>
      <c r="AQS1" s="7"/>
      <c r="AQT1" s="7"/>
      <c r="AQU1" s="7"/>
      <c r="AQV1" s="7"/>
      <c r="AQW1" s="7"/>
      <c r="AQX1" s="7"/>
      <c r="AQY1" s="7"/>
      <c r="AQZ1" s="7"/>
      <c r="ARA1" s="7"/>
      <c r="ARB1" s="7"/>
      <c r="ARC1" s="7"/>
      <c r="ARD1" s="7"/>
      <c r="ARE1" s="7"/>
      <c r="ARF1" s="7"/>
      <c r="ARG1" s="7"/>
      <c r="ARH1" s="7"/>
      <c r="ARI1" s="7"/>
      <c r="ARJ1" s="7"/>
      <c r="ARK1" s="7"/>
      <c r="ARL1" s="7"/>
      <c r="ARM1" s="7"/>
      <c r="ARN1" s="7"/>
      <c r="ARO1" s="7"/>
      <c r="ARP1" s="7"/>
      <c r="ARQ1" s="7"/>
      <c r="ARR1" s="7"/>
      <c r="ARS1" s="7"/>
      <c r="ART1" s="7"/>
      <c r="ARU1" s="7"/>
      <c r="ARV1" s="7"/>
      <c r="ARW1" s="7"/>
      <c r="ARX1" s="7"/>
      <c r="ARY1" s="7"/>
      <c r="ARZ1" s="7"/>
      <c r="ASA1" s="7"/>
      <c r="ASB1" s="7"/>
      <c r="ASC1" s="7"/>
      <c r="ASD1" s="7"/>
      <c r="ASE1" s="7"/>
      <c r="ASF1" s="7"/>
      <c r="ASG1" s="7"/>
      <c r="ASH1" s="7"/>
      <c r="ASI1" s="7"/>
      <c r="ASJ1" s="7"/>
      <c r="ASK1" s="7"/>
      <c r="ASL1" s="7"/>
      <c r="ASM1" s="7"/>
      <c r="ASN1" s="7"/>
      <c r="ASO1" s="7"/>
      <c r="ASP1" s="7"/>
      <c r="ASQ1" s="7"/>
      <c r="ASR1" s="7"/>
      <c r="ASS1" s="7"/>
      <c r="AST1" s="7"/>
      <c r="ASU1" s="7"/>
      <c r="ASV1" s="7"/>
      <c r="ASW1" s="7"/>
      <c r="ASX1" s="7"/>
      <c r="ASY1" s="7"/>
      <c r="ASZ1" s="7"/>
      <c r="ATA1" s="7"/>
      <c r="ATB1" s="7"/>
      <c r="ATC1" s="7"/>
      <c r="ATD1" s="7"/>
      <c r="ATE1" s="7"/>
      <c r="ATF1" s="7"/>
      <c r="ATG1" s="7"/>
      <c r="ATH1" s="7"/>
      <c r="ATI1" s="7"/>
      <c r="ATJ1" s="7"/>
      <c r="ATK1" s="7"/>
      <c r="ATL1" s="7"/>
      <c r="ATM1" s="7"/>
      <c r="ATN1" s="7"/>
      <c r="ATO1" s="7"/>
      <c r="ATP1" s="7"/>
      <c r="ATQ1" s="7"/>
      <c r="ATR1" s="7"/>
      <c r="ATS1" s="7"/>
      <c r="ATT1" s="7"/>
      <c r="ATU1" s="7"/>
      <c r="ATV1" s="7"/>
      <c r="ATW1" s="7"/>
      <c r="ATX1" s="7"/>
      <c r="ATY1" s="7"/>
      <c r="ATZ1" s="7"/>
      <c r="AUA1" s="7"/>
      <c r="AUB1" s="7"/>
      <c r="AUC1" s="7"/>
      <c r="AUD1" s="7"/>
      <c r="AUE1" s="7"/>
      <c r="AUF1" s="7"/>
      <c r="AUG1" s="7"/>
      <c r="AUH1" s="7"/>
      <c r="AUI1" s="7"/>
      <c r="AUJ1" s="7"/>
      <c r="AUK1" s="7"/>
      <c r="AUL1" s="7"/>
      <c r="AUM1" s="7"/>
      <c r="AUN1" s="7"/>
      <c r="AUO1" s="7"/>
      <c r="AUP1" s="7"/>
      <c r="AUQ1" s="7"/>
      <c r="AUR1" s="7"/>
      <c r="AUS1" s="7"/>
      <c r="AUT1" s="7"/>
      <c r="AUU1" s="7"/>
      <c r="AUV1" s="7"/>
      <c r="AUW1" s="7"/>
      <c r="AUX1" s="7"/>
      <c r="AUY1" s="7"/>
      <c r="AUZ1" s="7"/>
      <c r="AVA1" s="7"/>
      <c r="AVB1" s="7"/>
      <c r="AVC1" s="7"/>
      <c r="AVD1" s="7"/>
      <c r="AVE1" s="7"/>
      <c r="AVF1" s="7"/>
      <c r="AVG1" s="7"/>
      <c r="AVH1" s="7"/>
      <c r="AVI1" s="7"/>
      <c r="AVJ1" s="7"/>
      <c r="AVK1" s="7"/>
      <c r="AVL1" s="7"/>
      <c r="AVM1" s="7"/>
      <c r="AVN1" s="7"/>
      <c r="AVO1" s="7"/>
      <c r="AVP1" s="7"/>
      <c r="AVQ1" s="7"/>
      <c r="AVR1" s="7"/>
      <c r="AVS1" s="7"/>
      <c r="AVT1" s="7"/>
      <c r="AVU1" s="7"/>
      <c r="AVV1" s="7"/>
      <c r="AVW1" s="7"/>
      <c r="AVX1" s="7"/>
      <c r="AVY1" s="7"/>
      <c r="AVZ1" s="7"/>
      <c r="AWA1" s="7"/>
      <c r="AWB1" s="7"/>
      <c r="AWC1" s="7"/>
      <c r="AWD1" s="7"/>
      <c r="AWE1" s="7"/>
      <c r="AWF1" s="7"/>
      <c r="AWG1" s="7"/>
      <c r="AWH1" s="7"/>
      <c r="AWI1" s="7"/>
      <c r="AWJ1" s="7"/>
      <c r="AWK1" s="7"/>
      <c r="AWL1" s="7"/>
      <c r="AWM1" s="7"/>
      <c r="AWN1" s="7"/>
      <c r="AWO1" s="7"/>
      <c r="AWP1" s="7"/>
      <c r="AWQ1" s="7"/>
      <c r="AWR1" s="7"/>
      <c r="AWS1" s="7"/>
      <c r="AWT1" s="7"/>
      <c r="AWU1" s="7"/>
      <c r="AWV1" s="7"/>
      <c r="AWW1" s="7"/>
      <c r="AWX1" s="7"/>
      <c r="AWY1" s="7"/>
      <c r="AWZ1" s="7"/>
      <c r="AXA1" s="7"/>
      <c r="AXB1" s="7"/>
      <c r="AXC1" s="7"/>
      <c r="AXD1" s="7"/>
      <c r="AXE1" s="7"/>
      <c r="AXF1" s="7"/>
      <c r="AXG1" s="7"/>
      <c r="AXH1" s="7"/>
      <c r="AXI1" s="7"/>
      <c r="AXJ1" s="7"/>
      <c r="AXK1" s="7"/>
      <c r="AXL1" s="7"/>
      <c r="AXM1" s="7"/>
      <c r="AXN1" s="7"/>
      <c r="AXO1" s="7"/>
      <c r="AXP1" s="7"/>
      <c r="AXQ1" s="7"/>
      <c r="AXR1" s="7"/>
      <c r="AXS1" s="7"/>
      <c r="AXT1" s="7"/>
      <c r="AXU1" s="7"/>
      <c r="AXV1" s="7"/>
      <c r="AXW1" s="7"/>
      <c r="AXX1" s="7"/>
      <c r="AXY1" s="7"/>
      <c r="AXZ1" s="7"/>
      <c r="AYA1" s="7"/>
      <c r="AYB1" s="7"/>
      <c r="AYC1" s="7"/>
      <c r="AYD1" s="7"/>
      <c r="AYE1" s="7"/>
      <c r="AYF1" s="7"/>
      <c r="AYG1" s="7"/>
      <c r="AYH1" s="7"/>
      <c r="AYI1" s="7"/>
      <c r="AYJ1" s="7"/>
      <c r="AYK1" s="7"/>
      <c r="AYL1" s="7"/>
      <c r="AYM1" s="7"/>
      <c r="AYN1" s="7"/>
      <c r="AYO1" s="7"/>
      <c r="AYP1" s="7"/>
      <c r="AYQ1" s="7"/>
      <c r="AYR1" s="7"/>
      <c r="AYS1" s="7"/>
      <c r="AYT1" s="7"/>
      <c r="AYU1" s="7"/>
      <c r="AYV1" s="7"/>
      <c r="AYW1" s="7"/>
      <c r="AYX1" s="7"/>
      <c r="AYY1" s="7"/>
      <c r="AYZ1" s="7"/>
      <c r="AZA1" s="7"/>
      <c r="AZB1" s="7"/>
      <c r="AZC1" s="7"/>
      <c r="AZD1" s="7"/>
      <c r="AZE1" s="7"/>
      <c r="AZF1" s="7"/>
      <c r="AZG1" s="7"/>
      <c r="AZH1" s="7"/>
      <c r="AZI1" s="7"/>
      <c r="AZJ1" s="7"/>
      <c r="AZK1" s="7"/>
      <c r="AZL1" s="7"/>
      <c r="AZM1" s="7"/>
      <c r="AZN1" s="7"/>
      <c r="AZO1" s="7"/>
      <c r="AZP1" s="7"/>
      <c r="AZQ1" s="7"/>
      <c r="AZR1" s="7"/>
      <c r="AZS1" s="7"/>
      <c r="AZT1" s="7"/>
      <c r="AZU1" s="7"/>
      <c r="AZV1" s="7"/>
      <c r="AZW1" s="7"/>
      <c r="AZX1" s="7"/>
      <c r="AZY1" s="7"/>
      <c r="AZZ1" s="7"/>
      <c r="BAA1" s="7"/>
      <c r="BAB1" s="7"/>
      <c r="BAC1" s="7"/>
      <c r="BAD1" s="7"/>
      <c r="BAE1" s="7"/>
      <c r="BAF1" s="7"/>
      <c r="BAG1" s="7"/>
      <c r="BAH1" s="7"/>
      <c r="BAI1" s="7"/>
      <c r="BAJ1" s="7"/>
      <c r="BAK1" s="7"/>
      <c r="BAL1" s="7"/>
      <c r="BAM1" s="7"/>
      <c r="BAN1" s="7"/>
      <c r="BAO1" s="7"/>
      <c r="BAP1" s="7"/>
      <c r="BAQ1" s="7"/>
      <c r="BAR1" s="7"/>
      <c r="BAS1" s="7"/>
      <c r="BAT1" s="7"/>
      <c r="BAU1" s="7"/>
      <c r="BAV1" s="7"/>
      <c r="BAW1" s="7"/>
      <c r="BAX1" s="7"/>
      <c r="BAY1" s="7"/>
      <c r="BAZ1" s="7"/>
      <c r="BBA1" s="7"/>
      <c r="BBB1" s="7"/>
      <c r="BBC1" s="7"/>
      <c r="BBD1" s="7"/>
      <c r="BBE1" s="7"/>
      <c r="BBF1" s="7"/>
      <c r="BBG1" s="7"/>
      <c r="BBH1" s="7"/>
      <c r="BBI1" s="7"/>
      <c r="BBJ1" s="7"/>
      <c r="BBK1" s="7"/>
      <c r="BBL1" s="7"/>
      <c r="BBM1" s="7"/>
      <c r="BBN1" s="7"/>
      <c r="BBO1" s="7"/>
      <c r="BBP1" s="7"/>
      <c r="BBQ1" s="7"/>
      <c r="BBR1" s="7"/>
      <c r="BBS1" s="7"/>
      <c r="BBT1" s="7"/>
      <c r="BBU1" s="7"/>
      <c r="BBV1" s="7"/>
      <c r="BBW1" s="7"/>
      <c r="BBX1" s="7"/>
      <c r="BBY1" s="7"/>
      <c r="BBZ1" s="7"/>
      <c r="BCA1" s="7"/>
      <c r="BCB1" s="7"/>
      <c r="BCC1" s="7"/>
      <c r="BCD1" s="7"/>
      <c r="BCE1" s="7"/>
      <c r="BCF1" s="7"/>
      <c r="BCG1" s="7"/>
      <c r="BCH1" s="7"/>
      <c r="BCI1" s="7"/>
      <c r="BCJ1" s="7"/>
      <c r="BCK1" s="7"/>
      <c r="BCL1" s="7"/>
      <c r="BCM1" s="7"/>
      <c r="BCN1" s="7"/>
      <c r="BCO1" s="7"/>
      <c r="BCP1" s="7"/>
      <c r="BCQ1" s="7"/>
      <c r="BCR1" s="7"/>
      <c r="BCS1" s="7"/>
      <c r="BCT1" s="7"/>
      <c r="BCU1" s="7"/>
      <c r="BCV1" s="7"/>
      <c r="BCW1" s="7"/>
      <c r="BCX1" s="7"/>
      <c r="BCY1" s="7"/>
      <c r="BCZ1" s="7"/>
      <c r="BDA1" s="7"/>
      <c r="BDB1" s="7"/>
      <c r="BDC1" s="7"/>
      <c r="BDD1" s="7"/>
      <c r="BDE1" s="7"/>
      <c r="BDF1" s="7"/>
      <c r="BDG1" s="7"/>
      <c r="BDH1" s="7"/>
      <c r="BDI1" s="7"/>
      <c r="BDJ1" s="7"/>
      <c r="BDK1" s="7"/>
      <c r="BDL1" s="7"/>
      <c r="BDM1" s="7"/>
      <c r="BDN1" s="7"/>
      <c r="BDO1" s="7"/>
      <c r="BDP1" s="7"/>
      <c r="BDQ1" s="7"/>
      <c r="BDR1" s="7"/>
      <c r="BDS1" s="7"/>
      <c r="BDT1" s="7"/>
      <c r="BDU1" s="7"/>
      <c r="BDV1" s="7"/>
      <c r="BDW1" s="7"/>
      <c r="BDX1" s="7"/>
      <c r="BDY1" s="7"/>
      <c r="BDZ1" s="7"/>
      <c r="BEA1" s="7"/>
      <c r="BEB1" s="7"/>
      <c r="BEC1" s="7"/>
      <c r="BED1" s="7"/>
      <c r="BEE1" s="7"/>
      <c r="BEF1" s="7"/>
      <c r="BEG1" s="7"/>
      <c r="BEH1" s="7"/>
      <c r="BEI1" s="7"/>
      <c r="BEJ1" s="7"/>
      <c r="BEK1" s="7"/>
      <c r="BEL1" s="7"/>
      <c r="BEM1" s="7"/>
      <c r="BEN1" s="7"/>
      <c r="BEO1" s="7"/>
      <c r="BEP1" s="7"/>
      <c r="BEQ1" s="7"/>
      <c r="BER1" s="7"/>
      <c r="BES1" s="7"/>
      <c r="BET1" s="7"/>
      <c r="BEU1" s="7"/>
      <c r="BEV1" s="7"/>
      <c r="BEW1" s="7"/>
      <c r="BEX1" s="7"/>
      <c r="BEY1" s="7"/>
      <c r="BEZ1" s="7"/>
      <c r="BFA1" s="7"/>
      <c r="BFB1" s="7"/>
      <c r="BFC1" s="7"/>
      <c r="BFD1" s="7"/>
      <c r="BFE1" s="7"/>
      <c r="BFF1" s="7"/>
      <c r="BFG1" s="7"/>
      <c r="BFH1" s="7"/>
      <c r="BFI1" s="7"/>
      <c r="BFJ1" s="7"/>
      <c r="BFK1" s="7"/>
      <c r="BFL1" s="7"/>
      <c r="BFM1" s="7"/>
      <c r="BFN1" s="7"/>
      <c r="BFO1" s="7"/>
      <c r="BFP1" s="7"/>
      <c r="BFQ1" s="7"/>
      <c r="BFR1" s="7"/>
      <c r="BFS1" s="7"/>
      <c r="BFT1" s="7"/>
      <c r="BFU1" s="7"/>
      <c r="BFV1" s="7"/>
      <c r="BFW1" s="7"/>
      <c r="BFX1" s="7"/>
      <c r="BFY1" s="7"/>
      <c r="BFZ1" s="7"/>
      <c r="BGA1" s="7"/>
      <c r="BGB1" s="7"/>
      <c r="BGC1" s="7"/>
      <c r="BGD1" s="7"/>
      <c r="BGE1" s="7"/>
      <c r="BGF1" s="7"/>
      <c r="BGG1" s="7"/>
      <c r="BGH1" s="7"/>
      <c r="BGI1" s="7"/>
      <c r="BGJ1" s="7"/>
      <c r="BGK1" s="7"/>
      <c r="BGL1" s="7"/>
      <c r="BGM1" s="7"/>
      <c r="BGN1" s="7"/>
      <c r="BGO1" s="7"/>
      <c r="BGP1" s="7"/>
      <c r="BGQ1" s="7"/>
      <c r="BGR1" s="7"/>
      <c r="BGS1" s="7"/>
      <c r="BGT1" s="7"/>
      <c r="BGU1" s="7"/>
      <c r="BGV1" s="7"/>
      <c r="BGW1" s="7"/>
      <c r="BGX1" s="7"/>
      <c r="BGY1" s="7"/>
      <c r="BGZ1" s="7"/>
      <c r="BHA1" s="7"/>
      <c r="BHB1" s="7"/>
      <c r="BHC1" s="7"/>
      <c r="BHD1" s="7"/>
      <c r="BHE1" s="7"/>
      <c r="BHF1" s="7"/>
      <c r="BHG1" s="7"/>
      <c r="BHH1" s="7"/>
      <c r="BHI1" s="7"/>
      <c r="BHJ1" s="7"/>
      <c r="BHK1" s="7"/>
      <c r="BHL1" s="7"/>
      <c r="BHM1" s="7"/>
      <c r="BHN1" s="7"/>
      <c r="BHO1" s="7"/>
      <c r="BHP1" s="7"/>
      <c r="BHQ1" s="7"/>
      <c r="BHR1" s="7"/>
      <c r="BHS1" s="7"/>
      <c r="BHT1" s="7"/>
      <c r="BHU1" s="7"/>
      <c r="BHV1" s="7"/>
      <c r="BHW1" s="7"/>
      <c r="BHX1" s="7"/>
      <c r="BHY1" s="7"/>
      <c r="BHZ1" s="7"/>
      <c r="BIA1" s="7"/>
      <c r="BIB1" s="7"/>
      <c r="BIC1" s="7"/>
      <c r="BID1" s="7"/>
      <c r="BIE1" s="7"/>
      <c r="BIF1" s="7"/>
      <c r="BIG1" s="7"/>
      <c r="BIH1" s="7"/>
      <c r="BII1" s="7"/>
      <c r="BIJ1" s="7"/>
      <c r="BIK1" s="7"/>
      <c r="BIL1" s="7"/>
      <c r="BIM1" s="7"/>
      <c r="BIN1" s="7"/>
      <c r="BIO1" s="7"/>
      <c r="BIP1" s="7"/>
      <c r="BIQ1" s="7"/>
      <c r="BIR1" s="7"/>
      <c r="BIS1" s="7"/>
      <c r="BIT1" s="7"/>
      <c r="BIU1" s="7"/>
      <c r="BIV1" s="7"/>
      <c r="BIW1" s="7"/>
      <c r="BIX1" s="7"/>
      <c r="BIY1" s="7"/>
      <c r="BIZ1" s="7"/>
      <c r="BJA1" s="7"/>
      <c r="BJB1" s="7"/>
      <c r="BJC1" s="7"/>
      <c r="BJD1" s="7"/>
      <c r="BJE1" s="7"/>
      <c r="BJF1" s="7"/>
      <c r="BJG1" s="7"/>
      <c r="BJH1" s="7"/>
      <c r="BJI1" s="7"/>
      <c r="BJJ1" s="7"/>
      <c r="BJK1" s="7"/>
      <c r="BJL1" s="7"/>
      <c r="BJM1" s="7"/>
      <c r="BJN1" s="7"/>
      <c r="BJO1" s="7"/>
      <c r="BJP1" s="7"/>
      <c r="BJQ1" s="7"/>
      <c r="BJR1" s="7"/>
      <c r="BJS1" s="7"/>
      <c r="BJT1" s="7"/>
      <c r="BJU1" s="7"/>
      <c r="BJV1" s="7"/>
      <c r="BJW1" s="7"/>
      <c r="BJX1" s="7"/>
      <c r="BJY1" s="7"/>
      <c r="BJZ1" s="7"/>
      <c r="BKA1" s="7"/>
      <c r="BKB1" s="7"/>
      <c r="BKC1" s="7"/>
      <c r="BKD1" s="7"/>
      <c r="BKE1" s="7"/>
      <c r="BKF1" s="7"/>
      <c r="BKG1" s="7"/>
      <c r="BKH1" s="7"/>
      <c r="BKI1" s="7"/>
      <c r="BKJ1" s="7"/>
      <c r="BKK1" s="7"/>
      <c r="BKL1" s="7"/>
      <c r="BKM1" s="7"/>
      <c r="BKN1" s="7"/>
      <c r="BKO1" s="7"/>
      <c r="BKP1" s="7"/>
      <c r="BKQ1" s="7"/>
      <c r="BKR1" s="7"/>
      <c r="BKS1" s="7"/>
      <c r="BKT1" s="7"/>
      <c r="BKU1" s="7"/>
      <c r="BKV1" s="7"/>
      <c r="BKW1" s="7"/>
      <c r="BKX1" s="7"/>
      <c r="BKY1" s="7"/>
      <c r="BKZ1" s="7"/>
      <c r="BLA1" s="7"/>
      <c r="BLB1" s="7"/>
      <c r="BLC1" s="7"/>
      <c r="BLD1" s="7"/>
      <c r="BLE1" s="7"/>
      <c r="BLF1" s="7"/>
      <c r="BLG1" s="7"/>
      <c r="BLH1" s="7"/>
      <c r="BLI1" s="7"/>
      <c r="BLJ1" s="7"/>
      <c r="BLK1" s="7"/>
      <c r="BLL1" s="7"/>
      <c r="BLM1" s="7"/>
      <c r="BLN1" s="7"/>
      <c r="BLO1" s="7"/>
      <c r="BLP1" s="7"/>
      <c r="BLQ1" s="7"/>
      <c r="BLR1" s="7"/>
      <c r="BLS1" s="7"/>
      <c r="BLT1" s="7"/>
      <c r="BLU1" s="7"/>
      <c r="BLV1" s="7"/>
      <c r="BLW1" s="7"/>
      <c r="BLX1" s="7"/>
      <c r="BLY1" s="7"/>
      <c r="BLZ1" s="7"/>
      <c r="BMA1" s="7"/>
      <c r="BMB1" s="7"/>
      <c r="BMC1" s="7"/>
      <c r="BMD1" s="7"/>
      <c r="BME1" s="7"/>
      <c r="BMF1" s="7"/>
      <c r="BMG1" s="7"/>
      <c r="BMH1" s="7"/>
      <c r="BMI1" s="7"/>
      <c r="BMJ1" s="7"/>
      <c r="BMK1" s="7"/>
      <c r="BML1" s="7"/>
      <c r="BMM1" s="7"/>
      <c r="BMN1" s="7"/>
      <c r="BMO1" s="7"/>
      <c r="BMP1" s="7"/>
      <c r="BMQ1" s="7"/>
      <c r="BMR1" s="7"/>
      <c r="BMS1" s="7"/>
      <c r="BMT1" s="7"/>
      <c r="BMU1" s="7"/>
      <c r="BMV1" s="7"/>
      <c r="BMW1" s="7"/>
      <c r="BMX1" s="7"/>
      <c r="BMY1" s="7"/>
      <c r="BMZ1" s="7"/>
      <c r="BNA1" s="7"/>
      <c r="BNB1" s="7"/>
      <c r="BNC1" s="7"/>
      <c r="BND1" s="7"/>
      <c r="BNE1" s="7"/>
      <c r="BNF1" s="7"/>
      <c r="BNG1" s="7"/>
      <c r="BNH1" s="7"/>
      <c r="BNI1" s="7"/>
      <c r="BNJ1" s="7"/>
      <c r="BNK1" s="7"/>
      <c r="BNL1" s="7"/>
      <c r="BNM1" s="7"/>
      <c r="BNN1" s="7"/>
      <c r="BNO1" s="7"/>
      <c r="BNP1" s="7"/>
      <c r="BNQ1" s="7"/>
      <c r="BNR1" s="7"/>
      <c r="BNS1" s="7"/>
      <c r="BNT1" s="7"/>
      <c r="BNU1" s="7"/>
      <c r="BNV1" s="7"/>
      <c r="BNW1" s="7"/>
      <c r="BNX1" s="7"/>
      <c r="BNY1" s="7"/>
      <c r="BNZ1" s="7"/>
      <c r="BOA1" s="7"/>
      <c r="BOB1" s="7"/>
      <c r="BOC1" s="7"/>
      <c r="BOD1" s="7"/>
      <c r="BOE1" s="7"/>
      <c r="BOF1" s="7"/>
      <c r="BOG1" s="7"/>
      <c r="BOH1" s="7"/>
      <c r="BOI1" s="7"/>
      <c r="BOJ1" s="7"/>
      <c r="BOK1" s="7"/>
      <c r="BOL1" s="7"/>
      <c r="BOM1" s="7"/>
      <c r="BON1" s="7"/>
      <c r="BOO1" s="7"/>
      <c r="BOP1" s="7"/>
      <c r="BOQ1" s="7"/>
      <c r="BOR1" s="7"/>
      <c r="BOS1" s="7"/>
      <c r="BOT1" s="7"/>
      <c r="BOU1" s="7"/>
      <c r="BOV1" s="7"/>
      <c r="BOW1" s="7"/>
      <c r="BOX1" s="7"/>
      <c r="BOY1" s="7"/>
      <c r="BOZ1" s="7"/>
      <c r="BPA1" s="7"/>
      <c r="BPB1" s="7"/>
      <c r="BPC1" s="7"/>
      <c r="BPD1" s="7"/>
      <c r="BPE1" s="7"/>
      <c r="BPF1" s="7"/>
      <c r="BPG1" s="7"/>
      <c r="BPH1" s="7"/>
      <c r="BPI1" s="7"/>
      <c r="BPJ1" s="7"/>
      <c r="BPK1" s="7"/>
      <c r="BPL1" s="7"/>
      <c r="BPM1" s="7"/>
      <c r="BPN1" s="7"/>
      <c r="BPO1" s="7"/>
      <c r="BPP1" s="7"/>
      <c r="BPQ1" s="7"/>
      <c r="BPR1" s="7"/>
      <c r="BPS1" s="7"/>
      <c r="BPT1" s="7"/>
      <c r="BPU1" s="7"/>
      <c r="BPV1" s="7"/>
      <c r="BPW1" s="7"/>
      <c r="BPX1" s="7"/>
    </row>
    <row r="2" spans="1:1792">
      <c r="B2" s="7"/>
      <c r="C2" s="31" t="str" cm="1">
        <f t="array" aca="1" ref="C2" ca="1">INDIRECT("DATA!" &amp; ADDRESS(36,C1))</f>
        <v>MIN</v>
      </c>
      <c r="D2" s="32" cm="1">
        <f t="array" aca="1" ref="D2" ca="1">INDIRECT("DATA!" &amp; ADDRESS(36,D1))</f>
        <v>0.25</v>
      </c>
      <c r="E2" s="32" cm="1">
        <f t="array" aca="1" ref="E2" ca="1">INDIRECT("DATA!" &amp; ADDRESS(36,E1))</f>
        <v>0.5</v>
      </c>
      <c r="F2" s="32" cm="1">
        <f t="array" aca="1" ref="F2" ca="1">INDIRECT("DATA!" &amp; ADDRESS(36,F1))</f>
        <v>0.75</v>
      </c>
      <c r="G2" s="31" t="str" cm="1">
        <f t="array" aca="1" ref="G2" ca="1">INDIRECT("DATA!" &amp; ADDRESS(36,G1))</f>
        <v>MAX</v>
      </c>
      <c r="H2" s="31" t="str" cm="1">
        <f t="array" aca="1" ref="H2" ca="1">INDIRECT("DATA!" &amp; ADDRESS(36,H1))</f>
        <v>TARGET</v>
      </c>
      <c r="I2" s="31"/>
      <c r="J2" s="31" t="str">
        <f t="shared" ref="J2:O2" ca="1" si="0">C2</f>
        <v>MIN</v>
      </c>
      <c r="K2" s="32">
        <f t="shared" ca="1" si="0"/>
        <v>0.25</v>
      </c>
      <c r="L2" s="32">
        <f t="shared" ca="1" si="0"/>
        <v>0.5</v>
      </c>
      <c r="M2" s="32">
        <f t="shared" ca="1" si="0"/>
        <v>0.75</v>
      </c>
      <c r="N2" s="31" t="str">
        <f t="shared" ca="1" si="0"/>
        <v>MAX</v>
      </c>
      <c r="O2" s="31" t="str">
        <f t="shared" ca="1" si="0"/>
        <v>TARGET</v>
      </c>
      <c r="P2" s="31"/>
      <c r="Q2" s="31"/>
      <c r="R2" s="7"/>
      <c r="S2" s="7"/>
      <c r="T2" s="7"/>
      <c r="U2" s="7"/>
      <c r="V2" s="7"/>
      <c r="W2" s="111" t="s">
        <v>416</v>
      </c>
      <c r="X2" s="111" t="s">
        <v>416</v>
      </c>
      <c r="Y2" s="111" t="s">
        <v>417</v>
      </c>
      <c r="Z2" s="111" t="s">
        <v>418</v>
      </c>
      <c r="AA2" s="31" t="s">
        <v>228</v>
      </c>
      <c r="AB2" s="31" t="s">
        <v>229</v>
      </c>
      <c r="AC2" s="31" t="s">
        <v>228</v>
      </c>
      <c r="AD2" s="7"/>
      <c r="AE2" s="7"/>
      <c r="AF2" s="7"/>
      <c r="AX2" s="7"/>
      <c r="AY2" s="7"/>
      <c r="AZ2" s="7"/>
    </row>
    <row r="3" spans="1:1792" s="39" customFormat="1">
      <c r="A3" s="34" t="s">
        <v>96</v>
      </c>
      <c r="B3" s="35">
        <f t="shared" ref="B3:B9" si="1">37 + MATCH(A3,BDNAMES2,0) - 1</f>
        <v>38</v>
      </c>
      <c r="C3" s="35" cm="1">
        <f t="array" aca="1" ref="C3" ca="1">VALUE(INDIRECT("Data!"&amp;ADDRESS($B3,C$1)))</f>
        <v>2053.9029999999998</v>
      </c>
      <c r="D3" s="35" cm="1">
        <f t="array" aca="1" ref="D3" ca="1">VALUE(INDIRECT("Data!"&amp;ADDRESS($B3,D$1)))</f>
        <v>8459.6716787500009</v>
      </c>
      <c r="E3" s="35" cm="1">
        <f t="array" aca="1" ref="E3" ca="1">VALUE(INDIRECT("Data!"&amp;ADDRESS($B3,E$1)))</f>
        <v>11220.2945</v>
      </c>
      <c r="F3" s="35" cm="1">
        <f t="array" aca="1" ref="F3" ca="1">VALUE(INDIRECT("Data!"&amp;ADDRESS($B3,F$1)))</f>
        <v>19730.449999999997</v>
      </c>
      <c r="G3" s="35" cm="1">
        <f t="array" aca="1" ref="G3" ca="1">VALUE(INDIRECT("Data!"&amp;ADDRESS($B3,G$1)))</f>
        <v>47049</v>
      </c>
      <c r="H3" s="35" cm="1">
        <f t="array" aca="1" ref="H3" ca="1">VALUE(INDIRECT("Data!"&amp;ADDRESS($B3,H$1)))</f>
        <v>8691</v>
      </c>
      <c r="I3" s="35"/>
      <c r="J3" s="35" t="str">
        <f t="shared" ref="J3:O3" ca="1" si="2">"$" &amp; TEXT(ROUND(C3,0), "#,##0") &amp; " MM"</f>
        <v>$2,054 MM</v>
      </c>
      <c r="K3" s="35" t="str">
        <f t="shared" ca="1" si="2"/>
        <v>$8,460 MM</v>
      </c>
      <c r="L3" s="35" t="str">
        <f t="shared" ca="1" si="2"/>
        <v>$11,220 MM</v>
      </c>
      <c r="M3" s="35" t="str">
        <f t="shared" ca="1" si="2"/>
        <v>$19,730 MM</v>
      </c>
      <c r="N3" s="35" t="str">
        <f t="shared" ca="1" si="2"/>
        <v>$47,049 MM</v>
      </c>
      <c r="O3" s="35" t="str">
        <f t="shared" ca="1" si="2"/>
        <v>$8,691 MM</v>
      </c>
      <c r="P3" s="35"/>
      <c r="Q3" s="36" t="str">
        <f ca="1" xml:space="preserve"> $AF$4 &amp; CHAR(10) &amp; J3</f>
        <v>▲
$2,054 MM</v>
      </c>
      <c r="R3" s="36" t="str">
        <f t="shared" ref="R3:R9" ca="1" si="3" xml:space="preserve"> $AF$4 &amp; CHAR(10) &amp; K3</f>
        <v>▲
$8,460 MM</v>
      </c>
      <c r="S3" s="36" t="str">
        <f t="shared" ref="S3:S9" ca="1" si="4" xml:space="preserve"> $AF$4 &amp; CHAR(10) &amp; L3</f>
        <v>▲
$11,220 MM</v>
      </c>
      <c r="T3" s="36" t="str">
        <f t="shared" ref="T3:T9" ca="1" si="5" xml:space="preserve"> $AF$4 &amp; CHAR(10) &amp; M3</f>
        <v>▲
$19,730 MM</v>
      </c>
      <c r="U3" s="36" t="str">
        <f t="shared" ref="U3:U9" ca="1" si="6" xml:space="preserve"> $AF$4 &amp; CHAR(10) &amp; N3</f>
        <v>▲
$47,049 MM</v>
      </c>
      <c r="V3" s="36" t="str">
        <f t="shared" ref="V3:V9" ca="1" si="7" xml:space="preserve"> $AF$4 &amp; CHAR(10) &amp; O3</f>
        <v>▲
$8,691 MM</v>
      </c>
      <c r="W3" s="35">
        <f t="shared" ref="W3:W9" ca="1" si="8">IF(H3&lt;D3, 1, IF(H3&lt;E3, 2, IF(H3&lt;F3, 3, 4)))</f>
        <v>2</v>
      </c>
      <c r="X3" s="35">
        <f ca="1">IF(AB3,5-W3,W3)</f>
        <v>2</v>
      </c>
      <c r="Y3" s="35">
        <f ca="1">IF(X3=1,C3, IF(X3=2,D3, IF(X3=3,E3, F3)))</f>
        <v>8459.6716787500009</v>
      </c>
      <c r="Z3" s="35">
        <f ca="1">IF(X3=1,D3, IF(X3=2,E3, IF(X3=3,F3, G3)))</f>
        <v>11220.2945</v>
      </c>
      <c r="AA3" s="37">
        <f t="shared" ref="AA3:AA9" ca="1" si="9">IF(AB3,1+AC3,AC3)</f>
        <v>8.3795699821554978E-2</v>
      </c>
      <c r="AB3" s="25" t="b">
        <v>0</v>
      </c>
      <c r="AC3" s="25">
        <f t="shared" ref="AC3:AC9" ca="1" si="10">IF(Z3=Y3,0,(H3-Y3)/(Z3-Y3))</f>
        <v>8.3795699821554978E-2</v>
      </c>
      <c r="AD3" s="25"/>
      <c r="AE3" s="25"/>
      <c r="AF3" s="38" t="s">
        <v>150</v>
      </c>
      <c r="AG3" s="3"/>
      <c r="AH3" s="3"/>
      <c r="AI3" s="3"/>
      <c r="AJ3" s="3"/>
      <c r="AK3" s="3"/>
      <c r="AL3" s="3"/>
      <c r="AM3" s="3"/>
      <c r="AN3" s="3"/>
      <c r="AO3" s="3"/>
      <c r="AP3" s="3"/>
      <c r="AQ3" s="3"/>
      <c r="AR3" s="3"/>
      <c r="AS3" s="3"/>
      <c r="AT3" s="3"/>
      <c r="AU3" s="3"/>
      <c r="AV3" s="3"/>
      <c r="AW3" s="3"/>
      <c r="AX3" s="7"/>
      <c r="AY3" s="7"/>
      <c r="AZ3" s="7"/>
      <c r="BA3" s="3"/>
      <c r="BB3" s="3"/>
      <c r="BC3" s="3"/>
      <c r="BD3" s="3"/>
      <c r="BE3" s="3"/>
      <c r="BF3" s="3"/>
      <c r="BG3" s="3"/>
      <c r="BH3" s="3"/>
      <c r="BI3" s="3"/>
      <c r="BJ3" s="3"/>
      <c r="BK3" s="3"/>
    </row>
    <row r="4" spans="1:1792">
      <c r="A4" s="30" t="s">
        <v>92</v>
      </c>
      <c r="B4" s="29">
        <f t="shared" si="1"/>
        <v>44</v>
      </c>
      <c r="C4" s="29" cm="1">
        <f t="array" aca="1" ref="C4" ca="1">VALUE(INDIRECT("Data!"&amp;ADDRESS($B4,C$1)))</f>
        <v>-4.301598938652107E-2</v>
      </c>
      <c r="D4" s="29" cm="1">
        <f t="array" aca="1" ref="D4" ca="1">VALUE(INDIRECT("Data!"&amp;ADDRESS($B4,D$1)))</f>
        <v>3.0433505063303397E-2</v>
      </c>
      <c r="E4" s="29" cm="1">
        <f t="array" aca="1" ref="E4" ca="1">VALUE(INDIRECT("Data!"&amp;ADDRESS($B4,E$1)))</f>
        <v>4.8271090819024115E-2</v>
      </c>
      <c r="F4" s="29" cm="1">
        <f t="array" aca="1" ref="F4" ca="1">VALUE(INDIRECT("Data!"&amp;ADDRESS($B4,F$1)))</f>
        <v>6.0848720985054595E-2</v>
      </c>
      <c r="G4" s="29" cm="1">
        <f t="array" aca="1" ref="G4" ca="1">VALUE(INDIRECT("Data!"&amp;ADDRESS($B4,G$1)))</f>
        <v>0.1418963520377603</v>
      </c>
      <c r="H4" s="29" cm="1">
        <f t="array" aca="1" ref="H4" ca="1">VALUE(INDIRECT("Data!"&amp;ADDRESS($B4,H$1)))</f>
        <v>0.1418963520377603</v>
      </c>
      <c r="I4" s="29"/>
      <c r="J4" s="29" t="str">
        <f t="shared" ref="J4:O5" ca="1" si="11">ROUND(C4*100,2) &amp; "%"</f>
        <v>-4.3%</v>
      </c>
      <c r="K4" s="29" t="str">
        <f t="shared" ca="1" si="11"/>
        <v>3.04%</v>
      </c>
      <c r="L4" s="29" t="str">
        <f t="shared" ca="1" si="11"/>
        <v>4.83%</v>
      </c>
      <c r="M4" s="29" t="str">
        <f t="shared" ca="1" si="11"/>
        <v>6.08%</v>
      </c>
      <c r="N4" s="29" t="str">
        <f t="shared" ca="1" si="11"/>
        <v>14.19%</v>
      </c>
      <c r="O4" s="29" t="str">
        <f t="shared" ca="1" si="11"/>
        <v>14.19%</v>
      </c>
      <c r="P4" s="29"/>
      <c r="Q4" s="33" t="str">
        <f t="shared" ref="Q4:Q9" ca="1" si="12" xml:space="preserve"> $AF$4 &amp; CHAR(10) &amp; J4</f>
        <v>▲
-4.3%</v>
      </c>
      <c r="R4" s="33" t="str">
        <f t="shared" ca="1" si="3"/>
        <v>▲
3.04%</v>
      </c>
      <c r="S4" s="33" t="str">
        <f t="shared" ca="1" si="4"/>
        <v>▲
4.83%</v>
      </c>
      <c r="T4" s="33" t="str">
        <f t="shared" ca="1" si="5"/>
        <v>▲
6.08%</v>
      </c>
      <c r="U4" s="33" t="str">
        <f t="shared" ca="1" si="6"/>
        <v>▲
14.19%</v>
      </c>
      <c r="V4" s="33" t="str">
        <f t="shared" ca="1" si="7"/>
        <v>▲
14.19%</v>
      </c>
      <c r="W4" s="29">
        <f t="shared" ca="1" si="8"/>
        <v>4</v>
      </c>
      <c r="X4" s="29">
        <f t="shared" ref="X4:X9" ca="1" si="13">IF(AB4,5-W4,W4)</f>
        <v>4</v>
      </c>
      <c r="Y4" s="29">
        <f t="shared" ref="Y4:Y9" ca="1" si="14">IF(X4=1,C4, IF(X4=2,D4, IF(X4=3,E4, F4)))</f>
        <v>6.0848720985054595E-2</v>
      </c>
      <c r="Z4" s="29">
        <f t="shared" ref="Z4:Z9" ca="1" si="15">IF(X4=1,D4, IF(X4=2,E4, IF(X4=3,F4, G4)))</f>
        <v>0.1418963520377603</v>
      </c>
      <c r="AA4" s="112">
        <f t="shared" ca="1" si="9"/>
        <v>1</v>
      </c>
      <c r="AB4" s="7" t="b">
        <v>0</v>
      </c>
      <c r="AC4" s="25">
        <f t="shared" ca="1" si="10"/>
        <v>1</v>
      </c>
      <c r="AD4" s="7"/>
      <c r="AE4" s="7"/>
      <c r="AF4" s="26" t="s">
        <v>151</v>
      </c>
      <c r="AX4" s="7"/>
      <c r="AY4" s="7"/>
      <c r="AZ4" s="7"/>
    </row>
    <row r="5" spans="1:1792" s="39" customFormat="1">
      <c r="A5" s="34" t="s">
        <v>101</v>
      </c>
      <c r="B5" s="35">
        <f t="shared" si="1"/>
        <v>45</v>
      </c>
      <c r="C5" s="35" cm="1">
        <f t="array" aca="1" ref="C5" ca="1">VALUE(INDIRECT("Data!"&amp;ADDRESS($B5,C$1)))</f>
        <v>-1.8774012209924228E-3</v>
      </c>
      <c r="D5" s="35" cm="1">
        <f t="array" aca="1" ref="D5" ca="1">VALUE(INDIRECT("Data!"&amp;ADDRESS($B5,D$1)))</f>
        <v>0.12218580970528124</v>
      </c>
      <c r="E5" s="35" cm="1">
        <f t="array" aca="1" ref="E5" ca="1">VALUE(INDIRECT("Data!"&amp;ADDRESS($B5,E$1)))</f>
        <v>0.18550919095912433</v>
      </c>
      <c r="F5" s="35" cm="1">
        <f t="array" aca="1" ref="F5" ca="1">VALUE(INDIRECT("Data!"&amp;ADDRESS($B5,F$1)))</f>
        <v>0.21168211752071761</v>
      </c>
      <c r="G5" s="35" cm="1">
        <f t="array" aca="1" ref="G5" ca="1">VALUE(INDIRECT("Data!"&amp;ADDRESS($B5,G$1)))</f>
        <v>0.28477735588539871</v>
      </c>
      <c r="H5" s="35" cm="1">
        <f t="array" aca="1" ref="H5" ca="1">VALUE(INDIRECT("Data!"&amp;ADDRESS($B5,H$1)))</f>
        <v>0.28477735588539871</v>
      </c>
      <c r="I5" s="35"/>
      <c r="J5" s="35" t="str">
        <f t="shared" ca="1" si="11"/>
        <v>-0.19%</v>
      </c>
      <c r="K5" s="35" t="str">
        <f t="shared" ca="1" si="11"/>
        <v>12.22%</v>
      </c>
      <c r="L5" s="35" t="str">
        <f t="shared" ca="1" si="11"/>
        <v>18.55%</v>
      </c>
      <c r="M5" s="35" t="str">
        <f t="shared" ca="1" si="11"/>
        <v>21.17%</v>
      </c>
      <c r="N5" s="35" t="str">
        <f t="shared" ca="1" si="11"/>
        <v>28.48%</v>
      </c>
      <c r="O5" s="35" t="str">
        <f t="shared" ca="1" si="11"/>
        <v>28.48%</v>
      </c>
      <c r="P5" s="35"/>
      <c r="Q5" s="36" t="str">
        <f t="shared" ca="1" si="12"/>
        <v>▲
-0.19%</v>
      </c>
      <c r="R5" s="36" t="str">
        <f t="shared" ca="1" si="3"/>
        <v>▲
12.22%</v>
      </c>
      <c r="S5" s="36" t="str">
        <f t="shared" ca="1" si="4"/>
        <v>▲
18.55%</v>
      </c>
      <c r="T5" s="36" t="str">
        <f t="shared" ca="1" si="5"/>
        <v>▲
21.17%</v>
      </c>
      <c r="U5" s="36" t="str">
        <f t="shared" ca="1" si="6"/>
        <v>▲
28.48%</v>
      </c>
      <c r="V5" s="36" t="str">
        <f t="shared" ca="1" si="7"/>
        <v>▲
28.48%</v>
      </c>
      <c r="W5" s="35">
        <f t="shared" ca="1" si="8"/>
        <v>4</v>
      </c>
      <c r="X5" s="35">
        <f t="shared" ca="1" si="13"/>
        <v>4</v>
      </c>
      <c r="Y5" s="35">
        <f t="shared" ca="1" si="14"/>
        <v>0.21168211752071761</v>
      </c>
      <c r="Z5" s="35">
        <f t="shared" ca="1" si="15"/>
        <v>0.28477735588539871</v>
      </c>
      <c r="AA5" s="37">
        <f t="shared" ca="1" si="9"/>
        <v>1</v>
      </c>
      <c r="AB5" s="25" t="b">
        <v>0</v>
      </c>
      <c r="AC5" s="25">
        <f t="shared" ca="1" si="10"/>
        <v>1</v>
      </c>
      <c r="AD5" s="25"/>
      <c r="AE5" s="25"/>
      <c r="AF5" s="25"/>
      <c r="AG5" s="3"/>
      <c r="AH5" s="3"/>
      <c r="AI5" s="3"/>
      <c r="AJ5" s="3"/>
      <c r="AK5" s="3"/>
      <c r="AL5" s="3"/>
      <c r="AM5" s="3"/>
      <c r="AN5" s="3"/>
      <c r="AO5" s="3"/>
      <c r="AP5" s="3"/>
      <c r="AQ5" s="3"/>
      <c r="AR5" s="3"/>
      <c r="AS5" s="3"/>
      <c r="AT5" s="3"/>
      <c r="AU5" s="3"/>
      <c r="AV5" s="3"/>
      <c r="AW5" s="3"/>
      <c r="AX5" s="7"/>
      <c r="AY5" s="7"/>
      <c r="AZ5" s="7"/>
      <c r="BA5" s="3"/>
      <c r="BB5" s="3"/>
      <c r="BC5" s="3"/>
      <c r="BD5" s="3"/>
      <c r="BE5" s="3"/>
      <c r="BF5" s="3"/>
      <c r="BG5" s="3"/>
      <c r="BH5" s="3"/>
      <c r="BI5" s="3"/>
      <c r="BJ5" s="3"/>
      <c r="BK5" s="3"/>
    </row>
    <row r="6" spans="1:1792">
      <c r="A6" s="30" t="s">
        <v>134</v>
      </c>
      <c r="B6" s="29">
        <f t="shared" si="1"/>
        <v>43</v>
      </c>
      <c r="C6" s="29" cm="1">
        <f t="array" aca="1" ref="C6" ca="1">VALUE(INDIRECT("Data!"&amp;ADDRESS($B6,C$1)))</f>
        <v>5441</v>
      </c>
      <c r="D6" s="29" cm="1">
        <f t="array" aca="1" ref="D6" ca="1">VALUE(INDIRECT("Data!"&amp;ADDRESS($B6,D$1)))</f>
        <v>14650</v>
      </c>
      <c r="E6" s="29" cm="1">
        <f t="array" aca="1" ref="E6" ca="1">VALUE(INDIRECT("Data!"&amp;ADDRESS($B6,E$1)))</f>
        <v>25550</v>
      </c>
      <c r="F6" s="29" cm="1">
        <f t="array" aca="1" ref="F6" ca="1">VALUE(INDIRECT("Data!"&amp;ADDRESS($B6,F$1)))</f>
        <v>62050</v>
      </c>
      <c r="G6" s="29" cm="1">
        <f t="array" aca="1" ref="G6" ca="1">VALUE(INDIRECT("Data!"&amp;ADDRESS($B6,G$1)))</f>
        <v>139000</v>
      </c>
      <c r="H6" s="29" cm="1">
        <f t="array" aca="1" ref="H6" ca="1">VALUE(INDIRECT("Data!"&amp;ADDRESS($B6,H$1)))</f>
        <v>19000</v>
      </c>
      <c r="I6" s="29"/>
      <c r="J6" s="29" t="str">
        <f t="shared" ref="J6:O6" ca="1" si="16" xml:space="preserve"> TEXT(ROUND(C6,0), "#,##0")</f>
        <v>5,441</v>
      </c>
      <c r="K6" s="29" t="str">
        <f t="shared" ca="1" si="16"/>
        <v>14,650</v>
      </c>
      <c r="L6" s="29" t="str">
        <f t="shared" ca="1" si="16"/>
        <v>25,550</v>
      </c>
      <c r="M6" s="29" t="str">
        <f t="shared" ca="1" si="16"/>
        <v>62,050</v>
      </c>
      <c r="N6" s="29" t="str">
        <f t="shared" ca="1" si="16"/>
        <v>139,000</v>
      </c>
      <c r="O6" s="29" t="str">
        <f t="shared" ca="1" si="16"/>
        <v>19,000</v>
      </c>
      <c r="P6" s="29"/>
      <c r="Q6" s="33" t="str">
        <f t="shared" ca="1" si="12"/>
        <v>▲
5,441</v>
      </c>
      <c r="R6" s="33" t="str">
        <f t="shared" ca="1" si="3"/>
        <v>▲
14,650</v>
      </c>
      <c r="S6" s="33" t="str">
        <f t="shared" ca="1" si="4"/>
        <v>▲
25,550</v>
      </c>
      <c r="T6" s="33" t="str">
        <f t="shared" ca="1" si="5"/>
        <v>▲
62,050</v>
      </c>
      <c r="U6" s="33" t="str">
        <f t="shared" ca="1" si="6"/>
        <v>▲
139,000</v>
      </c>
      <c r="V6" s="33" t="str">
        <f t="shared" ca="1" si="7"/>
        <v>▲
19,000</v>
      </c>
      <c r="W6" s="29">
        <f t="shared" ca="1" si="8"/>
        <v>2</v>
      </c>
      <c r="X6" s="29">
        <f t="shared" ca="1" si="13"/>
        <v>2</v>
      </c>
      <c r="Y6" s="29">
        <f t="shared" ca="1" si="14"/>
        <v>14650</v>
      </c>
      <c r="Z6" s="29">
        <f t="shared" ca="1" si="15"/>
        <v>25550</v>
      </c>
      <c r="AA6" s="112">
        <f t="shared" ca="1" si="9"/>
        <v>0.39908256880733944</v>
      </c>
      <c r="AB6" s="7" t="b">
        <v>0</v>
      </c>
      <c r="AC6" s="25">
        <f t="shared" ca="1" si="10"/>
        <v>0.39908256880733944</v>
      </c>
      <c r="AD6" s="7"/>
      <c r="AE6" s="7"/>
      <c r="AF6" s="7"/>
      <c r="AX6" s="7"/>
      <c r="AY6" s="7"/>
      <c r="AZ6" s="7"/>
    </row>
    <row r="7" spans="1:1792" s="39" customFormat="1">
      <c r="A7" s="34" t="s">
        <v>109</v>
      </c>
      <c r="B7" s="35">
        <f t="shared" si="1"/>
        <v>46</v>
      </c>
      <c r="C7" s="35" cm="1">
        <f t="array" aca="1" ref="C7" ca="1">VALUE(INDIRECT("Data!"&amp;ADDRESS($B7,C$1)))</f>
        <v>9.2426383482192939E-2</v>
      </c>
      <c r="D7" s="35" cm="1">
        <f t="array" aca="1" ref="D7" ca="1">VALUE(INDIRECT("Data!"&amp;ADDRESS($B7,D$1)))</f>
        <v>0.22265018350937865</v>
      </c>
      <c r="E7" s="35" cm="1">
        <f t="array" aca="1" ref="E7" ca="1">VALUE(INDIRECT("Data!"&amp;ADDRESS($B7,E$1)))</f>
        <v>0.32747077279128622</v>
      </c>
      <c r="F7" s="35" cm="1">
        <f t="array" aca="1" ref="F7" ca="1">VALUE(INDIRECT("Data!"&amp;ADDRESS($B7,F$1)))</f>
        <v>0.3865799359163653</v>
      </c>
      <c r="G7" s="35" cm="1">
        <f t="array" aca="1" ref="G7" ca="1">VALUE(INDIRECT("Data!"&amp;ADDRESS($B7,G$1)))</f>
        <v>0.49072646023648514</v>
      </c>
      <c r="H7" s="35" cm="1">
        <f t="array" aca="1" ref="H7" ca="1">VALUE(INDIRECT("Data!"&amp;ADDRESS($B7,H$1)))</f>
        <v>0.34506961224254978</v>
      </c>
      <c r="I7" s="35"/>
      <c r="J7" s="35" t="str">
        <f t="shared" ref="J7:O7" ca="1" si="17">ROUND(C7*100,2) &amp; "%"</f>
        <v>9.24%</v>
      </c>
      <c r="K7" s="35" t="str">
        <f t="shared" ca="1" si="17"/>
        <v>22.27%</v>
      </c>
      <c r="L7" s="35" t="str">
        <f t="shared" ca="1" si="17"/>
        <v>32.75%</v>
      </c>
      <c r="M7" s="35" t="str">
        <f t="shared" ca="1" si="17"/>
        <v>38.66%</v>
      </c>
      <c r="N7" s="35" t="str">
        <f t="shared" ca="1" si="17"/>
        <v>49.07%</v>
      </c>
      <c r="O7" s="35" t="str">
        <f t="shared" ca="1" si="17"/>
        <v>34.51%</v>
      </c>
      <c r="P7" s="35"/>
      <c r="Q7" s="36" t="str">
        <f t="shared" ca="1" si="12"/>
        <v>▲
9.24%</v>
      </c>
      <c r="R7" s="36" t="str">
        <f t="shared" ca="1" si="3"/>
        <v>▲
22.27%</v>
      </c>
      <c r="S7" s="36" t="str">
        <f t="shared" ca="1" si="4"/>
        <v>▲
32.75%</v>
      </c>
      <c r="T7" s="36" t="str">
        <f t="shared" ca="1" si="5"/>
        <v>▲
38.66%</v>
      </c>
      <c r="U7" s="36" t="str">
        <f t="shared" ca="1" si="6"/>
        <v>▲
49.07%</v>
      </c>
      <c r="V7" s="36" t="str">
        <f t="shared" ca="1" si="7"/>
        <v>▲
34.51%</v>
      </c>
      <c r="W7" s="35">
        <f t="shared" ca="1" si="8"/>
        <v>3</v>
      </c>
      <c r="X7" s="35">
        <f t="shared" ca="1" si="13"/>
        <v>3</v>
      </c>
      <c r="Y7" s="35">
        <f t="shared" ca="1" si="14"/>
        <v>0.32747077279128622</v>
      </c>
      <c r="Z7" s="35">
        <f t="shared" ca="1" si="15"/>
        <v>0.3865799359163653</v>
      </c>
      <c r="AA7" s="37">
        <f t="shared" ca="1" si="9"/>
        <v>0.29773453929677868</v>
      </c>
      <c r="AB7" s="25" t="b">
        <v>0</v>
      </c>
      <c r="AC7" s="25">
        <f t="shared" ca="1" si="10"/>
        <v>0.29773453929677868</v>
      </c>
      <c r="AD7" s="25"/>
      <c r="AE7" s="25"/>
      <c r="AF7" s="25"/>
      <c r="AG7" s="3"/>
      <c r="AH7" s="3"/>
      <c r="AI7" s="3"/>
      <c r="AJ7" s="3"/>
      <c r="AK7" s="3"/>
      <c r="AL7" s="3"/>
      <c r="AM7" s="3"/>
      <c r="AN7" s="3"/>
      <c r="AO7" s="3"/>
      <c r="AP7" s="3"/>
      <c r="AQ7" s="3"/>
      <c r="AR7" s="3"/>
      <c r="AS7" s="3"/>
      <c r="AT7" s="3"/>
      <c r="AU7" s="3"/>
      <c r="AV7" s="3"/>
      <c r="AW7" s="3"/>
      <c r="AX7" s="7"/>
      <c r="AY7" s="7"/>
      <c r="AZ7" s="7"/>
      <c r="BA7" s="3"/>
      <c r="BB7" s="3"/>
      <c r="BC7" s="3"/>
      <c r="BD7" s="3"/>
      <c r="BE7" s="3"/>
      <c r="BF7" s="3"/>
      <c r="BG7" s="3"/>
      <c r="BH7" s="3"/>
      <c r="BI7" s="3"/>
      <c r="BJ7" s="3"/>
      <c r="BK7" s="3"/>
    </row>
    <row r="8" spans="1:1792">
      <c r="A8" s="30" t="s">
        <v>127</v>
      </c>
      <c r="B8" s="29">
        <f t="shared" si="1"/>
        <v>47</v>
      </c>
      <c r="C8" s="29" cm="1">
        <f t="array" aca="1" ref="C8" ca="1">VALUE(INDIRECT("Data!"&amp;ADDRESS($B8,C$1)))</f>
        <v>96435.876722222194</v>
      </c>
      <c r="D8" s="29" cm="1">
        <f t="array" aca="1" ref="D8" ca="1">VALUE(INDIRECT("Data!"&amp;ADDRESS($B8,D$1)))</f>
        <v>357278.73144522327</v>
      </c>
      <c r="E8" s="29" cm="1">
        <f t="array" aca="1" ref="E8" ca="1">VALUE(INDIRECT("Data!"&amp;ADDRESS($B8,E$1)))</f>
        <v>457436.33276740246</v>
      </c>
      <c r="F8" s="29" cm="1">
        <f t="array" aca="1" ref="F8" ca="1">VALUE(INDIRECT("Data!"&amp;ADDRESS($B8,F$1)))</f>
        <v>572412.68337588385</v>
      </c>
      <c r="G8" s="29" cm="1">
        <f t="array" aca="1" ref="G8" ca="1">VALUE(INDIRECT("Data!"&amp;ADDRESS($B8,G$1)))</f>
        <v>1054189.1891891891</v>
      </c>
      <c r="H8" s="29" cm="1">
        <f t="array" aca="1" ref="H8" ca="1">VALUE(INDIRECT("Data!"&amp;ADDRESS($B8,H$1)))</f>
        <v>457421.05263157893</v>
      </c>
      <c r="I8" s="29"/>
      <c r="J8" s="29" t="str">
        <f t="shared" ref="J8:O8" ca="1" si="18" xml:space="preserve"> "$" &amp; TEXT(ROUND(C8,0), "#,##0")</f>
        <v>$96,436</v>
      </c>
      <c r="K8" s="29" t="str">
        <f t="shared" ca="1" si="18"/>
        <v>$357,279</v>
      </c>
      <c r="L8" s="29" t="str">
        <f t="shared" ca="1" si="18"/>
        <v>$457,436</v>
      </c>
      <c r="M8" s="29" t="str">
        <f t="shared" ca="1" si="18"/>
        <v>$572,413</v>
      </c>
      <c r="N8" s="29" t="str">
        <f t="shared" ca="1" si="18"/>
        <v>$1,054,189</v>
      </c>
      <c r="O8" s="29" t="str">
        <f t="shared" ca="1" si="18"/>
        <v>$457,421</v>
      </c>
      <c r="P8" s="29"/>
      <c r="Q8" s="33" t="str">
        <f t="shared" ca="1" si="12"/>
        <v>▲
$96,436</v>
      </c>
      <c r="R8" s="33" t="str">
        <f t="shared" ca="1" si="3"/>
        <v>▲
$357,279</v>
      </c>
      <c r="S8" s="33" t="str">
        <f t="shared" ca="1" si="4"/>
        <v>▲
$457,436</v>
      </c>
      <c r="T8" s="33" t="str">
        <f t="shared" ca="1" si="5"/>
        <v>▲
$572,413</v>
      </c>
      <c r="U8" s="33" t="str">
        <f t="shared" ca="1" si="6"/>
        <v>▲
$1,054,189</v>
      </c>
      <c r="V8" s="33" t="str">
        <f t="shared" ca="1" si="7"/>
        <v>▲
$457,421</v>
      </c>
      <c r="W8" s="29">
        <f t="shared" ca="1" si="8"/>
        <v>2</v>
      </c>
      <c r="X8" s="29">
        <f t="shared" ca="1" si="13"/>
        <v>2</v>
      </c>
      <c r="Y8" s="29">
        <f t="shared" ca="1" si="14"/>
        <v>357278.73144522327</v>
      </c>
      <c r="Z8" s="29">
        <f t="shared" ca="1" si="15"/>
        <v>457436.33276740246</v>
      </c>
      <c r="AA8" s="112">
        <f t="shared" ca="1" si="9"/>
        <v>0.99984743907979212</v>
      </c>
      <c r="AB8" s="7" t="b">
        <v>0</v>
      </c>
      <c r="AC8" s="25">
        <f t="shared" ca="1" si="10"/>
        <v>0.99984743907979212</v>
      </c>
      <c r="AD8" s="7"/>
      <c r="AE8" s="7"/>
      <c r="AF8" s="7"/>
      <c r="AX8" s="7"/>
      <c r="AY8" s="7"/>
      <c r="AZ8" s="7"/>
    </row>
    <row r="9" spans="1:1792" s="39" customFormat="1">
      <c r="A9" s="34" t="s">
        <v>37</v>
      </c>
      <c r="B9" s="35">
        <f t="shared" si="1"/>
        <v>42</v>
      </c>
      <c r="C9" s="35" cm="1">
        <f t="array" aca="1" ref="C9" ca="1">VALUE(INDIRECT("Data!"&amp;ADDRESS($B9,C$1)))</f>
        <v>-43.534710413897685</v>
      </c>
      <c r="D9" s="35" cm="1">
        <f t="array" aca="1" ref="D9" ca="1">VALUE(INDIRECT("Data!"&amp;ADDRESS($B9,D$1)))</f>
        <v>7.1229982332690618</v>
      </c>
      <c r="E9" s="35" cm="1">
        <f t="array" aca="1" ref="E9" ca="1">VALUE(INDIRECT("Data!"&amp;ADDRESS($B9,E$1)))</f>
        <v>25.723009181342967</v>
      </c>
      <c r="F9" s="35" cm="1">
        <f t="array" aca="1" ref="F9" ca="1">VALUE(INDIRECT("Data!"&amp;ADDRESS($B9,F$1)))</f>
        <v>42.996051216460472</v>
      </c>
      <c r="G9" s="35" cm="1">
        <f t="array" aca="1" ref="G9" ca="1">VALUE(INDIRECT("Data!"&amp;ADDRESS($B9,G$1)))</f>
        <v>63.451308722795943</v>
      </c>
      <c r="H9" s="35" cm="1">
        <f t="array" aca="1" ref="H9" ca="1">VALUE(INDIRECT("Data!"&amp;ADDRESS($B9,H$1)))</f>
        <v>12.73427883531177</v>
      </c>
      <c r="I9" s="35"/>
      <c r="J9" s="35" t="str">
        <f t="shared" ref="J9:O9" ca="1" si="19">ROUND(C9,0) &amp; " days"</f>
        <v>-44 days</v>
      </c>
      <c r="K9" s="35" t="str">
        <f t="shared" ca="1" si="19"/>
        <v>7 days</v>
      </c>
      <c r="L9" s="35" t="str">
        <f t="shared" ca="1" si="19"/>
        <v>26 days</v>
      </c>
      <c r="M9" s="35" t="str">
        <f t="shared" ca="1" si="19"/>
        <v>43 days</v>
      </c>
      <c r="N9" s="35" t="str">
        <f t="shared" ca="1" si="19"/>
        <v>63 days</v>
      </c>
      <c r="O9" s="35" t="str">
        <f t="shared" ca="1" si="19"/>
        <v>13 days</v>
      </c>
      <c r="P9" s="35"/>
      <c r="Q9" s="36" t="str">
        <f t="shared" ca="1" si="12"/>
        <v>▲
-44 days</v>
      </c>
      <c r="R9" s="36" t="str">
        <f t="shared" ca="1" si="3"/>
        <v>▲
7 days</v>
      </c>
      <c r="S9" s="36" t="str">
        <f t="shared" ca="1" si="4"/>
        <v>▲
26 days</v>
      </c>
      <c r="T9" s="36" t="str">
        <f t="shared" ca="1" si="5"/>
        <v>▲
43 days</v>
      </c>
      <c r="U9" s="36" t="str">
        <f t="shared" ca="1" si="6"/>
        <v>▲
63 days</v>
      </c>
      <c r="V9" s="36" t="str">
        <f t="shared" ca="1" si="7"/>
        <v>▲
13 days</v>
      </c>
      <c r="W9" s="35">
        <f t="shared" ca="1" si="8"/>
        <v>2</v>
      </c>
      <c r="X9" s="35">
        <f t="shared" ca="1" si="13"/>
        <v>3</v>
      </c>
      <c r="Y9" s="35">
        <f t="shared" ca="1" si="14"/>
        <v>25.723009181342967</v>
      </c>
      <c r="Z9" s="35">
        <f t="shared" ca="1" si="15"/>
        <v>42.996051216460472</v>
      </c>
      <c r="AA9" s="37">
        <f t="shared" ca="1" si="9"/>
        <v>0.24803457783382643</v>
      </c>
      <c r="AB9" s="25" t="b">
        <v>1</v>
      </c>
      <c r="AC9" s="25">
        <f t="shared" ca="1" si="10"/>
        <v>-0.75196542216617357</v>
      </c>
      <c r="AD9" s="25"/>
      <c r="AE9" s="25"/>
      <c r="AF9" s="25"/>
      <c r="AG9" s="3"/>
      <c r="AH9" s="3"/>
      <c r="AI9" s="3"/>
      <c r="AJ9" s="3"/>
      <c r="AK9" s="3"/>
      <c r="AL9" s="3"/>
      <c r="AM9" s="3"/>
      <c r="AN9" s="3"/>
      <c r="AO9" s="3"/>
      <c r="AP9" s="3"/>
      <c r="AQ9" s="3"/>
      <c r="AR9" s="3"/>
      <c r="AS9" s="3"/>
      <c r="AT9" s="3"/>
      <c r="AU9" s="3"/>
      <c r="AV9" s="3"/>
      <c r="AW9" s="3"/>
      <c r="AX9" s="7"/>
      <c r="AY9" s="7"/>
      <c r="AZ9" s="7"/>
      <c r="BA9" s="3"/>
      <c r="BB9" s="3"/>
      <c r="BC9" s="3"/>
      <c r="BD9" s="3"/>
      <c r="BE9" s="3"/>
      <c r="BF9" s="3"/>
      <c r="BG9" s="3"/>
      <c r="BH9" s="3"/>
      <c r="BI9" s="3"/>
      <c r="BJ9" s="3"/>
      <c r="BK9" s="3"/>
    </row>
    <row r="10" spans="1:1792">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X10" s="7"/>
      <c r="AY10" s="7"/>
      <c r="AZ10" s="7"/>
    </row>
    <row r="11" spans="1:1792">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X11" s="7"/>
      <c r="AY11" s="7"/>
      <c r="AZ11" s="7"/>
    </row>
    <row r="12" spans="1:1792">
      <c r="B12" s="7"/>
      <c r="C12" s="31" t="s">
        <v>630</v>
      </c>
      <c r="D12" s="31" t="s">
        <v>631</v>
      </c>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X12" s="7"/>
      <c r="AY12" s="7"/>
      <c r="AZ12" s="7"/>
    </row>
    <row r="13" spans="1:1792">
      <c r="A13" s="34" t="str">
        <f t="shared" ref="A13:B19" si="20">A3</f>
        <v>REV1</v>
      </c>
      <c r="B13" s="35">
        <f t="shared" si="20"/>
        <v>38</v>
      </c>
      <c r="C13" s="35" cm="1">
        <f t="array" aca="1" ref="C13" ca="1">VALUE(INDIRECT("Data!"&amp;ADDRESS($B13,21)))</f>
        <v>-8446.4958031249953</v>
      </c>
      <c r="D13" s="35" cm="1">
        <f t="array" aca="1" ref="D13" ca="1">VALUE(INDIRECT("Data!"&amp;ADDRESS($B13,22)))</f>
        <v>36636.617481874993</v>
      </c>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row>
    <row r="14" spans="1:1792">
      <c r="A14" s="30" t="str">
        <f t="shared" si="20"/>
        <v>CAGR</v>
      </c>
      <c r="B14" s="29">
        <f t="shared" si="20"/>
        <v>44</v>
      </c>
      <c r="C14" s="29" cm="1">
        <f t="array" aca="1" ref="C14" ca="1">VALUE(INDIRECT("Data!"&amp;ADDRESS($B14,21)))</f>
        <v>-1.5189318819323401E-2</v>
      </c>
      <c r="D14" s="29" cm="1">
        <f t="array" aca="1" ref="D14" ca="1">VALUE(INDIRECT("Data!"&amp;ADDRESS($B14,22)))</f>
        <v>0.1064715448676814</v>
      </c>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X14" s="7"/>
      <c r="AY14" s="7"/>
      <c r="AZ14" s="7"/>
    </row>
    <row r="15" spans="1:1792">
      <c r="A15" s="34" t="str">
        <f t="shared" si="20"/>
        <v>EM1</v>
      </c>
      <c r="B15" s="35">
        <f t="shared" si="20"/>
        <v>45</v>
      </c>
      <c r="C15" s="35" cm="1">
        <f t="array" aca="1" ref="C15" ca="1">VALUE(INDIRECT("Data!"&amp;ADDRESS($B15,21)))</f>
        <v>-1.2058652017873303E-2</v>
      </c>
      <c r="D15" s="35" cm="1">
        <f t="array" aca="1" ref="D15" ca="1">VALUE(INDIRECT("Data!"&amp;ADDRESS($B15,22)))</f>
        <v>0.34592657924387216</v>
      </c>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X15" s="7"/>
      <c r="AY15" s="7"/>
      <c r="AZ15" s="7"/>
    </row>
    <row r="16" spans="1:1792">
      <c r="A16" s="30" t="str">
        <f t="shared" si="20"/>
        <v>EE</v>
      </c>
      <c r="B16" s="29">
        <f t="shared" si="20"/>
        <v>43</v>
      </c>
      <c r="C16" s="29" cm="1">
        <f t="array" aca="1" ref="C16" ca="1">VALUE(INDIRECT("Data!"&amp;ADDRESS($B16,21)))</f>
        <v>-56450</v>
      </c>
      <c r="D16" s="29" cm="1">
        <f t="array" aca="1" ref="D16" ca="1">VALUE(INDIRECT("Data!"&amp;ADDRESS($B16,22)))</f>
        <v>133150</v>
      </c>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X16" s="7"/>
      <c r="AY16" s="7"/>
      <c r="AZ16" s="7"/>
    </row>
    <row r="17" spans="1:52">
      <c r="A17" s="34" t="str">
        <f t="shared" si="20"/>
        <v>GM1</v>
      </c>
      <c r="B17" s="35">
        <f t="shared" si="20"/>
        <v>46</v>
      </c>
      <c r="C17" s="35" cm="1">
        <f t="array" aca="1" ref="C17" ca="1">VALUE(INDIRECT("Data!"&amp;ADDRESS($B17,21)))</f>
        <v>-2.3244445101101324E-2</v>
      </c>
      <c r="D17" s="35" cm="1">
        <f t="array" aca="1" ref="D17" ca="1">VALUE(INDIRECT("Data!"&amp;ADDRESS($B17,22)))</f>
        <v>0.63247456452684525</v>
      </c>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X17" s="7"/>
      <c r="AY17" s="7"/>
      <c r="AZ17" s="7"/>
    </row>
    <row r="18" spans="1:52">
      <c r="A18" s="30" t="str">
        <f t="shared" si="20"/>
        <v>REVPEREE</v>
      </c>
      <c r="B18" s="29">
        <f t="shared" si="20"/>
        <v>47</v>
      </c>
      <c r="C18" s="29" cm="1">
        <f t="array" aca="1" ref="C18" ca="1">VALUE(INDIRECT("Data!"&amp;ADDRESS($B18,21)))</f>
        <v>34577.803549232369</v>
      </c>
      <c r="D18" s="29" cm="1">
        <f t="array" aca="1" ref="D18" ca="1">VALUE(INDIRECT("Data!"&amp;ADDRESS($B18,22)))</f>
        <v>895113.61127187475</v>
      </c>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X18" s="7"/>
      <c r="AY18" s="7"/>
      <c r="AZ18" s="7"/>
    </row>
    <row r="19" spans="1:52">
      <c r="A19" s="34" t="str">
        <f t="shared" si="20"/>
        <v>CCC</v>
      </c>
      <c r="B19" s="35">
        <f t="shared" si="20"/>
        <v>42</v>
      </c>
      <c r="C19" s="35" cm="1">
        <f t="array" aca="1" ref="C19" ca="1">VALUE(INDIRECT("Data!"&amp;ADDRESS($B19,21)))</f>
        <v>-46.686581241518056</v>
      </c>
      <c r="D19" s="35" cm="1">
        <f t="array" aca="1" ref="D19" ca="1">VALUE(INDIRECT("Data!"&amp;ADDRESS($B19,22)))</f>
        <v>96.805630691247586</v>
      </c>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X19" s="7"/>
      <c r="AY19" s="7"/>
      <c r="AZ19" s="7"/>
    </row>
    <row r="20" spans="1:52">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row>
    <row r="21" spans="1:52">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X21" s="7"/>
      <c r="AY21" s="7"/>
      <c r="AZ21" s="7"/>
    </row>
    <row r="22" spans="1:52">
      <c r="A22" s="7" t="s">
        <v>152</v>
      </c>
      <c r="B22" s="7">
        <v>32</v>
      </c>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X22" s="7"/>
      <c r="AY22" s="7"/>
      <c r="AZ22" s="7"/>
    </row>
    <row r="23" spans="1:52">
      <c r="A23" s="7" t="s">
        <v>153</v>
      </c>
      <c r="B23" s="7">
        <v>110</v>
      </c>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X23" s="7"/>
      <c r="AY23" s="7"/>
      <c r="AZ23" s="7"/>
    </row>
    <row r="24" spans="1:52">
      <c r="A24" s="7" t="s">
        <v>154</v>
      </c>
      <c r="B24" s="7">
        <v>60</v>
      </c>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M24" s="27"/>
      <c r="AX24" s="7"/>
      <c r="AY24" s="7"/>
      <c r="AZ24" s="7"/>
    </row>
    <row r="25" spans="1:52">
      <c r="A25" s="7" t="s">
        <v>230</v>
      </c>
      <c r="B25" s="7">
        <v>2</v>
      </c>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X25" s="7"/>
      <c r="AY25" s="7"/>
      <c r="AZ25" s="7"/>
    </row>
    <row r="26" spans="1:52">
      <c r="B26" s="7"/>
      <c r="C26" s="146" t="s">
        <v>660</v>
      </c>
      <c r="D26" s="29">
        <v>3</v>
      </c>
      <c r="E26" s="29">
        <v>4</v>
      </c>
      <c r="F26" s="29">
        <v>5</v>
      </c>
      <c r="G26" s="29">
        <v>6</v>
      </c>
      <c r="H26" s="29">
        <v>7</v>
      </c>
      <c r="I26" s="29">
        <v>8</v>
      </c>
      <c r="J26" s="29">
        <v>9</v>
      </c>
      <c r="K26" s="7"/>
      <c r="L26" s="7"/>
      <c r="M26" s="7"/>
      <c r="N26" s="7"/>
      <c r="O26" s="7"/>
      <c r="P26" s="7"/>
      <c r="Q26" s="7"/>
      <c r="R26" s="7"/>
      <c r="S26" s="7"/>
      <c r="T26" s="7"/>
      <c r="U26" s="7"/>
      <c r="V26" s="7"/>
      <c r="W26" s="7"/>
      <c r="X26" s="7"/>
      <c r="Y26" s="7"/>
      <c r="Z26" s="7"/>
      <c r="AA26" s="7"/>
      <c r="AB26" s="7"/>
      <c r="AC26" s="7"/>
      <c r="AD26" s="7"/>
      <c r="AE26" s="7"/>
      <c r="AF26" s="7"/>
      <c r="AX26" s="7"/>
      <c r="AY26" s="7"/>
      <c r="AZ26" s="7"/>
    </row>
    <row r="27" spans="1:52">
      <c r="A27" s="30" t="s">
        <v>652</v>
      </c>
      <c r="B27" s="31" t="s">
        <v>651</v>
      </c>
      <c r="C27" s="31"/>
      <c r="D27" s="31" t="s">
        <v>653</v>
      </c>
      <c r="E27" s="31" t="s">
        <v>654</v>
      </c>
      <c r="F27" s="31" t="s">
        <v>655</v>
      </c>
      <c r="G27" s="31" t="s">
        <v>656</v>
      </c>
      <c r="H27" s="31" t="s">
        <v>657</v>
      </c>
      <c r="I27" s="31" t="s">
        <v>127</v>
      </c>
      <c r="J27" s="31" t="s">
        <v>658</v>
      </c>
      <c r="K27" s="31" t="s">
        <v>659</v>
      </c>
      <c r="L27" s="7"/>
      <c r="M27" s="7"/>
      <c r="N27" s="7"/>
      <c r="O27" s="7"/>
      <c r="P27" s="7"/>
      <c r="Q27" s="7"/>
      <c r="R27" s="7"/>
      <c r="S27" s="7"/>
      <c r="T27" s="7"/>
      <c r="U27" s="7"/>
      <c r="V27" s="7"/>
      <c r="W27" s="7"/>
      <c r="X27" s="7"/>
      <c r="Y27" s="7"/>
      <c r="Z27" s="7"/>
      <c r="AA27" s="7"/>
      <c r="AB27" s="7"/>
      <c r="AC27" s="7"/>
      <c r="AD27" s="7"/>
      <c r="AE27" s="7"/>
      <c r="AF27" s="7"/>
      <c r="AX27" s="7"/>
      <c r="AY27" s="7"/>
      <c r="AZ27" s="7"/>
    </row>
    <row r="28" spans="1:52">
      <c r="A28" s="144">
        <v>0</v>
      </c>
      <c r="B28" s="7" t="str" cm="1">
        <f t="array" ref="B28">DATA(A28+2,3)</f>
        <v>BRF SA</v>
      </c>
      <c r="C28" s="7"/>
      <c r="D28" s="7" t="b" cm="1">
        <f t="array" aca="1" ref="D28" ca="1">DATA(INDIRECT(ADDRESS(D$26,2)),40+$A28)</f>
        <v>0</v>
      </c>
      <c r="E28" s="7" t="b" cm="1">
        <f t="array" aca="1" ref="E28" ca="1">DATA(INDIRECT(ADDRESS(E$26,2)),40+$A28)</f>
        <v>0</v>
      </c>
      <c r="F28" s="7" t="b" cm="1">
        <f t="array" aca="1" ref="F28" ca="1">DATA(INDIRECT(ADDRESS(F$26,2)),40+$A28)</f>
        <v>0</v>
      </c>
      <c r="G28" s="7" t="b" cm="1">
        <f t="array" aca="1" ref="G28" ca="1">DATA(INDIRECT(ADDRESS(G$26,2)),40+$A28)</f>
        <v>0</v>
      </c>
      <c r="H28" s="7" t="b" cm="1">
        <f t="array" aca="1" ref="H28" ca="1">DATA(INDIRECT(ADDRESS(H$26,2)),40+$A28)</f>
        <v>0</v>
      </c>
      <c r="I28" s="7" t="b" cm="1">
        <f t="array" aca="1" ref="I28" ca="1">DATA(INDIRECT(ADDRESS(I$26,2)),40+$A28)</f>
        <v>0</v>
      </c>
      <c r="J28" s="7" t="b" cm="1">
        <f t="array" aca="1" ref="J28" ca="1">DATA(INDIRECT(ADDRESS(J$26,2)),40+$A28)</f>
        <v>0</v>
      </c>
      <c r="K28" s="7" t="b">
        <f ca="1">OR(D28:J28)</f>
        <v>0</v>
      </c>
      <c r="L28" s="7" t="str">
        <f t="shared" ref="L28:L44" ca="1" si="21">IF(K28,B28,"")</f>
        <v/>
      </c>
      <c r="M28" s="7"/>
      <c r="N28" s="7"/>
      <c r="O28" s="7"/>
      <c r="P28" s="7"/>
      <c r="Q28" s="7"/>
      <c r="R28" s="7"/>
      <c r="S28" s="7"/>
      <c r="T28" s="7"/>
      <c r="U28" s="7"/>
      <c r="V28" s="7"/>
      <c r="W28" s="7"/>
      <c r="X28" s="7"/>
      <c r="Y28" s="7"/>
      <c r="Z28" s="7"/>
      <c r="AA28" s="7"/>
      <c r="AB28" s="7"/>
      <c r="AC28" s="7"/>
      <c r="AD28" s="7"/>
      <c r="AE28" s="7"/>
      <c r="AF28" s="7"/>
      <c r="AX28" s="7"/>
      <c r="AY28" s="7"/>
      <c r="AZ28" s="7"/>
    </row>
    <row r="29" spans="1:52">
      <c r="A29" s="144">
        <f t="shared" ref="A29:A44" si="22">A28+1</f>
        <v>1</v>
      </c>
      <c r="B29" s="7" t="str" cm="1">
        <f t="array" ref="B29">DATA(A29+2,3)</f>
        <v>CAMPBELL SOUP CO</v>
      </c>
      <c r="C29" s="7"/>
      <c r="D29" s="7" t="b" cm="1">
        <f t="array" aca="1" ref="D29" ca="1">DATA(INDIRECT(ADDRESS(D$26,2)),40+$A29)</f>
        <v>0</v>
      </c>
      <c r="E29" s="7" t="b" cm="1">
        <f t="array" aca="1" ref="E29" ca="1">DATA(INDIRECT(ADDRESS(E$26,2)),40+$A29)</f>
        <v>1</v>
      </c>
      <c r="F29" s="7" t="b" cm="1">
        <f t="array" aca="1" ref="F29" ca="1">DATA(INDIRECT(ADDRESS(F$26,2)),40+$A29)</f>
        <v>0</v>
      </c>
      <c r="G29" s="7" t="b" cm="1">
        <f t="array" aca="1" ref="G29" ca="1">DATA(INDIRECT(ADDRESS(G$26,2)),40+$A29)</f>
        <v>0</v>
      </c>
      <c r="H29" s="7" t="b" cm="1">
        <f t="array" aca="1" ref="H29" ca="1">DATA(INDIRECT(ADDRESS(H$26,2)),40+$A29)</f>
        <v>0</v>
      </c>
      <c r="I29" s="7" t="b" cm="1">
        <f t="array" aca="1" ref="I29" ca="1">DATA(INDIRECT(ADDRESS(I$26,2)),40+$A29)</f>
        <v>0</v>
      </c>
      <c r="J29" s="7" t="b" cm="1">
        <f t="array" aca="1" ref="J29" ca="1">DATA(INDIRECT(ADDRESS(J$26,2)),40+$A29)</f>
        <v>0</v>
      </c>
      <c r="K29" s="7" t="b">
        <f t="shared" ref="K29:K34" ca="1" si="23">OR(D29, E29, F29,G29,H29,I29,J29)</f>
        <v>1</v>
      </c>
      <c r="L29" s="7" t="str">
        <f t="shared" ca="1" si="21"/>
        <v>CAMPBELL SOUP CO</v>
      </c>
      <c r="M29" s="7"/>
      <c r="N29" s="7"/>
      <c r="O29" s="7"/>
      <c r="P29" s="7"/>
      <c r="Q29" s="7"/>
      <c r="R29" s="7"/>
      <c r="S29" s="7"/>
      <c r="T29" s="7"/>
      <c r="U29" s="7"/>
      <c r="V29" s="7"/>
      <c r="W29" s="7"/>
      <c r="X29" s="7"/>
      <c r="Y29" s="7"/>
      <c r="Z29" s="7"/>
      <c r="AA29" s="7"/>
      <c r="AB29" s="7"/>
      <c r="AC29" s="7"/>
      <c r="AD29" s="7"/>
      <c r="AE29" s="7"/>
      <c r="AF29" s="7"/>
      <c r="AX29" s="7"/>
      <c r="AY29" s="7"/>
      <c r="AZ29" s="7"/>
    </row>
    <row r="30" spans="1:52">
      <c r="A30" s="144">
        <f t="shared" si="22"/>
        <v>2</v>
      </c>
      <c r="B30" s="7" t="str" cm="1">
        <f t="array" ref="B30">DATA(A30+2,3)</f>
        <v>CONAGRA BRANDS INC</v>
      </c>
      <c r="C30" s="7"/>
      <c r="D30" s="7" t="b" cm="1">
        <f t="array" aca="1" ref="D30" ca="1">DATA(INDIRECT(ADDRESS(D$26,2)),40+$A30)</f>
        <v>0</v>
      </c>
      <c r="E30" s="7" t="b" cm="1">
        <f t="array" aca="1" ref="E30" ca="1">DATA(INDIRECT(ADDRESS(E$26,2)),40+$A30)</f>
        <v>1</v>
      </c>
      <c r="F30" s="7" t="b" cm="1">
        <f t="array" aca="1" ref="F30" ca="1">DATA(INDIRECT(ADDRESS(F$26,2)),40+$A30)</f>
        <v>0</v>
      </c>
      <c r="G30" s="7" t="b" cm="1">
        <f t="array" aca="1" ref="G30" ca="1">DATA(INDIRECT(ADDRESS(G$26,2)),40+$A30)</f>
        <v>0</v>
      </c>
      <c r="H30" s="7" t="b" cm="1">
        <f t="array" aca="1" ref="H30" ca="1">DATA(INDIRECT(ADDRESS(H$26,2)),40+$A30)</f>
        <v>0</v>
      </c>
      <c r="I30" s="7" t="b" cm="1">
        <f t="array" aca="1" ref="I30" ca="1">DATA(INDIRECT(ADDRESS(I$26,2)),40+$A30)</f>
        <v>0</v>
      </c>
      <c r="J30" s="7" t="b" cm="1">
        <f t="array" aca="1" ref="J30" ca="1">DATA(INDIRECT(ADDRESS(J$26,2)),40+$A30)</f>
        <v>0</v>
      </c>
      <c r="K30" s="7" t="b">
        <f t="shared" ca="1" si="23"/>
        <v>1</v>
      </c>
      <c r="L30" s="7" t="str">
        <f t="shared" ca="1" si="21"/>
        <v>CONAGRA BRANDS INC</v>
      </c>
      <c r="M30" s="7"/>
      <c r="N30" s="7"/>
      <c r="O30" s="7"/>
      <c r="P30" s="7"/>
      <c r="Q30" s="7"/>
      <c r="R30" s="7"/>
      <c r="S30" s="7"/>
      <c r="T30" s="7"/>
      <c r="U30" s="7"/>
      <c r="V30" s="7"/>
      <c r="W30" s="7"/>
      <c r="X30" s="7"/>
      <c r="Y30" s="7"/>
      <c r="Z30" s="7"/>
      <c r="AA30" s="7"/>
      <c r="AB30" s="7"/>
      <c r="AC30" s="7"/>
      <c r="AD30" s="7"/>
      <c r="AE30" s="7"/>
      <c r="AF30" s="7"/>
      <c r="AX30" s="7"/>
      <c r="AY30" s="7"/>
      <c r="AZ30" s="7"/>
    </row>
    <row r="31" spans="1:52">
      <c r="A31" s="144">
        <f t="shared" si="22"/>
        <v>3</v>
      </c>
      <c r="B31" s="7" t="str" cm="1">
        <f t="array" ref="B31">DATA(A31+2,3)</f>
        <v>DANONE S.A.</v>
      </c>
      <c r="C31" s="7"/>
      <c r="D31" s="7" t="b" cm="1">
        <f t="array" aca="1" ref="D31" ca="1">DATA(INDIRECT(ADDRESS(D$26,2)),40+$A31)</f>
        <v>0</v>
      </c>
      <c r="E31" s="7" t="b" cm="1">
        <f t="array" aca="1" ref="E31" ca="1">DATA(INDIRECT(ADDRESS(E$26,2)),40+$A31)</f>
        <v>0</v>
      </c>
      <c r="F31" s="7" t="b" cm="1">
        <f t="array" aca="1" ref="F31" ca="1">DATA(INDIRECT(ADDRESS(F$26,2)),40+$A31)</f>
        <v>0</v>
      </c>
      <c r="G31" s="7" t="b" cm="1">
        <f t="array" aca="1" ref="G31" ca="1">DATA(INDIRECT(ADDRESS(G$26,2)),40+$A31)</f>
        <v>0</v>
      </c>
      <c r="H31" s="7" t="b" cm="1">
        <f t="array" aca="1" ref="H31" ca="1">DATA(INDIRECT(ADDRESS(H$26,2)),40+$A31)</f>
        <v>0</v>
      </c>
      <c r="I31" s="7" t="b" cm="1">
        <f t="array" aca="1" ref="I31" ca="1">DATA(INDIRECT(ADDRESS(I$26,2)),40+$A31)</f>
        <v>0</v>
      </c>
      <c r="J31" s="7" t="b" cm="1">
        <f t="array" aca="1" ref="J31" ca="1">DATA(INDIRECT(ADDRESS(J$26,2)),40+$A31)</f>
        <v>0</v>
      </c>
      <c r="K31" s="7" t="b">
        <f t="shared" ca="1" si="23"/>
        <v>0</v>
      </c>
      <c r="L31" s="7" t="str">
        <f t="shared" ca="1" si="21"/>
        <v/>
      </c>
      <c r="M31" s="7"/>
      <c r="N31" s="7"/>
      <c r="O31" s="7"/>
      <c r="P31" s="7"/>
      <c r="Q31" s="7"/>
      <c r="R31" s="7"/>
      <c r="S31" s="7"/>
      <c r="T31" s="7"/>
      <c r="U31" s="7"/>
      <c r="V31" s="7"/>
      <c r="W31" s="7"/>
      <c r="X31" s="7"/>
      <c r="Y31" s="7"/>
      <c r="Z31" s="7"/>
      <c r="AA31" s="7"/>
      <c r="AB31" s="7"/>
      <c r="AC31" s="7"/>
      <c r="AD31" s="7"/>
      <c r="AE31" s="7"/>
      <c r="AF31" s="7"/>
      <c r="AX31" s="7"/>
      <c r="AY31" s="7"/>
      <c r="AZ31" s="7"/>
    </row>
    <row r="32" spans="1:52">
      <c r="A32" s="144">
        <f t="shared" si="22"/>
        <v>4</v>
      </c>
      <c r="B32" s="7" t="str" cm="1">
        <f t="array" ref="B32">DATA(A32+2,3)</f>
        <v>GENERAL MILLS INC</v>
      </c>
      <c r="C32" s="7"/>
      <c r="D32" s="7" t="b" cm="1">
        <f t="array" aca="1" ref="D32" ca="1">DATA(INDIRECT(ADDRESS(D$26,2)),40+$A32)</f>
        <v>0</v>
      </c>
      <c r="E32" s="7" t="b" cm="1">
        <f t="array" aca="1" ref="E32" ca="1">DATA(INDIRECT(ADDRESS(E$26,2)),40+$A32)</f>
        <v>0</v>
      </c>
      <c r="F32" s="7" t="b" cm="1">
        <f t="array" aca="1" ref="F32" ca="1">DATA(INDIRECT(ADDRESS(F$26,2)),40+$A32)</f>
        <v>0</v>
      </c>
      <c r="G32" s="7" t="b" cm="1">
        <f t="array" aca="1" ref="G32" ca="1">DATA(INDIRECT(ADDRESS(G$26,2)),40+$A32)</f>
        <v>0</v>
      </c>
      <c r="H32" s="7" t="b" cm="1">
        <f t="array" aca="1" ref="H32" ca="1">DATA(INDIRECT(ADDRESS(H$26,2)),40+$A32)</f>
        <v>0</v>
      </c>
      <c r="I32" s="7" t="b" cm="1">
        <f t="array" aca="1" ref="I32" ca="1">DATA(INDIRECT(ADDRESS(I$26,2)),40+$A32)</f>
        <v>0</v>
      </c>
      <c r="J32" s="7" t="b" cm="1">
        <f t="array" aca="1" ref="J32" ca="1">DATA(INDIRECT(ADDRESS(J$26,2)),40+$A32)</f>
        <v>0</v>
      </c>
      <c r="K32" s="7" t="b">
        <f t="shared" ca="1" si="23"/>
        <v>0</v>
      </c>
      <c r="L32" s="7" t="str">
        <f t="shared" ca="1" si="21"/>
        <v/>
      </c>
      <c r="M32" s="7"/>
      <c r="N32" s="7"/>
      <c r="O32" s="7"/>
      <c r="P32" s="7"/>
      <c r="Q32" s="7"/>
      <c r="R32" s="7"/>
      <c r="S32" s="7"/>
      <c r="T32" s="7"/>
      <c r="U32" s="7"/>
      <c r="V32" s="7"/>
      <c r="W32" s="7"/>
      <c r="X32" s="7"/>
      <c r="Y32" s="7"/>
      <c r="Z32" s="7"/>
      <c r="AA32" s="7"/>
      <c r="AB32" s="7"/>
      <c r="AC32" s="7"/>
      <c r="AD32" s="7"/>
      <c r="AE32" s="7"/>
      <c r="AF32" s="7"/>
      <c r="AX32" s="7"/>
      <c r="AY32" s="7"/>
      <c r="AZ32" s="7"/>
    </row>
    <row r="33" spans="1:52">
      <c r="A33" s="144">
        <f t="shared" si="22"/>
        <v>5</v>
      </c>
      <c r="B33" s="7" t="str" cm="1">
        <f t="array" ref="B33">DATA(A33+2,3)</f>
        <v>HAIN CELESTIAL GROUP INC</v>
      </c>
      <c r="C33" s="7"/>
      <c r="D33" s="7" t="b" cm="1">
        <f t="array" aca="1" ref="D33" ca="1">IF($A33 &lt; CompanyCount, DATA(INDIRECT(ADDRESS(D$26,2)),40+$A33), FALSE)</f>
        <v>0</v>
      </c>
      <c r="E33" s="7" t="b" cm="1">
        <f t="array" aca="1" ref="E33" ca="1">IF($A33 &lt; CompanyCount, DATA(INDIRECT(ADDRESS(E$26,2)),40+$A33), FALSE)</f>
        <v>1</v>
      </c>
      <c r="F33" s="7" t="b" cm="1">
        <f t="array" aca="1" ref="F33" ca="1">IF($A33 &lt; CompanyCount, DATA(INDIRECT(ADDRESS(F$26,2)),40+$A33), FALSE)</f>
        <v>0</v>
      </c>
      <c r="G33" s="7" t="b" cm="1">
        <f t="array" aca="1" ref="G33" ca="1">IF($A33 &lt; CompanyCount, DATA(INDIRECT(ADDRESS(G$26,2)),40+$A33), FALSE)</f>
        <v>0</v>
      </c>
      <c r="H33" s="7" t="b" cm="1">
        <f t="array" aca="1" ref="H33" ca="1">IF($A33 &lt; CompanyCount, DATA(INDIRECT(ADDRESS(H$26,2)),40+$A33), FALSE)</f>
        <v>0</v>
      </c>
      <c r="I33" s="7" t="b" cm="1">
        <f t="array" aca="1" ref="I33" ca="1">IF($A33 &lt; CompanyCount, DATA(INDIRECT(ADDRESS(I$26,2)),40+$A33), FALSE)</f>
        <v>0</v>
      </c>
      <c r="J33" s="7" t="b" cm="1">
        <f t="array" aca="1" ref="J33" ca="1">IF($A33 &lt; CompanyCount, DATA(INDIRECT(ADDRESS(J$26,2)),40+$A33), FALSE)</f>
        <v>0</v>
      </c>
      <c r="K33" s="7" t="b">
        <f t="shared" ca="1" si="23"/>
        <v>1</v>
      </c>
      <c r="L33" s="7" t="str">
        <f t="shared" ca="1" si="21"/>
        <v>HAIN CELESTIAL GROUP INC</v>
      </c>
      <c r="M33" s="7"/>
      <c r="N33" s="7"/>
      <c r="O33" s="7"/>
      <c r="P33" s="7"/>
      <c r="Q33" s="7"/>
      <c r="R33" s="7"/>
      <c r="S33" s="7"/>
      <c r="T33" s="7"/>
      <c r="U33" s="7"/>
      <c r="V33" s="7"/>
      <c r="W33" s="7"/>
      <c r="X33" s="7"/>
      <c r="Y33" s="7"/>
      <c r="Z33" s="7"/>
      <c r="AA33" s="7"/>
      <c r="AB33" s="7"/>
      <c r="AC33" s="7"/>
      <c r="AD33" s="7"/>
      <c r="AE33" s="7"/>
      <c r="AF33" s="7"/>
      <c r="AG33" s="28"/>
      <c r="AH33" s="7"/>
      <c r="AI33" s="7"/>
      <c r="AJ33" s="7"/>
      <c r="AK33" s="7"/>
      <c r="AL33" s="7"/>
      <c r="AM33" s="7"/>
      <c r="AN33" s="7"/>
      <c r="AO33" s="7"/>
      <c r="AP33" s="7"/>
      <c r="AQ33" s="7"/>
      <c r="AR33" s="7"/>
      <c r="AS33" s="7"/>
      <c r="AT33" s="7"/>
      <c r="AU33" s="7"/>
      <c r="AV33" s="7"/>
      <c r="AW33" s="7"/>
      <c r="AX33" s="7"/>
      <c r="AY33" s="7"/>
      <c r="AZ33" s="7"/>
    </row>
    <row r="34" spans="1:52">
      <c r="A34" s="144">
        <f t="shared" si="22"/>
        <v>6</v>
      </c>
      <c r="B34" s="7" t="str" cm="1">
        <f t="array" ref="B34">DATA(A34+2,3)</f>
        <v>HERSHEY CO</v>
      </c>
      <c r="C34" s="7"/>
      <c r="D34" s="7" t="b" cm="1">
        <f t="array" aca="1" ref="D34" ca="1">IF($A34 &lt; CompanyCount, DATA(INDIRECT(ADDRESS(D$26,2)),40+$A34), FALSE)</f>
        <v>0</v>
      </c>
      <c r="E34" s="7" t="b" cm="1">
        <f t="array" aca="1" ref="E34" ca="1">IF($A34 &lt; CompanyCount, DATA(INDIRECT(ADDRESS(E$26,2)),40+$A34), FALSE)</f>
        <v>0</v>
      </c>
      <c r="F34" s="7" t="b" cm="1">
        <f t="array" aca="1" ref="F34" ca="1">IF($A34 &lt; CompanyCount, DATA(INDIRECT(ADDRESS(F$26,2)),40+$A34), FALSE)</f>
        <v>0</v>
      </c>
      <c r="G34" s="7" t="b" cm="1">
        <f t="array" aca="1" ref="G34" ca="1">IF($A34 &lt; CompanyCount, DATA(INDIRECT(ADDRESS(G$26,2)),40+$A34), FALSE)</f>
        <v>0</v>
      </c>
      <c r="H34" s="7" t="b" cm="1">
        <f t="array" aca="1" ref="H34" ca="1">IF($A34 &lt; CompanyCount, DATA(INDIRECT(ADDRESS(H$26,2)),40+$A34), FALSE)</f>
        <v>0</v>
      </c>
      <c r="I34" s="7" t="b" cm="1">
        <f t="array" aca="1" ref="I34" ca="1">IF($A34 &lt; CompanyCount, DATA(INDIRECT(ADDRESS(I$26,2)),40+$A34), FALSE)</f>
        <v>0</v>
      </c>
      <c r="J34" s="7" t="b" cm="1">
        <f t="array" aca="1" ref="J34" ca="1">IF($A34 &lt; CompanyCount, DATA(INDIRECT(ADDRESS(J$26,2)),40+$A34), FALSE)</f>
        <v>0</v>
      </c>
      <c r="K34" s="7" t="b">
        <f t="shared" ca="1" si="23"/>
        <v>0</v>
      </c>
      <c r="L34" s="7" t="str">
        <f t="shared" ca="1" si="21"/>
        <v/>
      </c>
      <c r="M34" s="7"/>
      <c r="N34" s="7"/>
      <c r="O34" s="7"/>
      <c r="P34" s="7"/>
      <c r="Q34" s="7"/>
      <c r="R34" s="7"/>
      <c r="S34" s="7"/>
      <c r="T34" s="7"/>
      <c r="U34" s="7"/>
      <c r="V34" s="7"/>
      <c r="W34" s="7"/>
      <c r="X34" s="7"/>
      <c r="Y34" s="7"/>
      <c r="Z34" s="7"/>
      <c r="AA34" s="7"/>
      <c r="AB34" s="7"/>
      <c r="AC34" s="7"/>
      <c r="AD34" s="7"/>
      <c r="AE34" s="7"/>
      <c r="AF34" s="7"/>
      <c r="AZ34" s="7"/>
    </row>
    <row r="35" spans="1:52">
      <c r="A35" s="144">
        <f t="shared" si="22"/>
        <v>7</v>
      </c>
      <c r="B35" s="7" t="str" cm="1">
        <f t="array" ref="B35">DATA(A35+2,3)</f>
        <v>HORMEL FOODS CORP</v>
      </c>
      <c r="C35" s="7"/>
      <c r="D35" s="7" t="b" cm="1">
        <f t="array" aca="1" ref="D35" ca="1">IF($A35 &lt; CompanyCount, DATA(INDIRECT(ADDRESS(D$26,2)),40+$A35), FALSE)</f>
        <v>0</v>
      </c>
      <c r="E35" s="7" t="b" cm="1">
        <f t="array" aca="1" ref="E35" ca="1">IF($A35 &lt; CompanyCount, DATA(INDIRECT(ADDRESS(E$26,2)),40+$A35), FALSE)</f>
        <v>0</v>
      </c>
      <c r="F35" s="7" t="b" cm="1">
        <f t="array" aca="1" ref="F35" ca="1">IF($A35 &lt; CompanyCount, DATA(INDIRECT(ADDRESS(F$26,2)),40+$A35), FALSE)</f>
        <v>0</v>
      </c>
      <c r="G35" s="7" t="b" cm="1">
        <f t="array" aca="1" ref="G35" ca="1">IF($A35 &lt; CompanyCount, DATA(INDIRECT(ADDRESS(G$26,2)),40+$A35), FALSE)</f>
        <v>0</v>
      </c>
      <c r="H35" s="7" t="b" cm="1">
        <f t="array" aca="1" ref="H35" ca="1">IF($A35 &lt; CompanyCount, DATA(INDIRECT(ADDRESS(H$26,2)),40+$A35), FALSE)</f>
        <v>0</v>
      </c>
      <c r="I35" s="7" t="b" cm="1">
        <f t="array" aca="1" ref="I35" ca="1">IF($A35 &lt; CompanyCount, DATA(INDIRECT(ADDRESS(I$26,2)),40+$A35), FALSE)</f>
        <v>0</v>
      </c>
      <c r="J35" s="7" t="b" cm="1">
        <f t="array" aca="1" ref="J35" ca="1">IF($A35 &lt; CompanyCount, DATA(INDIRECT(ADDRESS(J$26,2)),40+$A35), FALSE)</f>
        <v>0</v>
      </c>
      <c r="K35" s="7" t="b">
        <f t="shared" ref="K35:K44" ca="1" si="24">OR(D35, E35, F35,G35,H35,I35,J35)</f>
        <v>0</v>
      </c>
      <c r="L35" s="7" t="str">
        <f t="shared" ca="1" si="21"/>
        <v/>
      </c>
      <c r="M35" s="7"/>
      <c r="N35" s="7"/>
      <c r="O35" s="7"/>
      <c r="P35" s="7"/>
      <c r="Q35" s="7"/>
      <c r="R35" s="7"/>
      <c r="S35" s="7"/>
      <c r="T35" s="7"/>
      <c r="U35" s="7"/>
      <c r="V35" s="7"/>
      <c r="W35" s="7"/>
      <c r="X35" s="7"/>
      <c r="Y35" s="7"/>
      <c r="Z35" s="7"/>
      <c r="AA35" s="7"/>
      <c r="AB35" s="7"/>
      <c r="AC35" s="7"/>
      <c r="AD35" s="7"/>
      <c r="AE35" s="7"/>
      <c r="AF35" s="7"/>
      <c r="AZ35" s="7"/>
    </row>
    <row r="36" spans="1:52">
      <c r="A36" s="144">
        <f t="shared" si="22"/>
        <v>8</v>
      </c>
      <c r="B36" s="7" t="str" cm="1">
        <f t="array" ref="B36">DATA(A36+2,3)</f>
        <v>J M SMUCKER CO</v>
      </c>
      <c r="C36" s="7"/>
      <c r="D36" s="7" t="b" cm="1">
        <f t="array" aca="1" ref="D36" ca="1">IF($A36 &lt; CompanyCount, DATA(INDIRECT(ADDRESS(D$26,2)),40+$A36), FALSE)</f>
        <v>0</v>
      </c>
      <c r="E36" s="7" t="b" cm="1">
        <f t="array" aca="1" ref="E36" ca="1">IF($A36 &lt; CompanyCount, DATA(INDIRECT(ADDRESS(E$26,2)),40+$A36), FALSE)</f>
        <v>0</v>
      </c>
      <c r="F36" s="7" t="b" cm="1">
        <f t="array" aca="1" ref="F36" ca="1">IF($A36 &lt; CompanyCount, DATA(INDIRECT(ADDRESS(F$26,2)),40+$A36), FALSE)</f>
        <v>0</v>
      </c>
      <c r="G36" s="7" t="b" cm="1">
        <f t="array" aca="1" ref="G36" ca="1">IF($A36 &lt; CompanyCount, DATA(INDIRECT(ADDRESS(G$26,2)),40+$A36), FALSE)</f>
        <v>0</v>
      </c>
      <c r="H36" s="7" t="b" cm="1">
        <f t="array" aca="1" ref="H36" ca="1">IF($A36 &lt; CompanyCount, DATA(INDIRECT(ADDRESS(H$26,2)),40+$A36), FALSE)</f>
        <v>0</v>
      </c>
      <c r="I36" s="7" t="b" cm="1">
        <f t="array" aca="1" ref="I36" ca="1">IF($A36 &lt; CompanyCount, DATA(INDIRECT(ADDRESS(I$26,2)),40+$A36), FALSE)</f>
        <v>1</v>
      </c>
      <c r="J36" s="7" t="b" cm="1">
        <f t="array" aca="1" ref="J36" ca="1">IF($A36 &lt; CompanyCount, DATA(INDIRECT(ADDRESS(J$26,2)),40+$A36), FALSE)</f>
        <v>0</v>
      </c>
      <c r="K36" s="7" t="b">
        <f t="shared" ca="1" si="24"/>
        <v>1</v>
      </c>
      <c r="L36" s="7" t="str">
        <f t="shared" ca="1" si="21"/>
        <v>J M SMUCKER CO</v>
      </c>
      <c r="M36" s="7"/>
      <c r="N36" s="7"/>
      <c r="O36" s="7"/>
      <c r="P36" s="7"/>
      <c r="Q36" s="7"/>
      <c r="R36" s="7"/>
      <c r="S36" s="7"/>
      <c r="T36" s="7"/>
      <c r="U36" s="7"/>
      <c r="V36" s="7"/>
      <c r="W36" s="7"/>
      <c r="X36" s="7"/>
      <c r="Y36" s="7"/>
      <c r="Z36" s="7"/>
      <c r="AA36" s="7"/>
      <c r="AB36" s="7"/>
      <c r="AC36" s="7"/>
      <c r="AD36" s="7"/>
      <c r="AE36" s="7"/>
      <c r="AF36" s="7"/>
      <c r="AZ36" s="7"/>
    </row>
    <row r="37" spans="1:52">
      <c r="A37" s="144">
        <f t="shared" si="22"/>
        <v>9</v>
      </c>
      <c r="B37" s="7" t="str" cm="1">
        <f t="array" ref="B37">DATA(A37+2,3)</f>
        <v>KELLOGG CO</v>
      </c>
      <c r="C37" s="7"/>
      <c r="D37" s="7" t="b" cm="1">
        <f t="array" aca="1" ref="D37" ca="1">IF($A37 &lt; CompanyCount, DATA(INDIRECT(ADDRESS(D$26,2)),40+$A37), FALSE)</f>
        <v>0</v>
      </c>
      <c r="E37" s="7" t="b" cm="1">
        <f t="array" aca="1" ref="E37" ca="1">IF($A37 &lt; CompanyCount, DATA(INDIRECT(ADDRESS(E$26,2)),40+$A37), FALSE)</f>
        <v>0</v>
      </c>
      <c r="F37" s="7" t="b" cm="1">
        <f t="array" aca="1" ref="F37" ca="1">IF($A37 &lt; CompanyCount, DATA(INDIRECT(ADDRESS(F$26,2)),40+$A37), FALSE)</f>
        <v>0</v>
      </c>
      <c r="G37" s="7" t="b" cm="1">
        <f t="array" aca="1" ref="G37" ca="1">IF($A37 &lt; CompanyCount, DATA(INDIRECT(ADDRESS(G$26,2)),40+$A37), FALSE)</f>
        <v>0</v>
      </c>
      <c r="H37" s="7" t="b" cm="1">
        <f t="array" aca="1" ref="H37" ca="1">IF($A37 &lt; CompanyCount, DATA(INDIRECT(ADDRESS(H$26,2)),40+$A37), FALSE)</f>
        <v>0</v>
      </c>
      <c r="I37" s="7" t="b" cm="1">
        <f t="array" aca="1" ref="I37" ca="1">IF($A37 &lt; CompanyCount, DATA(INDIRECT(ADDRESS(I$26,2)),40+$A37), FALSE)</f>
        <v>0</v>
      </c>
      <c r="J37" s="7" t="b" cm="1">
        <f t="array" aca="1" ref="J37" ca="1">IF($A37 &lt; CompanyCount, DATA(INDIRECT(ADDRESS(J$26,2)),40+$A37), FALSE)</f>
        <v>0</v>
      </c>
      <c r="K37" s="7" t="b">
        <f t="shared" ca="1" si="24"/>
        <v>0</v>
      </c>
      <c r="L37" s="7" t="str">
        <f t="shared" ca="1" si="21"/>
        <v/>
      </c>
      <c r="M37" s="7"/>
      <c r="N37" s="7"/>
      <c r="O37" s="7"/>
      <c r="P37" s="7"/>
      <c r="Q37" s="7"/>
      <c r="R37" s="7"/>
      <c r="S37" s="7"/>
      <c r="T37" s="7"/>
      <c r="U37" s="7"/>
      <c r="V37" s="7"/>
      <c r="W37" s="7"/>
      <c r="X37" s="7"/>
      <c r="Y37" s="7"/>
      <c r="Z37" s="7"/>
      <c r="AA37" s="7"/>
      <c r="AB37" s="7"/>
      <c r="AC37" s="7"/>
      <c r="AD37" s="7"/>
      <c r="AE37" s="7"/>
      <c r="AF37" s="7"/>
      <c r="AZ37" s="7"/>
    </row>
    <row r="38" spans="1:52">
      <c r="A38" s="144">
        <f t="shared" si="22"/>
        <v>10</v>
      </c>
      <c r="B38" s="7" t="str" cm="1">
        <f t="array" ref="B38">DATA(A38+2,3)</f>
        <v>KRAFT HEINZ CO</v>
      </c>
      <c r="C38" s="7"/>
      <c r="D38" s="7" t="b" cm="1">
        <f t="array" aca="1" ref="D38" ca="1">IF($A38 &lt; CompanyCount, DATA(INDIRECT(ADDRESS(D$26,2)),40+$A38), FALSE)</f>
        <v>0</v>
      </c>
      <c r="E38" s="7" t="b" cm="1">
        <f t="array" aca="1" ref="E38" ca="1">IF($A38 &lt; CompanyCount, DATA(INDIRECT(ADDRESS(E$26,2)),40+$A38), FALSE)</f>
        <v>0</v>
      </c>
      <c r="F38" s="7" t="b" cm="1">
        <f t="array" aca="1" ref="F38" ca="1">IF($A38 &lt; CompanyCount, DATA(INDIRECT(ADDRESS(F$26,2)),40+$A38), FALSE)</f>
        <v>0</v>
      </c>
      <c r="G38" s="7" t="b" cm="1">
        <f t="array" aca="1" ref="G38" ca="1">IF($A38 &lt; CompanyCount, DATA(INDIRECT(ADDRESS(G$26,2)),40+$A38), FALSE)</f>
        <v>0</v>
      </c>
      <c r="H38" s="7" t="b" cm="1">
        <f t="array" aca="1" ref="H38" ca="1">IF($A38 &lt; CompanyCount, DATA(INDIRECT(ADDRESS(H$26,2)),40+$A38), FALSE)</f>
        <v>0</v>
      </c>
      <c r="I38" s="7" t="b" cm="1">
        <f t="array" aca="1" ref="I38" ca="1">IF($A38 &lt; CompanyCount, DATA(INDIRECT(ADDRESS(I$26,2)),40+$A38), FALSE)</f>
        <v>0</v>
      </c>
      <c r="J38" s="7" t="b" cm="1">
        <f t="array" aca="1" ref="J38" ca="1">IF($A38 &lt; CompanyCount, DATA(INDIRECT(ADDRESS(J$26,2)),40+$A38), FALSE)</f>
        <v>0</v>
      </c>
      <c r="K38" s="7" t="b">
        <f t="shared" ca="1" si="24"/>
        <v>0</v>
      </c>
      <c r="L38" s="7" t="str">
        <f t="shared" ca="1" si="21"/>
        <v/>
      </c>
      <c r="M38" s="7"/>
      <c r="N38" s="7"/>
      <c r="O38" s="7"/>
      <c r="P38" s="7"/>
      <c r="Q38" s="7"/>
      <c r="R38" s="7"/>
      <c r="S38" s="7"/>
      <c r="T38" s="7"/>
      <c r="U38" s="7"/>
      <c r="V38" s="7"/>
      <c r="W38" s="7"/>
      <c r="X38" s="7"/>
      <c r="Y38" s="7"/>
      <c r="Z38" s="7"/>
      <c r="AA38" s="7"/>
      <c r="AB38" s="7"/>
      <c r="AC38" s="7"/>
      <c r="AD38" s="7"/>
      <c r="AE38" s="7"/>
      <c r="AF38" s="7"/>
      <c r="AZ38" s="7"/>
    </row>
    <row r="39" spans="1:52">
      <c r="A39" s="144">
        <f t="shared" si="22"/>
        <v>11</v>
      </c>
      <c r="B39" s="7" t="str" cm="1">
        <f t="array" ref="B39">DATA(A39+2,3)</f>
        <v>LAMB WESTON HOLDINGS INC</v>
      </c>
      <c r="C39" s="7"/>
      <c r="D39" s="7" t="b" cm="1">
        <f t="array" aca="1" ref="D39" ca="1">IF($A39 &lt; CompanyCount, DATA(INDIRECT(ADDRESS(D$26,2)),40+$A39), FALSE)</f>
        <v>0</v>
      </c>
      <c r="E39" s="7" t="b" cm="1">
        <f t="array" aca="1" ref="E39" ca="1">IF($A39 &lt; CompanyCount, DATA(INDIRECT(ADDRESS(E$26,2)),40+$A39), FALSE)</f>
        <v>0</v>
      </c>
      <c r="F39" s="7" t="b" cm="1">
        <f t="array" aca="1" ref="F39" ca="1">IF($A39 &lt; CompanyCount, DATA(INDIRECT(ADDRESS(F$26,2)),40+$A39), FALSE)</f>
        <v>0</v>
      </c>
      <c r="G39" s="7" t="b" cm="1">
        <f t="array" aca="1" ref="G39" ca="1">IF($A39 &lt; CompanyCount, DATA(INDIRECT(ADDRESS(G$26,2)),40+$A39), FALSE)</f>
        <v>0</v>
      </c>
      <c r="H39" s="7" t="b" cm="1">
        <f t="array" aca="1" ref="H39" ca="1">IF($A39 &lt; CompanyCount, DATA(INDIRECT(ADDRESS(H$26,2)),40+$A39), FALSE)</f>
        <v>0</v>
      </c>
      <c r="I39" s="7" t="b" cm="1">
        <f t="array" aca="1" ref="I39" ca="1">IF($A39 &lt; CompanyCount, DATA(INDIRECT(ADDRESS(I$26,2)),40+$A39), FALSE)</f>
        <v>0</v>
      </c>
      <c r="J39" s="7" t="b" cm="1">
        <f t="array" aca="1" ref="J39" ca="1">IF($A39 &lt; CompanyCount, DATA(INDIRECT(ADDRESS(J$26,2)),40+$A39), FALSE)</f>
        <v>0</v>
      </c>
      <c r="K39" s="7" t="b">
        <f t="shared" ca="1" si="24"/>
        <v>0</v>
      </c>
      <c r="L39" s="7" t="str">
        <f t="shared" ca="1" si="21"/>
        <v/>
      </c>
      <c r="M39" s="7"/>
      <c r="N39" s="7"/>
      <c r="O39" s="7"/>
      <c r="P39" s="7"/>
      <c r="Q39" s="7"/>
      <c r="R39" s="7"/>
      <c r="S39" s="7"/>
      <c r="T39" s="7"/>
      <c r="U39" s="7"/>
      <c r="V39" s="7"/>
      <c r="W39" s="7"/>
      <c r="X39" s="7"/>
      <c r="Y39" s="7"/>
      <c r="Z39" s="7"/>
      <c r="AA39" s="7"/>
      <c r="AB39" s="7"/>
      <c r="AC39" s="7"/>
      <c r="AD39" s="7"/>
      <c r="AE39" s="7"/>
      <c r="AF39" s="7"/>
      <c r="AZ39" s="7"/>
    </row>
    <row r="40" spans="1:52">
      <c r="A40" s="144">
        <f t="shared" si="22"/>
        <v>12</v>
      </c>
      <c r="B40" s="7" t="str" cm="1">
        <f t="array" ref="B40">DATA(A40+2,3)</f>
        <v>MCCORMICK &amp; CO INC</v>
      </c>
      <c r="C40" s="7"/>
      <c r="D40" s="7" t="b" cm="1">
        <f t="array" aca="1" ref="D40" ca="1">IF($A40 &lt; CompanyCount, DATA(INDIRECT(ADDRESS(D$26,2)),40+$A40), FALSE)</f>
        <v>0</v>
      </c>
      <c r="E40" s="7" t="b" cm="1">
        <f t="array" aca="1" ref="E40" ca="1">IF($A40 &lt; CompanyCount, DATA(INDIRECT(ADDRESS(E$26,2)),40+$A40), FALSE)</f>
        <v>0</v>
      </c>
      <c r="F40" s="7" t="b" cm="1">
        <f t="array" aca="1" ref="F40" ca="1">IF($A40 &lt; CompanyCount, DATA(INDIRECT(ADDRESS(F$26,2)),40+$A40), FALSE)</f>
        <v>0</v>
      </c>
      <c r="G40" s="7" t="b" cm="1">
        <f t="array" aca="1" ref="G40" ca="1">IF($A40 &lt; CompanyCount, DATA(INDIRECT(ADDRESS(G$26,2)),40+$A40), FALSE)</f>
        <v>0</v>
      </c>
      <c r="H40" s="7" t="b" cm="1">
        <f t="array" aca="1" ref="H40" ca="1">IF($A40 &lt; CompanyCount, DATA(INDIRECT(ADDRESS(H$26,2)),40+$A40), FALSE)</f>
        <v>0</v>
      </c>
      <c r="I40" s="7" t="b" cm="1">
        <f t="array" aca="1" ref="I40" ca="1">IF($A40 &lt; CompanyCount, DATA(INDIRECT(ADDRESS(I$26,2)),40+$A40), FALSE)</f>
        <v>0</v>
      </c>
      <c r="J40" s="7" t="b" cm="1">
        <f t="array" aca="1" ref="J40" ca="1">IF($A40 &lt; CompanyCount, DATA(INDIRECT(ADDRESS(J$26,2)),40+$A40), FALSE)</f>
        <v>0</v>
      </c>
      <c r="K40" s="7" t="b">
        <f t="shared" ca="1" si="24"/>
        <v>0</v>
      </c>
      <c r="L40" s="7" t="str">
        <f t="shared" ca="1" si="21"/>
        <v/>
      </c>
      <c r="M40" s="7"/>
      <c r="N40" s="7"/>
      <c r="O40" s="7"/>
      <c r="P40" s="7"/>
      <c r="Q40" s="7"/>
      <c r="R40" s="7"/>
      <c r="S40" s="7"/>
      <c r="T40" s="7"/>
      <c r="U40" s="7"/>
      <c r="V40" s="7"/>
      <c r="W40" s="7"/>
      <c r="X40" s="7"/>
      <c r="Y40" s="7"/>
      <c r="Z40" s="7"/>
      <c r="AA40" s="7"/>
      <c r="AB40" s="7"/>
      <c r="AC40" s="7"/>
      <c r="AD40" s="7"/>
      <c r="AE40" s="7"/>
      <c r="AF40" s="7"/>
      <c r="AZ40" s="7"/>
    </row>
    <row r="41" spans="1:52">
      <c r="A41" s="144">
        <f t="shared" si="22"/>
        <v>13</v>
      </c>
      <c r="B41" s="7" t="str" cm="1">
        <f t="array" ref="B41">DATA(A41+2,3)</f>
        <v>MONDELEZ INTERNATIONAL INC</v>
      </c>
      <c r="C41" s="7"/>
      <c r="D41" s="7" t="b" cm="1">
        <f t="array" aca="1" ref="D41" ca="1">IF($A41 &lt; CompanyCount, DATA(INDIRECT(ADDRESS(D$26,2)),40+$A41), FALSE)</f>
        <v>0</v>
      </c>
      <c r="E41" s="7" t="b" cm="1">
        <f t="array" aca="1" ref="E41" ca="1">IF($A41 &lt; CompanyCount, DATA(INDIRECT(ADDRESS(E$26,2)),40+$A41), FALSE)</f>
        <v>0</v>
      </c>
      <c r="F41" s="7" t="b" cm="1">
        <f t="array" aca="1" ref="F41" ca="1">IF($A41 &lt; CompanyCount, DATA(INDIRECT(ADDRESS(F$26,2)),40+$A41), FALSE)</f>
        <v>0</v>
      </c>
      <c r="G41" s="7" t="b" cm="1">
        <f t="array" aca="1" ref="G41" ca="1">IF($A41 &lt; CompanyCount, DATA(INDIRECT(ADDRESS(G$26,2)),40+$A41), FALSE)</f>
        <v>0</v>
      </c>
      <c r="H41" s="7" t="b" cm="1">
        <f t="array" aca="1" ref="H41" ca="1">IF($A41 &lt; CompanyCount, DATA(INDIRECT(ADDRESS(H$26,2)),40+$A41), FALSE)</f>
        <v>0</v>
      </c>
      <c r="I41" s="7" t="b" cm="1">
        <f t="array" aca="1" ref="I41" ca="1">IF($A41 &lt; CompanyCount, DATA(INDIRECT(ADDRESS(I$26,2)),40+$A41), FALSE)</f>
        <v>0</v>
      </c>
      <c r="J41" s="7" t="b" cm="1">
        <f t="array" aca="1" ref="J41" ca="1">IF($A41 &lt; CompanyCount, DATA(INDIRECT(ADDRESS(J$26,2)),40+$A41), FALSE)</f>
        <v>0</v>
      </c>
      <c r="K41" s="7" t="b">
        <f t="shared" ca="1" si="24"/>
        <v>0</v>
      </c>
      <c r="L41" s="7" t="str">
        <f t="shared" ca="1" si="21"/>
        <v/>
      </c>
      <c r="M41" s="7"/>
      <c r="N41" s="7"/>
      <c r="O41" s="7"/>
      <c r="P41" s="7"/>
      <c r="Q41" s="7"/>
      <c r="R41" s="7"/>
      <c r="S41" s="7"/>
      <c r="T41" s="7"/>
      <c r="U41" s="7"/>
      <c r="V41" s="7"/>
      <c r="W41" s="7"/>
      <c r="X41" s="7"/>
      <c r="Y41" s="7"/>
      <c r="Z41" s="7"/>
      <c r="AA41" s="7"/>
      <c r="AB41" s="7"/>
      <c r="AC41" s="7"/>
      <c r="AD41" s="7"/>
      <c r="AE41" s="7"/>
      <c r="AF41" s="7"/>
      <c r="AZ41" s="7"/>
    </row>
    <row r="42" spans="1:52">
      <c r="A42" s="144">
        <f t="shared" si="22"/>
        <v>14</v>
      </c>
      <c r="B42" s="7" t="str" cm="1">
        <f t="array" ref="B42">DATA(A42+2,3)</f>
        <v>PILGRIMS PRIDE CORP</v>
      </c>
      <c r="C42" s="7"/>
      <c r="D42" s="7" t="b" cm="1">
        <f t="array" aca="1" ref="D42" ca="1">IF($A42 &lt; CompanyCount, DATA(INDIRECT(ADDRESS(D$26,2)),40+$A42), FALSE)</f>
        <v>0</v>
      </c>
      <c r="E42" s="7" t="b" cm="1">
        <f t="array" aca="1" ref="E42" ca="1">IF($A42 &lt; CompanyCount, DATA(INDIRECT(ADDRESS(E$26,2)),40+$A42), FALSE)</f>
        <v>0</v>
      </c>
      <c r="F42" s="7" t="b" cm="1">
        <f t="array" aca="1" ref="F42" ca="1">IF($A42 &lt; CompanyCount, DATA(INDIRECT(ADDRESS(F$26,2)),40+$A42), FALSE)</f>
        <v>0</v>
      </c>
      <c r="G42" s="7" t="b" cm="1">
        <f t="array" aca="1" ref="G42" ca="1">IF($A42 &lt; CompanyCount, DATA(INDIRECT(ADDRESS(G$26,2)),40+$A42), FALSE)</f>
        <v>0</v>
      </c>
      <c r="H42" s="7" t="b" cm="1">
        <f t="array" aca="1" ref="H42" ca="1">IF($A42 &lt; CompanyCount, DATA(INDIRECT(ADDRESS(H$26,2)),40+$A42), FALSE)</f>
        <v>0</v>
      </c>
      <c r="I42" s="7" t="b" cm="1">
        <f t="array" aca="1" ref="I42" ca="1">IF($A42 &lt; CompanyCount, DATA(INDIRECT(ADDRESS(I$26,2)),40+$A42), FALSE)</f>
        <v>0</v>
      </c>
      <c r="J42" s="7" t="b" cm="1">
        <f t="array" aca="1" ref="J42" ca="1">IF($A42 &lt; CompanyCount, DATA(INDIRECT(ADDRESS(J$26,2)),40+$A42), FALSE)</f>
        <v>0</v>
      </c>
      <c r="K42" s="7" t="b">
        <f t="shared" ca="1" si="24"/>
        <v>0</v>
      </c>
      <c r="L42" s="7" t="str">
        <f t="shared" ca="1" si="21"/>
        <v/>
      </c>
      <c r="M42" s="7"/>
      <c r="N42" s="7"/>
      <c r="O42" s="7"/>
      <c r="P42" s="7"/>
      <c r="Q42" s="7"/>
      <c r="R42" s="7"/>
      <c r="S42" s="7"/>
      <c r="T42" s="7"/>
      <c r="U42" s="7"/>
      <c r="V42" s="7"/>
      <c r="W42" s="7"/>
      <c r="X42" s="7"/>
      <c r="Y42" s="7"/>
      <c r="Z42" s="7"/>
      <c r="AA42" s="7"/>
      <c r="AB42" s="7"/>
      <c r="AC42" s="7"/>
      <c r="AD42" s="7"/>
      <c r="AE42" s="7"/>
      <c r="AF42" s="7"/>
      <c r="AZ42" s="7"/>
    </row>
    <row r="43" spans="1:52">
      <c r="A43" s="144">
        <f t="shared" si="22"/>
        <v>15</v>
      </c>
      <c r="B43" s="7" t="str" cm="1">
        <f t="array" ref="B43">DATA(A43+2,3)</f>
        <v>TYSON FOODS INC</v>
      </c>
      <c r="C43" s="7"/>
      <c r="D43" s="7" t="b" cm="1">
        <f t="array" aca="1" ref="D43" ca="1">IF($A43 &lt; CompanyCount, DATA(INDIRECT(ADDRESS(D$26,2)),40+$A43), FALSE)</f>
        <v>1</v>
      </c>
      <c r="E43" s="7" t="b" cm="1">
        <f t="array" aca="1" ref="E43" ca="1">IF($A43 &lt; CompanyCount, DATA(INDIRECT(ADDRESS(E$26,2)),40+$A43), FALSE)</f>
        <v>0</v>
      </c>
      <c r="F43" s="7" t="b" cm="1">
        <f t="array" aca="1" ref="F43" ca="1">IF($A43 &lt; CompanyCount, DATA(INDIRECT(ADDRESS(F$26,2)),40+$A43), FALSE)</f>
        <v>0</v>
      </c>
      <c r="G43" s="7" t="b" cm="1">
        <f t="array" aca="1" ref="G43" ca="1">IF($A43 &lt; CompanyCount, DATA(INDIRECT(ADDRESS(G$26,2)),40+$A43), FALSE)</f>
        <v>1</v>
      </c>
      <c r="H43" s="7" t="b" cm="1">
        <f t="array" aca="1" ref="H43" ca="1">IF($A43 &lt; CompanyCount, DATA(INDIRECT(ADDRESS(H$26,2)),40+$A43), FALSE)</f>
        <v>0</v>
      </c>
      <c r="I43" s="7" t="b" cm="1">
        <f t="array" aca="1" ref="I43" ca="1">IF($A43 &lt; CompanyCount, DATA(INDIRECT(ADDRESS(I$26,2)),40+$A43), FALSE)</f>
        <v>0</v>
      </c>
      <c r="J43" s="7" t="b" cm="1">
        <f t="array" aca="1" ref="J43" ca="1">IF($A43 &lt; CompanyCount, DATA(INDIRECT(ADDRESS(J$26,2)),40+$A43), FALSE)</f>
        <v>0</v>
      </c>
      <c r="K43" s="7" t="b">
        <f t="shared" ca="1" si="24"/>
        <v>1</v>
      </c>
      <c r="L43" s="7" t="str">
        <f t="shared" ca="1" si="21"/>
        <v>TYSON FOODS INC</v>
      </c>
      <c r="M43" s="7"/>
      <c r="N43" s="7"/>
      <c r="O43" s="7"/>
      <c r="P43" s="7"/>
      <c r="Q43" s="7"/>
      <c r="R43" s="7"/>
      <c r="S43" s="7"/>
      <c r="T43" s="7"/>
      <c r="U43" s="7"/>
      <c r="V43" s="7"/>
      <c r="W43" s="7"/>
      <c r="X43" s="7"/>
      <c r="Y43" s="7"/>
      <c r="Z43" s="7"/>
      <c r="AA43" s="7"/>
      <c r="AB43" s="7"/>
      <c r="AC43" s="7"/>
      <c r="AD43" s="7"/>
      <c r="AE43" s="7"/>
      <c r="AF43" s="7"/>
      <c r="AZ43" s="7"/>
    </row>
    <row r="44" spans="1:52">
      <c r="A44" s="144">
        <f t="shared" si="22"/>
        <v>16</v>
      </c>
      <c r="B44" s="7" cm="1">
        <f t="array" ref="B44">DATA(A44+2,3)</f>
        <v>0</v>
      </c>
      <c r="C44" s="7"/>
      <c r="D44" s="7" t="b" cm="1">
        <f t="array" aca="1" ref="D44" ca="1">IF($A44 &lt; CompanyCount, DATA(INDIRECT(ADDRESS(D$26,2)),40+$A44), FALSE)</f>
        <v>0</v>
      </c>
      <c r="E44" s="7" t="b" cm="1">
        <f t="array" aca="1" ref="E44" ca="1">IF($A44 &lt; CompanyCount, DATA(INDIRECT(ADDRESS(E$26,2)),40+$A44), FALSE)</f>
        <v>0</v>
      </c>
      <c r="F44" s="7" t="b" cm="1">
        <f t="array" aca="1" ref="F44" ca="1">IF($A44 &lt; CompanyCount, DATA(INDIRECT(ADDRESS(F$26,2)),40+$A44), FALSE)</f>
        <v>0</v>
      </c>
      <c r="G44" s="7" t="b" cm="1">
        <f t="array" aca="1" ref="G44" ca="1">IF($A44 &lt; CompanyCount, DATA(INDIRECT(ADDRESS(G$26,2)),40+$A44), FALSE)</f>
        <v>0</v>
      </c>
      <c r="H44" s="7" t="b" cm="1">
        <f t="array" aca="1" ref="H44" ca="1">IF($A44 &lt; CompanyCount, DATA(INDIRECT(ADDRESS(H$26,2)),40+$A44), FALSE)</f>
        <v>0</v>
      </c>
      <c r="I44" s="7" t="b" cm="1">
        <f t="array" aca="1" ref="I44" ca="1">IF($A44 &lt; CompanyCount, DATA(INDIRECT(ADDRESS(I$26,2)),40+$A44), FALSE)</f>
        <v>0</v>
      </c>
      <c r="J44" s="7" t="b" cm="1">
        <f t="array" aca="1" ref="J44" ca="1">IF($A44 &lt; CompanyCount, DATA(INDIRECT(ADDRESS(J$26,2)),40+$A44), FALSE)</f>
        <v>0</v>
      </c>
      <c r="K44" s="7" t="b">
        <f t="shared" ca="1" si="24"/>
        <v>0</v>
      </c>
      <c r="L44" s="7" t="str">
        <f t="shared" ca="1" si="21"/>
        <v/>
      </c>
      <c r="M44" s="7"/>
      <c r="N44" s="7"/>
      <c r="O44" s="7"/>
      <c r="P44" s="7"/>
      <c r="Q44" s="7"/>
      <c r="R44" s="7"/>
      <c r="S44" s="7"/>
      <c r="T44" s="7"/>
      <c r="U44" s="7"/>
      <c r="V44" s="7"/>
      <c r="W44" s="7"/>
      <c r="X44" s="7"/>
      <c r="Y44" s="7"/>
      <c r="Z44" s="7"/>
      <c r="AA44" s="7"/>
      <c r="AB44" s="7"/>
      <c r="AC44" s="7"/>
      <c r="AD44" s="7"/>
      <c r="AE44" s="7"/>
      <c r="AF44" s="7"/>
      <c r="AZ44" s="7"/>
    </row>
    <row r="45" spans="1:52">
      <c r="B45" s="7"/>
      <c r="C45" s="7"/>
      <c r="D45" s="7"/>
      <c r="E45" s="7"/>
      <c r="F45" s="7"/>
      <c r="G45" s="7"/>
      <c r="H45" s="7"/>
      <c r="I45" s="7"/>
      <c r="J45" s="7"/>
      <c r="K45" s="7">
        <f ca="1">COUNTIF(K28:K44,TRUE)</f>
        <v>5</v>
      </c>
      <c r="L45" s="7" t="str" cm="1">
        <f t="array" aca="1" ref="L45" ca="1">IF(K45=0, "", "* " &amp; JoinStrings(L28:L44) &amp; IF((K45=1), " is an outlier", " are outliers") &amp; ".  Users are advised to omit outliers, as there may be issues with reported data.")</f>
        <v>* CAMPBELL SOUP CO, CONAGRA BRANDS INC, HAIN CELESTIAL GROUP INC, J M SMUCKER CO and TYSON FOODS INC are outliers.  Users are advised to omit outliers, as there may be issues with reported data.</v>
      </c>
      <c r="M45" s="7"/>
      <c r="N45" s="7"/>
      <c r="O45" s="7"/>
      <c r="P45" s="7"/>
      <c r="Q45" s="7"/>
      <c r="R45" s="7"/>
      <c r="S45" s="7"/>
      <c r="T45" s="7"/>
      <c r="U45" s="7"/>
      <c r="V45" s="7"/>
      <c r="W45" s="7"/>
      <c r="X45" s="7"/>
      <c r="Y45" s="7"/>
      <c r="Z45" s="7"/>
      <c r="AA45" s="7"/>
      <c r="AB45" s="7"/>
      <c r="AC45" s="7"/>
      <c r="AD45" s="7"/>
      <c r="AE45" s="7"/>
      <c r="AF45" s="7"/>
      <c r="AZ45" s="7"/>
    </row>
    <row r="46" spans="1:52">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28"/>
      <c r="AH46" s="7"/>
      <c r="AI46" s="7"/>
      <c r="AJ46" s="7"/>
      <c r="AK46" s="7"/>
      <c r="AL46" s="7"/>
      <c r="AM46" s="7"/>
      <c r="AN46" s="7"/>
      <c r="AO46" s="7"/>
      <c r="AP46" s="7"/>
      <c r="AQ46" s="7"/>
      <c r="AR46" s="7"/>
      <c r="AS46" s="7"/>
      <c r="AT46" s="7"/>
      <c r="AU46" s="7"/>
      <c r="AV46" s="7"/>
      <c r="AW46" s="7"/>
      <c r="AX46" s="7"/>
      <c r="AY46" s="7"/>
      <c r="AZ46" s="7"/>
    </row>
    <row r="47" spans="1:52">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28"/>
      <c r="AH47" s="7"/>
      <c r="AI47" s="7"/>
      <c r="AJ47" s="7"/>
      <c r="AK47" s="7"/>
      <c r="AL47" s="7"/>
      <c r="AM47" s="7"/>
      <c r="AN47" s="7"/>
      <c r="AO47" s="7"/>
      <c r="AP47" s="7"/>
      <c r="AQ47" s="7"/>
      <c r="AR47" s="7"/>
      <c r="AS47" s="7"/>
      <c r="AT47" s="7"/>
      <c r="AU47" s="7"/>
      <c r="AV47" s="7"/>
      <c r="AW47" s="7"/>
      <c r="AX47" s="7"/>
      <c r="AY47" s="7"/>
      <c r="AZ47" s="7"/>
    </row>
    <row r="48" spans="1:52">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28"/>
      <c r="AH48" s="7"/>
      <c r="AI48" s="7"/>
      <c r="AJ48" s="7"/>
      <c r="AK48" s="7"/>
      <c r="AL48" s="7"/>
      <c r="AM48" s="7"/>
      <c r="AN48" s="7"/>
      <c r="AO48" s="7"/>
      <c r="AP48" s="7"/>
      <c r="AQ48" s="7"/>
      <c r="AR48" s="7"/>
      <c r="AS48" s="7"/>
      <c r="AT48" s="7"/>
      <c r="AU48" s="7"/>
      <c r="AV48" s="7"/>
      <c r="AW48" s="7"/>
      <c r="AX48" s="7"/>
      <c r="AY48" s="7"/>
      <c r="AZ48" s="7"/>
    </row>
    <row r="49" spans="2:52">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28"/>
      <c r="AH49" s="7"/>
      <c r="AI49" s="7"/>
      <c r="AJ49" s="7"/>
      <c r="AK49" s="7"/>
      <c r="AL49" s="7"/>
      <c r="AM49" s="7"/>
      <c r="AN49" s="7"/>
      <c r="AO49" s="7"/>
      <c r="AP49" s="7"/>
      <c r="AQ49" s="7"/>
      <c r="AR49" s="7"/>
      <c r="AS49" s="7"/>
      <c r="AT49" s="7"/>
      <c r="AU49" s="7"/>
      <c r="AV49" s="7"/>
      <c r="AW49" s="7"/>
      <c r="AX49" s="7"/>
      <c r="AY49" s="7"/>
      <c r="AZ49" s="7"/>
    </row>
    <row r="50" spans="2:52">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28"/>
      <c r="AH50" s="7"/>
      <c r="AI50" s="7"/>
      <c r="AJ50" s="7"/>
      <c r="AK50" s="7"/>
      <c r="AL50" s="7"/>
      <c r="AM50" s="7"/>
      <c r="AN50" s="7"/>
      <c r="AO50" s="7"/>
      <c r="AP50" s="7"/>
      <c r="AQ50" s="7"/>
      <c r="AR50" s="7"/>
      <c r="AS50" s="7"/>
      <c r="AT50" s="7"/>
      <c r="AU50" s="7"/>
      <c r="AV50" s="7"/>
      <c r="AW50" s="7"/>
      <c r="AX50" s="7"/>
      <c r="AY50" s="7"/>
      <c r="AZ50" s="7"/>
    </row>
    <row r="51" spans="2:52">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row>
    <row r="52" spans="2:52">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row>
    <row r="53" spans="2:52">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row>
    <row r="54" spans="2:52">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row>
    <row r="55" spans="2:52">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row>
    <row r="56" spans="2:52">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row>
    <row r="57" spans="2:52">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row>
    <row r="58" spans="2:52">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row>
    <row r="59" spans="2:52">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row>
    <row r="60" spans="2:52">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row>
    <row r="61" spans="2:52">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row>
    <row r="62" spans="2:52">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row>
    <row r="63" spans="2:52">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row>
    <row r="64" spans="2:52">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row>
    <row r="65" spans="2:32">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row>
    <row r="183" spans="18:18">
      <c r="R183" s="3" t="str">
        <f>"--------------------------------------------------------------"</f>
        <v>--------------------------------------------------------------</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FormatPeerDemographicsPage">
                <anchor moveWithCells="1" sizeWithCells="1">
                  <from>
                    <xdr:col>29</xdr:col>
                    <xdr:colOff>219075</xdr:colOff>
                    <xdr:row>7</xdr:row>
                    <xdr:rowOff>38100</xdr:rowOff>
                  </from>
                  <to>
                    <xdr:col>31</xdr:col>
                    <xdr:colOff>295275</xdr:colOff>
                    <xdr:row>9</xdr:row>
                    <xdr:rowOff>9525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224D-821D-4E15-9DB6-2E9E1859187A}">
  <sheetPr codeName="Sheet15"/>
  <dimension ref="A1:AC127"/>
  <sheetViews>
    <sheetView topLeftCell="A55" zoomScaleNormal="100" workbookViewId="0">
      <selection activeCell="B67" sqref="B67:B81"/>
    </sheetView>
  </sheetViews>
  <sheetFormatPr defaultRowHeight="11.25"/>
  <cols>
    <col min="1" max="1" width="15.28515625" style="3" customWidth="1"/>
    <col min="2" max="2" width="9.140625" style="3"/>
    <col min="3" max="3" width="13.140625" style="3" customWidth="1"/>
    <col min="4" max="4" width="14" style="3" customWidth="1"/>
    <col min="5" max="5" width="9.42578125" style="3" customWidth="1"/>
    <col min="6" max="6" width="15.28515625" style="3" customWidth="1"/>
    <col min="7" max="7" width="11" style="3" customWidth="1"/>
    <col min="8" max="9" width="9.140625" style="3"/>
    <col min="10" max="10" width="10.85546875" style="3" customWidth="1"/>
    <col min="11" max="11" width="10.140625" style="3" customWidth="1"/>
    <col min="12" max="19" width="9.140625" style="3"/>
    <col min="20" max="20" width="27.28515625" style="3" customWidth="1"/>
    <col min="21" max="21" width="10.7109375" style="3" customWidth="1"/>
    <col min="22" max="16384" width="9.140625" style="3"/>
  </cols>
  <sheetData>
    <row r="1" spans="1:21">
      <c r="D1" s="44" t="s">
        <v>7</v>
      </c>
      <c r="E1" s="44" t="s">
        <v>6</v>
      </c>
      <c r="F1" s="44"/>
      <c r="G1" s="44"/>
      <c r="H1" s="44" t="s">
        <v>5</v>
      </c>
      <c r="I1" s="44">
        <v>0.8</v>
      </c>
      <c r="J1" s="44"/>
      <c r="K1" s="44">
        <v>0.8</v>
      </c>
      <c r="L1" s="44"/>
      <c r="M1" s="44"/>
      <c r="O1" s="3" t="e">
        <f ca="1">MATCH(D2,A2:A18,0)</f>
        <v>#N/A</v>
      </c>
      <c r="S1" s="4"/>
      <c r="T1" s="45"/>
      <c r="U1" s="45"/>
    </row>
    <row r="2" spans="1:21">
      <c r="A2" s="46" t="str">
        <f t="shared" ref="A2:A17" si="0">A36</f>
        <v>LAMB WESTON HOLDINGS</v>
      </c>
      <c r="B2" s="47">
        <f t="shared" ref="B2:B16" si="1">IF(ISNA(B36), "Not Available", ROUND(B36,0))</f>
        <v>63</v>
      </c>
      <c r="D2" s="44" t="str">
        <f ca="1">Data!B25</f>
        <v>CAMPBELL SOUP CO</v>
      </c>
      <c r="E2" s="48" t="s">
        <v>0</v>
      </c>
      <c r="F2" s="48" t="s">
        <v>1</v>
      </c>
      <c r="G2" s="48" t="s">
        <v>2</v>
      </c>
      <c r="H2" s="48" t="s">
        <v>3</v>
      </c>
      <c r="I2" s="48" t="s">
        <v>0</v>
      </c>
      <c r="J2" s="48" t="s">
        <v>2</v>
      </c>
      <c r="K2" s="48" t="s">
        <v>4</v>
      </c>
      <c r="L2" s="48" t="s">
        <v>17</v>
      </c>
      <c r="M2" s="48" t="s">
        <v>18</v>
      </c>
      <c r="N2" s="48"/>
      <c r="T2" s="45"/>
      <c r="U2" s="55"/>
    </row>
    <row r="3" spans="1:21">
      <c r="A3" s="46" t="str">
        <f t="shared" si="0"/>
        <v>HERSHEY</v>
      </c>
      <c r="B3" s="47">
        <f t="shared" si="1"/>
        <v>49</v>
      </c>
      <c r="D3" s="49">
        <v>1</v>
      </c>
      <c r="E3" s="48">
        <f ca="1">D57</f>
        <v>7</v>
      </c>
      <c r="F3" s="48">
        <f ca="1">E57</f>
        <v>26</v>
      </c>
      <c r="G3" s="48">
        <f ca="1">F57</f>
        <v>43</v>
      </c>
      <c r="H3" s="49">
        <v>1</v>
      </c>
      <c r="I3" s="49">
        <v>1</v>
      </c>
      <c r="J3" s="49">
        <v>1</v>
      </c>
      <c r="K3" s="49">
        <v>1</v>
      </c>
      <c r="L3" s="48">
        <f ca="1">B57</f>
        <v>-44</v>
      </c>
      <c r="M3" s="48">
        <f ca="1">H57</f>
        <v>63</v>
      </c>
      <c r="N3" s="48"/>
      <c r="T3" s="45"/>
    </row>
    <row r="4" spans="1:21">
      <c r="A4" s="46" t="str">
        <f t="shared" si="0"/>
        <v>HAIN CELESTIAL GROUP</v>
      </c>
      <c r="B4" s="47">
        <f t="shared" si="1"/>
        <v>48</v>
      </c>
      <c r="D4" s="48">
        <f ca="1">I57</f>
        <v>13</v>
      </c>
      <c r="E4" s="49">
        <f ca="1">E3</f>
        <v>7</v>
      </c>
      <c r="F4" s="49">
        <f ca="1">F3-E3</f>
        <v>19</v>
      </c>
      <c r="G4" s="49">
        <f ca="1">G3-F3</f>
        <v>17</v>
      </c>
      <c r="H4" s="48">
        <f ca="1">C57</f>
        <v>-20</v>
      </c>
      <c r="I4" s="49">
        <f ca="1">E3</f>
        <v>7</v>
      </c>
      <c r="J4" s="49">
        <f ca="1">G3</f>
        <v>43</v>
      </c>
      <c r="K4" s="48">
        <f ca="1">G57</f>
        <v>49</v>
      </c>
      <c r="L4" s="48">
        <f ca="1">B57</f>
        <v>-44</v>
      </c>
      <c r="M4" s="48">
        <f ca="1">H57</f>
        <v>63</v>
      </c>
      <c r="N4" s="48"/>
      <c r="T4" s="45"/>
    </row>
    <row r="5" spans="1:21">
      <c r="A5" s="46" t="str">
        <f t="shared" si="0"/>
        <v>MCCORMICK &amp; CO INC</v>
      </c>
      <c r="B5" s="47">
        <f t="shared" si="1"/>
        <v>43</v>
      </c>
      <c r="D5" s="56" t="str">
        <f ca="1">Data!B29</f>
        <v>Campbell Soup Co</v>
      </c>
      <c r="T5" s="3" t="str">
        <f ca="1">ExecutiveSummaryFirstPage!F20</f>
        <v>$474M - $711M</v>
      </c>
    </row>
    <row r="6" spans="1:21">
      <c r="A6" s="46" t="str">
        <f t="shared" si="0"/>
        <v>HORMEL FOODS</v>
      </c>
      <c r="B6" s="47">
        <f t="shared" si="1"/>
        <v>43</v>
      </c>
      <c r="D6" s="56"/>
    </row>
    <row r="7" spans="1:21">
      <c r="A7" s="46" t="str">
        <f t="shared" si="0"/>
        <v>TYSON FOODS INC</v>
      </c>
      <c r="B7" s="47">
        <f t="shared" si="1"/>
        <v>38</v>
      </c>
      <c r="D7" s="56"/>
    </row>
    <row r="8" spans="1:21">
      <c r="A8" s="46" t="str">
        <f t="shared" si="0"/>
        <v>J M SMUCKER</v>
      </c>
      <c r="B8" s="47">
        <f t="shared" si="1"/>
        <v>34</v>
      </c>
      <c r="D8" s="56"/>
    </row>
    <row r="9" spans="1:21">
      <c r="A9" s="46" t="str">
        <f t="shared" si="0"/>
        <v>PILGRIMS PRIDE</v>
      </c>
      <c r="B9" s="47">
        <f t="shared" si="1"/>
        <v>30</v>
      </c>
      <c r="D9" s="56"/>
    </row>
    <row r="10" spans="1:21">
      <c r="A10" s="46" t="str">
        <f t="shared" si="0"/>
        <v>CONAGRA BRANDS INC</v>
      </c>
      <c r="B10" s="47">
        <f t="shared" si="1"/>
        <v>22</v>
      </c>
      <c r="D10" s="56"/>
    </row>
    <row r="11" spans="1:21">
      <c r="A11" s="46" t="str">
        <f t="shared" si="0"/>
        <v>DANONE</v>
      </c>
      <c r="B11" s="47">
        <f t="shared" si="1"/>
        <v>22</v>
      </c>
      <c r="D11" s="56"/>
    </row>
    <row r="12" spans="1:21">
      <c r="A12" s="46" t="str">
        <f t="shared" si="0"/>
        <v>CAMPBELL SOUP</v>
      </c>
      <c r="B12" s="47">
        <f t="shared" si="1"/>
        <v>13</v>
      </c>
      <c r="D12" s="56"/>
    </row>
    <row r="13" spans="1:21">
      <c r="A13" s="46" t="str">
        <f t="shared" si="0"/>
        <v>BRF SA</v>
      </c>
      <c r="B13" s="47">
        <f t="shared" si="1"/>
        <v>12</v>
      </c>
      <c r="D13" s="56"/>
    </row>
    <row r="14" spans="1:21">
      <c r="A14" s="44" t="str">
        <f t="shared" si="0"/>
        <v>KELLOGG</v>
      </c>
      <c r="B14" s="47">
        <f t="shared" si="1"/>
        <v>-6</v>
      </c>
      <c r="D14" s="56"/>
    </row>
    <row r="15" spans="1:21">
      <c r="A15" s="44" t="str">
        <f t="shared" si="0"/>
        <v>KRAFT HEINZ</v>
      </c>
      <c r="B15" s="47">
        <f t="shared" si="1"/>
        <v>-15</v>
      </c>
      <c r="D15" s="56"/>
    </row>
    <row r="16" spans="1:21">
      <c r="A16" s="44" t="str">
        <f t="shared" si="0"/>
        <v>GENERAL MILLS INC</v>
      </c>
      <c r="B16" s="47">
        <f t="shared" si="1"/>
        <v>-24</v>
      </c>
      <c r="D16" s="56"/>
    </row>
    <row r="17" spans="1:17">
      <c r="A17" s="44" t="str">
        <f t="shared" si="0"/>
        <v>MONDELEZ</v>
      </c>
      <c r="B17" s="47">
        <f>IF(ISNA(B51), "Not Available", ROUND(B51,0))</f>
        <v>-44</v>
      </c>
    </row>
    <row r="18" spans="1:17">
      <c r="A18" s="44"/>
      <c r="B18" s="47"/>
    </row>
    <row r="19" spans="1:17">
      <c r="A19" s="50" t="s">
        <v>39</v>
      </c>
      <c r="B19" s="50" t="s">
        <v>40</v>
      </c>
      <c r="C19" s="51" t="s">
        <v>41</v>
      </c>
    </row>
    <row r="20" spans="1:17">
      <c r="A20" s="52">
        <v>40</v>
      </c>
      <c r="B20" s="52">
        <v>140</v>
      </c>
      <c r="C20" s="53">
        <v>1</v>
      </c>
    </row>
    <row r="21" spans="1:17">
      <c r="A21" s="50" t="s">
        <v>88</v>
      </c>
      <c r="Q21" s="91"/>
    </row>
    <row r="22" spans="1:17">
      <c r="A22" s="54"/>
      <c r="B22" s="88"/>
      <c r="C22" s="89"/>
      <c r="D22" s="160"/>
    </row>
    <row r="32" spans="1:17">
      <c r="A32" s="3" t="s">
        <v>239</v>
      </c>
      <c r="B32" s="12">
        <f>Data!B21</f>
        <v>16</v>
      </c>
    </row>
    <row r="33" spans="1:10" ht="10.5" customHeight="1">
      <c r="A33" s="3" t="s">
        <v>1</v>
      </c>
      <c r="B33" s="40">
        <f xml:space="preserve"> (Data!$B$21/2) + 1</f>
        <v>9</v>
      </c>
      <c r="C33" s="40">
        <f>IF(MOD(Data!$B$21,2) = 0, B33-1,B33)</f>
        <v>8</v>
      </c>
    </row>
    <row r="34" spans="1:10">
      <c r="A34" s="3" t="s">
        <v>37</v>
      </c>
      <c r="B34" s="12">
        <f>37+MATCH(A34,Data!A37:A57,0)-1</f>
        <v>42</v>
      </c>
    </row>
    <row r="35" spans="1:10">
      <c r="B35" s="41"/>
      <c r="C35" s="23" t="str">
        <f>C55</f>
        <v>Top Decile Cutoff</v>
      </c>
      <c r="D35" s="23" t="str">
        <f>D55</f>
        <v>Top Quartile Cutoff</v>
      </c>
      <c r="E35" s="23">
        <f>E55</f>
        <v>0.5</v>
      </c>
      <c r="F35" s="23" t="str">
        <f>F55</f>
        <v>Bottom Quartile Cutoff</v>
      </c>
      <c r="G35" s="23" t="str">
        <f>G55</f>
        <v>Bottom Decile</v>
      </c>
      <c r="H35" s="4" t="s">
        <v>234</v>
      </c>
      <c r="I35" s="4" t="s">
        <v>233</v>
      </c>
      <c r="J35" s="31" t="s">
        <v>633</v>
      </c>
    </row>
    <row r="36" spans="1:10">
      <c r="A36" s="90" t="s">
        <v>681</v>
      </c>
      <c r="B36" s="90">
        <v>63.451308722795901</v>
      </c>
      <c r="C36" s="40">
        <f t="shared" ref="C36:G50" ca="1" si="2">IF(ISNA($B36), 0, IF($B36&lt;C$56,1,0))</f>
        <v>0</v>
      </c>
      <c r="D36" s="40">
        <f t="shared" ca="1" si="2"/>
        <v>0</v>
      </c>
      <c r="E36" s="40">
        <f t="shared" ca="1" si="2"/>
        <v>0</v>
      </c>
      <c r="F36" s="40">
        <f t="shared" ca="1" si="2"/>
        <v>0</v>
      </c>
      <c r="G36" s="40">
        <f t="shared" ca="1" si="2"/>
        <v>0</v>
      </c>
      <c r="H36" s="4">
        <v>0</v>
      </c>
      <c r="I36" s="42">
        <f ca="1">SUM(C36:G36)</f>
        <v>0</v>
      </c>
      <c r="J36" s="3" t="b">
        <f ca="1">VLOOKUP(A36,$B$66:$D$81,3)</f>
        <v>0</v>
      </c>
    </row>
    <row r="37" spans="1:10">
      <c r="A37" s="3" t="s">
        <v>673</v>
      </c>
      <c r="B37" s="90">
        <v>49.278557896695197</v>
      </c>
      <c r="C37" s="40">
        <f t="shared" ca="1" si="2"/>
        <v>0</v>
      </c>
      <c r="D37" s="40">
        <f t="shared" ca="1" si="2"/>
        <v>0</v>
      </c>
      <c r="E37" s="40">
        <f t="shared" ca="1" si="2"/>
        <v>0</v>
      </c>
      <c r="F37" s="40">
        <f t="shared" ca="1" si="2"/>
        <v>0</v>
      </c>
      <c r="G37" s="40">
        <f t="shared" ca="1" si="2"/>
        <v>0</v>
      </c>
      <c r="H37" s="4">
        <f t="shared" ref="H37:H51" si="3">H36+1</f>
        <v>1</v>
      </c>
      <c r="I37" s="42">
        <f t="shared" ref="I37:I51" ca="1" si="4">SUM(C37:G37)</f>
        <v>0</v>
      </c>
      <c r="J37" s="3" t="b">
        <f t="shared" ref="J37:J51" ca="1" si="5">VLOOKUP(A37,$B$66:$D$81,3)</f>
        <v>0</v>
      </c>
    </row>
    <row r="38" spans="1:10">
      <c r="A38" s="3" t="s">
        <v>666</v>
      </c>
      <c r="B38" s="90">
        <v>48.116858848984002</v>
      </c>
      <c r="C38" s="40">
        <f t="shared" ca="1" si="2"/>
        <v>0</v>
      </c>
      <c r="D38" s="40">
        <f t="shared" ca="1" si="2"/>
        <v>0</v>
      </c>
      <c r="E38" s="40">
        <f t="shared" ca="1" si="2"/>
        <v>0</v>
      </c>
      <c r="F38" s="40">
        <f t="shared" ca="1" si="2"/>
        <v>0</v>
      </c>
      <c r="G38" s="40">
        <f t="shared" ca="1" si="2"/>
        <v>1</v>
      </c>
      <c r="H38" s="4">
        <f t="shared" si="3"/>
        <v>2</v>
      </c>
      <c r="I38" s="42">
        <f t="shared" ca="1" si="4"/>
        <v>1</v>
      </c>
      <c r="J38" s="3" t="b">
        <f t="shared" ca="1" si="5"/>
        <v>0</v>
      </c>
    </row>
    <row r="39" spans="1:10">
      <c r="A39" s="3" t="s">
        <v>682</v>
      </c>
      <c r="B39" s="90">
        <v>43.0205965809619</v>
      </c>
      <c r="C39" s="40">
        <f t="shared" ca="1" si="2"/>
        <v>0</v>
      </c>
      <c r="D39" s="40">
        <f t="shared" ca="1" si="2"/>
        <v>0</v>
      </c>
      <c r="E39" s="40">
        <f t="shared" ca="1" si="2"/>
        <v>0</v>
      </c>
      <c r="F39" s="40">
        <f t="shared" ca="1" si="2"/>
        <v>0</v>
      </c>
      <c r="G39" s="40">
        <f t="shared" ca="1" si="2"/>
        <v>1</v>
      </c>
      <c r="H39" s="4">
        <f t="shared" si="3"/>
        <v>3</v>
      </c>
      <c r="I39" s="42">
        <f t="shared" ca="1" si="4"/>
        <v>1</v>
      </c>
      <c r="J39" s="3" t="b">
        <f t="shared" ca="1" si="5"/>
        <v>0</v>
      </c>
    </row>
    <row r="40" spans="1:10">
      <c r="A40" s="3" t="s">
        <v>674</v>
      </c>
      <c r="B40" s="90">
        <v>42.987869428293301</v>
      </c>
      <c r="C40" s="40">
        <f t="shared" ca="1" si="2"/>
        <v>0</v>
      </c>
      <c r="D40" s="40">
        <f t="shared" ca="1" si="2"/>
        <v>0</v>
      </c>
      <c r="E40" s="40">
        <f t="shared" ca="1" si="2"/>
        <v>0</v>
      </c>
      <c r="F40" s="40">
        <f t="shared" ca="1" si="2"/>
        <v>1</v>
      </c>
      <c r="G40" s="40">
        <f t="shared" ca="1" si="2"/>
        <v>1</v>
      </c>
      <c r="H40" s="4">
        <f t="shared" si="3"/>
        <v>4</v>
      </c>
      <c r="I40" s="42">
        <f t="shared" ca="1" si="4"/>
        <v>2</v>
      </c>
      <c r="J40" s="3" t="b">
        <f t="shared" ca="1" si="5"/>
        <v>0</v>
      </c>
    </row>
    <row r="41" spans="1:10">
      <c r="A41" s="3" t="s">
        <v>689</v>
      </c>
      <c r="B41" s="90">
        <v>38.047482798512299</v>
      </c>
      <c r="C41" s="40">
        <f t="shared" ca="1" si="2"/>
        <v>0</v>
      </c>
      <c r="D41" s="40">
        <f t="shared" ca="1" si="2"/>
        <v>0</v>
      </c>
      <c r="E41" s="40">
        <f t="shared" ca="1" si="2"/>
        <v>0</v>
      </c>
      <c r="F41" s="40">
        <f t="shared" ca="1" si="2"/>
        <v>1</v>
      </c>
      <c r="G41" s="40">
        <f t="shared" ca="1" si="2"/>
        <v>1</v>
      </c>
      <c r="H41" s="4">
        <f t="shared" si="3"/>
        <v>5</v>
      </c>
      <c r="I41" s="42">
        <f t="shared" ca="1" si="4"/>
        <v>2</v>
      </c>
      <c r="J41" s="3" t="b">
        <f t="shared" ca="1" si="5"/>
        <v>0</v>
      </c>
    </row>
    <row r="42" spans="1:10">
      <c r="A42" s="3" t="s">
        <v>245</v>
      </c>
      <c r="B42" s="90">
        <v>34.416700801792402</v>
      </c>
      <c r="C42" s="40">
        <f t="shared" ca="1" si="2"/>
        <v>0</v>
      </c>
      <c r="D42" s="40">
        <f t="shared" ca="1" si="2"/>
        <v>0</v>
      </c>
      <c r="E42" s="40">
        <f t="shared" ca="1" si="2"/>
        <v>0</v>
      </c>
      <c r="F42" s="40">
        <f t="shared" ca="1" si="2"/>
        <v>1</v>
      </c>
      <c r="G42" s="40">
        <f t="shared" ca="1" si="2"/>
        <v>1</v>
      </c>
      <c r="H42" s="4">
        <f t="shared" si="3"/>
        <v>6</v>
      </c>
      <c r="I42" s="42">
        <f t="shared" ca="1" si="4"/>
        <v>2</v>
      </c>
      <c r="J42" s="3" t="b">
        <f t="shared" ca="1" si="5"/>
        <v>0</v>
      </c>
    </row>
    <row r="43" spans="1:10">
      <c r="A43" s="3" t="s">
        <v>687</v>
      </c>
      <c r="B43" s="90">
        <v>29.834736725665099</v>
      </c>
      <c r="C43" s="40">
        <f t="shared" ca="1" si="2"/>
        <v>0</v>
      </c>
      <c r="D43" s="40">
        <f t="shared" ca="1" si="2"/>
        <v>0</v>
      </c>
      <c r="E43" s="40">
        <f t="shared" ca="1" si="2"/>
        <v>0</v>
      </c>
      <c r="F43" s="40">
        <f t="shared" ca="1" si="2"/>
        <v>1</v>
      </c>
      <c r="G43" s="40">
        <f t="shared" ca="1" si="2"/>
        <v>1</v>
      </c>
      <c r="H43" s="4">
        <f t="shared" si="3"/>
        <v>7</v>
      </c>
      <c r="I43" s="42">
        <f t="shared" ca="1" si="4"/>
        <v>2</v>
      </c>
      <c r="J43" s="3" t="b">
        <f t="shared" ca="1" si="5"/>
        <v>0</v>
      </c>
    </row>
    <row r="44" spans="1:10">
      <c r="A44" s="3" t="s">
        <v>662</v>
      </c>
      <c r="B44" s="90">
        <v>21.611281637020902</v>
      </c>
      <c r="C44" s="40">
        <f t="shared" ca="1" si="2"/>
        <v>0</v>
      </c>
      <c r="D44" s="40">
        <f t="shared" ca="1" si="2"/>
        <v>0</v>
      </c>
      <c r="E44" s="40">
        <f t="shared" ca="1" si="2"/>
        <v>1</v>
      </c>
      <c r="F44" s="40">
        <f t="shared" ca="1" si="2"/>
        <v>1</v>
      </c>
      <c r="G44" s="40">
        <f t="shared" ca="1" si="2"/>
        <v>1</v>
      </c>
      <c r="H44" s="4">
        <f t="shared" si="3"/>
        <v>8</v>
      </c>
      <c r="I44" s="42">
        <f t="shared" ca="1" si="4"/>
        <v>3</v>
      </c>
      <c r="J44" s="3" t="b">
        <f t="shared" ca="1" si="5"/>
        <v>0</v>
      </c>
    </row>
    <row r="45" spans="1:10">
      <c r="A45" s="3" t="s">
        <v>672</v>
      </c>
      <c r="B45" s="90">
        <v>21.5282036094173</v>
      </c>
      <c r="C45" s="40">
        <f t="shared" ca="1" si="2"/>
        <v>0</v>
      </c>
      <c r="D45" s="40">
        <f t="shared" ca="1" si="2"/>
        <v>0</v>
      </c>
      <c r="E45" s="40">
        <f t="shared" ca="1" si="2"/>
        <v>1</v>
      </c>
      <c r="F45" s="40">
        <f t="shared" ca="1" si="2"/>
        <v>1</v>
      </c>
      <c r="G45" s="40">
        <f t="shared" ca="1" si="2"/>
        <v>1</v>
      </c>
      <c r="H45" s="4">
        <f t="shared" si="3"/>
        <v>9</v>
      </c>
      <c r="I45" s="42">
        <f t="shared" ca="1" si="4"/>
        <v>3</v>
      </c>
      <c r="J45" s="3" t="b">
        <f t="shared" ca="1" si="5"/>
        <v>0</v>
      </c>
    </row>
    <row r="46" spans="1:10">
      <c r="A46" s="3" t="s">
        <v>671</v>
      </c>
      <c r="B46" s="90">
        <v>12.7342788353118</v>
      </c>
      <c r="C46" s="40">
        <f t="shared" ca="1" si="2"/>
        <v>0</v>
      </c>
      <c r="D46" s="40">
        <f t="shared" ca="1" si="2"/>
        <v>0</v>
      </c>
      <c r="E46" s="40">
        <f t="shared" ca="1" si="2"/>
        <v>1</v>
      </c>
      <c r="F46" s="40">
        <f t="shared" ca="1" si="2"/>
        <v>1</v>
      </c>
      <c r="G46" s="40">
        <f t="shared" ca="1" si="2"/>
        <v>1</v>
      </c>
      <c r="H46" s="4">
        <f t="shared" si="3"/>
        <v>10</v>
      </c>
      <c r="I46" s="42">
        <f t="shared" ca="1" si="4"/>
        <v>3</v>
      </c>
      <c r="J46" s="3" t="b">
        <f t="shared" ca="1" si="5"/>
        <v>0</v>
      </c>
    </row>
    <row r="47" spans="1:10">
      <c r="A47" s="3" t="s">
        <v>670</v>
      </c>
      <c r="B47" s="90">
        <v>11.5813628925468</v>
      </c>
      <c r="C47" s="40">
        <f t="shared" ca="1" si="2"/>
        <v>0</v>
      </c>
      <c r="D47" s="40">
        <f t="shared" ca="1" si="2"/>
        <v>0</v>
      </c>
      <c r="E47" s="40">
        <f t="shared" ca="1" si="2"/>
        <v>1</v>
      </c>
      <c r="F47" s="40">
        <f t="shared" ca="1" si="2"/>
        <v>1</v>
      </c>
      <c r="G47" s="40">
        <f t="shared" ca="1" si="2"/>
        <v>1</v>
      </c>
      <c r="H47" s="4">
        <f t="shared" si="3"/>
        <v>11</v>
      </c>
      <c r="I47" s="42">
        <f t="shared" ca="1" si="4"/>
        <v>3</v>
      </c>
      <c r="J47" s="3" t="b">
        <f t="shared" ca="1" si="5"/>
        <v>0</v>
      </c>
    </row>
    <row r="48" spans="1:10" ht="12" customHeight="1">
      <c r="A48" s="3" t="s">
        <v>676</v>
      </c>
      <c r="B48" s="90">
        <v>-6.2520957445641701</v>
      </c>
      <c r="C48" s="40">
        <f t="shared" ca="1" si="2"/>
        <v>0</v>
      </c>
      <c r="D48" s="40">
        <f t="shared" ca="1" si="2"/>
        <v>1</v>
      </c>
      <c r="E48" s="40">
        <f t="shared" ca="1" si="2"/>
        <v>1</v>
      </c>
      <c r="F48" s="40">
        <f t="shared" ca="1" si="2"/>
        <v>1</v>
      </c>
      <c r="G48" s="40">
        <f t="shared" ca="1" si="2"/>
        <v>1</v>
      </c>
      <c r="H48" s="4">
        <f t="shared" si="3"/>
        <v>12</v>
      </c>
      <c r="I48" s="42">
        <f t="shared" ca="1" si="4"/>
        <v>4</v>
      </c>
      <c r="J48" s="3" t="b">
        <f t="shared" ca="1" si="5"/>
        <v>0</v>
      </c>
    </row>
    <row r="49" spans="1:10" ht="11.25" customHeight="1">
      <c r="A49" s="3" t="s">
        <v>678</v>
      </c>
      <c r="B49" s="90">
        <v>-15.1263386298701</v>
      </c>
      <c r="C49" s="40">
        <f t="shared" ca="1" si="2"/>
        <v>0</v>
      </c>
      <c r="D49" s="40">
        <f t="shared" ca="1" si="2"/>
        <v>1</v>
      </c>
      <c r="E49" s="40">
        <f t="shared" ca="1" si="2"/>
        <v>1</v>
      </c>
      <c r="F49" s="40">
        <f t="shared" ca="1" si="2"/>
        <v>1</v>
      </c>
      <c r="G49" s="40">
        <f t="shared" ca="1" si="2"/>
        <v>1</v>
      </c>
      <c r="H49" s="4">
        <f t="shared" si="3"/>
        <v>13</v>
      </c>
      <c r="I49" s="42">
        <f t="shared" ca="1" si="4"/>
        <v>4</v>
      </c>
      <c r="J49" s="3" t="b">
        <f t="shared" ca="1" si="5"/>
        <v>0</v>
      </c>
    </row>
    <row r="50" spans="1:10" ht="11.25" customHeight="1">
      <c r="A50" s="3" t="s">
        <v>664</v>
      </c>
      <c r="B50" s="90">
        <v>-24.381820888999599</v>
      </c>
      <c r="C50" s="40">
        <f t="shared" ca="1" si="2"/>
        <v>1</v>
      </c>
      <c r="D50" s="40">
        <f t="shared" ca="1" si="2"/>
        <v>1</v>
      </c>
      <c r="E50" s="40">
        <f t="shared" ca="1" si="2"/>
        <v>1</v>
      </c>
      <c r="F50" s="40">
        <f t="shared" ca="1" si="2"/>
        <v>1</v>
      </c>
      <c r="G50" s="40">
        <f t="shared" ca="1" si="2"/>
        <v>1</v>
      </c>
      <c r="H50" s="4">
        <f t="shared" si="3"/>
        <v>14</v>
      </c>
      <c r="I50" s="42">
        <f t="shared" ca="1" si="4"/>
        <v>5</v>
      </c>
      <c r="J50" s="3" t="b">
        <f t="shared" ca="1" si="5"/>
        <v>0</v>
      </c>
    </row>
    <row r="51" spans="1:10" ht="11.25" customHeight="1">
      <c r="A51" s="3" t="s">
        <v>685</v>
      </c>
      <c r="B51" s="90">
        <v>-43.534710413897699</v>
      </c>
      <c r="C51" s="40">
        <f ca="1">IF(ISNA($B51), 0, IF($B51&lt;C$56,1,0))</f>
        <v>1</v>
      </c>
      <c r="D51" s="40">
        <f ca="1">IF(ISNA($B51), 0, IF($B51&lt;D$56,1,0))</f>
        <v>1</v>
      </c>
      <c r="E51" s="40">
        <f ca="1">IF(ISNA($B51), 0, IF($B51&lt;E$56,1,0))</f>
        <v>1</v>
      </c>
      <c r="F51" s="40">
        <f ca="1">IF(ISNA($B51), 0, IF($B51&lt;F$56,1,0))</f>
        <v>1</v>
      </c>
      <c r="G51" s="40">
        <f ca="1">IF(ISNA($B51), 0, IF($B51&lt;G$56,1,0))</f>
        <v>1</v>
      </c>
      <c r="H51" s="4">
        <f t="shared" si="3"/>
        <v>15</v>
      </c>
      <c r="I51" s="42">
        <f t="shared" ca="1" si="4"/>
        <v>5</v>
      </c>
      <c r="J51" s="3" t="b">
        <f t="shared" ca="1" si="5"/>
        <v>0</v>
      </c>
    </row>
    <row r="52" spans="1:10" ht="11.25" customHeight="1">
      <c r="A52"/>
      <c r="B52"/>
      <c r="C52" s="40"/>
      <c r="D52" s="40"/>
      <c r="E52" s="40"/>
      <c r="F52" s="40"/>
      <c r="G52" s="40"/>
      <c r="H52" s="4"/>
      <c r="I52" s="42"/>
    </row>
    <row r="53" spans="1:10" ht="11.25" customHeight="1">
      <c r="A53"/>
      <c r="B53"/>
      <c r="C53" s="40"/>
      <c r="D53" s="40"/>
      <c r="E53" s="40"/>
      <c r="F53" s="40"/>
      <c r="G53" s="40"/>
      <c r="H53" s="4"/>
      <c r="I53" s="42"/>
    </row>
    <row r="54" spans="1:10" ht="11.25" customHeight="1">
      <c r="A54"/>
      <c r="B54"/>
    </row>
    <row r="55" spans="1:10" ht="11.25" customHeight="1">
      <c r="A55"/>
      <c r="B55" s="65" t="s">
        <v>13</v>
      </c>
      <c r="C55" s="43" t="s">
        <v>466</v>
      </c>
      <c r="D55" s="43" t="s">
        <v>465</v>
      </c>
      <c r="E55" s="43">
        <v>0.5</v>
      </c>
      <c r="F55" s="43" t="s">
        <v>467</v>
      </c>
      <c r="G55" s="43" t="s">
        <v>4</v>
      </c>
      <c r="H55" s="43" t="s">
        <v>468</v>
      </c>
      <c r="I55" s="43" t="s">
        <v>203</v>
      </c>
      <c r="J55" s="4"/>
    </row>
    <row r="56" spans="1:10">
      <c r="A56" s="3" t="str" cm="1">
        <f t="array" aca="1" ref="A56" ca="1">INDIRECT("DATA!" &amp; ADDRESS($B$34,1))</f>
        <v>CCC</v>
      </c>
      <c r="B56" s="3" cm="1">
        <f t="array" aca="1" ref="B56" ca="1">INDIRECT("DATA!" &amp; ADDRESS($B$34,4))</f>
        <v>-43.534710413897685</v>
      </c>
      <c r="C56" s="3" cm="1">
        <f t="array" aca="1" ref="C56" ca="1">INDIRECT("DATA!" &amp; ADDRESS($B$34,5))</f>
        <v>-19.754079759434859</v>
      </c>
      <c r="D56" s="3" cm="1">
        <f t="array" aca="1" ref="D56" ca="1">INDIRECT("DATA!" &amp; ADDRESS($B$34,6))</f>
        <v>7.1229982332690618</v>
      </c>
      <c r="E56" s="3" cm="1">
        <f t="array" aca="1" ref="E56" ca="1">INDIRECT("DATA!" &amp; ADDRESS($B$34,7))</f>
        <v>25.723009181342967</v>
      </c>
      <c r="F56" s="3" cm="1">
        <f t="array" aca="1" ref="F56" ca="1">INDIRECT("DATA!" &amp; ADDRESS($B$34,8))</f>
        <v>42.996051216460472</v>
      </c>
      <c r="G56" s="3" cm="1">
        <f t="array" aca="1" ref="G56" ca="1">INDIRECT("DATA!" &amp; ADDRESS($B$34,9))</f>
        <v>48.697708372839614</v>
      </c>
      <c r="H56" s="3" cm="1">
        <f t="array" aca="1" ref="H56" ca="1">INDIRECT("DATA!" &amp; ADDRESS($B$34,10))</f>
        <v>63.451308722795943</v>
      </c>
      <c r="I56" s="3" cm="1">
        <f t="array" aca="1" ref="I56" ca="1">INDIRECT("DATA!" &amp; ADDRESS($B$34,11))</f>
        <v>12.73427883531177</v>
      </c>
    </row>
    <row r="57" spans="1:10">
      <c r="B57" s="3">
        <f t="shared" ref="B57:I57" ca="1" si="6">ROUND(B56,0)</f>
        <v>-44</v>
      </c>
      <c r="C57" s="3">
        <f t="shared" ca="1" si="6"/>
        <v>-20</v>
      </c>
      <c r="D57" s="3">
        <f t="shared" ca="1" si="6"/>
        <v>7</v>
      </c>
      <c r="E57" s="3">
        <f t="shared" ca="1" si="6"/>
        <v>26</v>
      </c>
      <c r="F57" s="3">
        <f t="shared" ca="1" si="6"/>
        <v>43</v>
      </c>
      <c r="G57" s="3">
        <f t="shared" ca="1" si="6"/>
        <v>49</v>
      </c>
      <c r="H57" s="3">
        <f t="shared" ca="1" si="6"/>
        <v>63</v>
      </c>
      <c r="I57" s="3">
        <f t="shared" ca="1" si="6"/>
        <v>13</v>
      </c>
    </row>
    <row r="58" spans="1:10">
      <c r="J58" s="12"/>
    </row>
    <row r="61" spans="1:10">
      <c r="A61" s="3" t="s">
        <v>469</v>
      </c>
      <c r="B61" s="3" cm="1">
        <f t="array" aca="1" ref="B61" ca="1">INDIRECT("DATA!" &amp; ADDRESS($B$34,16))</f>
        <v>0.5</v>
      </c>
    </row>
    <row r="65" spans="1:29">
      <c r="A65" s="31" t="s">
        <v>652</v>
      </c>
      <c r="B65" s="31" t="s">
        <v>651</v>
      </c>
      <c r="C65" s="31"/>
      <c r="D65" s="31" t="s">
        <v>633</v>
      </c>
      <c r="E65" s="31"/>
      <c r="M65" s="7"/>
      <c r="N65" s="7"/>
      <c r="O65" s="7"/>
      <c r="P65" s="7"/>
      <c r="Q65" s="7"/>
      <c r="R65" s="7"/>
      <c r="S65" s="7"/>
      <c r="T65" s="7"/>
      <c r="U65" s="7"/>
      <c r="V65" s="7"/>
      <c r="W65" s="7"/>
      <c r="X65" s="7"/>
      <c r="Y65" s="7"/>
      <c r="Z65" s="7"/>
      <c r="AA65" s="7"/>
      <c r="AB65" s="7"/>
      <c r="AC65" s="7"/>
    </row>
    <row r="66" spans="1:29">
      <c r="A66" s="144">
        <v>0</v>
      </c>
      <c r="B66" s="7" t="str" cm="1">
        <f t="array" ref="B66">DATA(A66+2,139)</f>
        <v>Brf Sa</v>
      </c>
      <c r="C66" s="7"/>
      <c r="D66" s="7" t="b" cm="1">
        <f t="array" aca="1" ref="D66" ca="1">_xlfn.IFNA(DATA($B$34,40+$A66), FALSE)</f>
        <v>0</v>
      </c>
      <c r="E66" s="7" t="str">
        <f ca="1">IF(D66,B66,"")</f>
        <v/>
      </c>
      <c r="M66" s="7"/>
      <c r="N66" s="7"/>
      <c r="O66" s="7"/>
      <c r="P66" s="7"/>
      <c r="Q66" s="7"/>
      <c r="R66" s="7"/>
      <c r="S66" s="7"/>
      <c r="T66" s="7"/>
      <c r="U66" s="7"/>
      <c r="V66" s="7"/>
      <c r="W66" s="7"/>
      <c r="X66" s="7"/>
      <c r="Y66" s="7"/>
      <c r="Z66" s="7"/>
      <c r="AA66" s="7"/>
      <c r="AB66" s="7"/>
      <c r="AC66" s="7"/>
    </row>
    <row r="67" spans="1:29">
      <c r="A67" s="144">
        <f t="shared" ref="A67:A81" si="7">A66+1</f>
        <v>1</v>
      </c>
      <c r="B67" s="7" t="str" cm="1">
        <f t="array" ref="B67">DATA(A67+2,139)</f>
        <v>Campbell Soup Co</v>
      </c>
      <c r="C67" s="7"/>
      <c r="D67" s="7" t="b" cm="1">
        <f t="array" aca="1" ref="D67" ca="1">_xlfn.IFNA(DATA($B$34,40+$A67), FALSE)</f>
        <v>0</v>
      </c>
      <c r="E67" s="7" t="str">
        <f t="shared" ref="E67:E82" ca="1" si="8">IF(D67,B67,"")</f>
        <v/>
      </c>
      <c r="M67" s="7"/>
      <c r="N67" s="7"/>
      <c r="O67" s="7"/>
      <c r="P67" s="7"/>
      <c r="Q67" s="7"/>
      <c r="R67" s="7"/>
      <c r="S67" s="7"/>
      <c r="T67" s="7"/>
      <c r="U67" s="7"/>
      <c r="V67" s="7"/>
      <c r="W67" s="7"/>
      <c r="X67" s="7"/>
      <c r="Y67" s="7"/>
      <c r="Z67" s="7"/>
      <c r="AA67" s="7"/>
      <c r="AB67" s="7"/>
      <c r="AC67" s="7"/>
    </row>
    <row r="68" spans="1:29">
      <c r="A68" s="144">
        <f t="shared" si="7"/>
        <v>2</v>
      </c>
      <c r="B68" s="7" t="str" cm="1">
        <f t="array" ref="B68">DATA(A68+2,139)</f>
        <v>Conagra Brands Inc</v>
      </c>
      <c r="C68" s="7"/>
      <c r="D68" s="7" t="b" cm="1">
        <f t="array" aca="1" ref="D68" ca="1">_xlfn.IFNA(DATA($B$34,40+$A68), FALSE)</f>
        <v>0</v>
      </c>
      <c r="E68" s="7" t="str">
        <f t="shared" ca="1" si="8"/>
        <v/>
      </c>
      <c r="M68" s="7"/>
      <c r="N68" s="7"/>
      <c r="O68" s="7"/>
      <c r="P68" s="7"/>
      <c r="Q68" s="7"/>
      <c r="R68" s="7"/>
      <c r="S68" s="7"/>
      <c r="T68" s="7"/>
      <c r="U68" s="7"/>
      <c r="V68" s="7"/>
      <c r="W68" s="7"/>
      <c r="X68" s="7"/>
      <c r="Y68" s="7"/>
      <c r="Z68" s="7"/>
      <c r="AA68" s="7"/>
      <c r="AB68" s="7"/>
      <c r="AC68" s="7"/>
    </row>
    <row r="69" spans="1:29">
      <c r="A69" s="144">
        <f t="shared" si="7"/>
        <v>3</v>
      </c>
      <c r="B69" s="7" t="str" cm="1">
        <f t="array" ref="B69">DATA(A69+2,139)</f>
        <v>Danone S.A.</v>
      </c>
      <c r="C69" s="7"/>
      <c r="D69" s="7" t="b" cm="1">
        <f t="array" aca="1" ref="D69" ca="1">_xlfn.IFNA(DATA($B$34,40+$A69), FALSE)</f>
        <v>0</v>
      </c>
      <c r="E69" s="7" t="str">
        <f t="shared" ca="1" si="8"/>
        <v/>
      </c>
      <c r="M69" s="7"/>
      <c r="N69" s="7"/>
      <c r="O69" s="7"/>
      <c r="P69" s="7"/>
      <c r="Q69" s="7"/>
      <c r="R69" s="7"/>
      <c r="S69" s="7"/>
      <c r="T69" s="7"/>
      <c r="U69" s="7"/>
      <c r="V69" s="7"/>
      <c r="W69" s="7"/>
      <c r="X69" s="7"/>
      <c r="Y69" s="7"/>
      <c r="Z69" s="7"/>
      <c r="AA69" s="7"/>
      <c r="AB69" s="7"/>
      <c r="AC69" s="7"/>
    </row>
    <row r="70" spans="1:29">
      <c r="A70" s="144">
        <f t="shared" si="7"/>
        <v>4</v>
      </c>
      <c r="B70" s="7" t="str" cm="1">
        <f t="array" ref="B70">DATA(A70+2,139)</f>
        <v>General Mills Inc</v>
      </c>
      <c r="C70" s="7"/>
      <c r="D70" s="7" t="b" cm="1">
        <f t="array" aca="1" ref="D70" ca="1">_xlfn.IFNA(DATA($B$34,40+$A70), FALSE)</f>
        <v>0</v>
      </c>
      <c r="E70" s="7" t="str">
        <f t="shared" ca="1" si="8"/>
        <v/>
      </c>
      <c r="M70" s="7"/>
      <c r="N70" s="7"/>
      <c r="O70" s="7"/>
      <c r="P70" s="7"/>
      <c r="Q70" s="7"/>
      <c r="R70" s="7"/>
      <c r="S70" s="7"/>
      <c r="T70" s="7"/>
      <c r="U70" s="7"/>
      <c r="V70" s="7"/>
      <c r="W70" s="7"/>
      <c r="X70" s="7"/>
      <c r="Y70" s="7"/>
      <c r="Z70" s="7"/>
      <c r="AA70" s="7"/>
      <c r="AB70" s="7"/>
      <c r="AC70" s="7"/>
    </row>
    <row r="71" spans="1:29">
      <c r="A71" s="144">
        <f t="shared" si="7"/>
        <v>5</v>
      </c>
      <c r="B71" s="7" t="str" cm="1">
        <f t="array" ref="B71">DATA(A71+2,139)</f>
        <v>Hain Celestial</v>
      </c>
      <c r="C71" s="7"/>
      <c r="D71" s="7" t="b" cm="1">
        <f t="array" aca="1" ref="D71" ca="1">_xlfn.IFNA(DATA($B$34,40+$A71), FALSE)</f>
        <v>0</v>
      </c>
      <c r="E71" s="7" t="str">
        <f t="shared" ca="1" si="8"/>
        <v/>
      </c>
      <c r="M71" s="7"/>
      <c r="N71" s="7"/>
      <c r="O71" s="7"/>
      <c r="P71" s="7"/>
      <c r="Q71" s="7"/>
      <c r="R71" s="7"/>
      <c r="S71" s="7"/>
      <c r="T71" s="7"/>
      <c r="U71" s="7"/>
      <c r="V71" s="7"/>
      <c r="W71" s="7"/>
      <c r="X71" s="7"/>
      <c r="Y71" s="7"/>
      <c r="Z71" s="7"/>
      <c r="AA71" s="7"/>
      <c r="AB71" s="7"/>
      <c r="AC71" s="7"/>
    </row>
    <row r="72" spans="1:29">
      <c r="A72" s="144">
        <f t="shared" si="7"/>
        <v>6</v>
      </c>
      <c r="B72" s="7" t="str" cm="1">
        <f t="array" ref="B72">DATA(A72+2,139)</f>
        <v>Hershey Co</v>
      </c>
      <c r="C72" s="7"/>
      <c r="D72" s="7" t="b" cm="1">
        <f t="array" aca="1" ref="D72" ca="1">_xlfn.IFNA(DATA($B$34,40+$A72), FALSE)</f>
        <v>0</v>
      </c>
      <c r="E72" s="7" t="str">
        <f t="shared" ca="1" si="8"/>
        <v/>
      </c>
      <c r="M72" s="7"/>
      <c r="N72" s="7"/>
      <c r="O72" s="7"/>
      <c r="P72" s="7"/>
      <c r="Q72" s="7"/>
      <c r="R72" s="7"/>
      <c r="S72" s="7"/>
      <c r="T72" s="7"/>
      <c r="U72" s="7"/>
      <c r="V72" s="7"/>
      <c r="W72" s="7"/>
      <c r="X72" s="7"/>
      <c r="Y72" s="7"/>
      <c r="Z72" s="7"/>
      <c r="AA72" s="7"/>
      <c r="AB72" s="7"/>
      <c r="AC72" s="7"/>
    </row>
    <row r="73" spans="1:29">
      <c r="A73" s="144">
        <f t="shared" si="7"/>
        <v>7</v>
      </c>
      <c r="B73" s="7" t="str" cm="1">
        <f t="array" ref="B73">DATA(A73+2,139)</f>
        <v>Hormel Foods Corp</v>
      </c>
      <c r="C73" s="7"/>
      <c r="D73" s="7" t="b" cm="1">
        <f t="array" aca="1" ref="D73" ca="1">_xlfn.IFNA(DATA($B$34,40+$A73), FALSE)</f>
        <v>0</v>
      </c>
      <c r="E73" s="7" t="str">
        <f t="shared" ca="1" si="8"/>
        <v/>
      </c>
      <c r="M73" s="7"/>
      <c r="N73" s="7"/>
      <c r="O73" s="7"/>
      <c r="P73" s="7"/>
      <c r="Q73" s="7"/>
      <c r="R73" s="7"/>
      <c r="S73" s="7"/>
      <c r="T73" s="7"/>
      <c r="U73" s="7"/>
      <c r="V73" s="7"/>
      <c r="W73" s="7"/>
      <c r="X73" s="7"/>
      <c r="Y73" s="7"/>
      <c r="Z73" s="7"/>
      <c r="AA73" s="7"/>
      <c r="AB73" s="7"/>
      <c r="AC73" s="7"/>
    </row>
    <row r="74" spans="1:29">
      <c r="A74" s="144">
        <f t="shared" si="7"/>
        <v>8</v>
      </c>
      <c r="B74" s="7" t="str" cm="1">
        <f t="array" ref="B74">DATA(A74+2,139)</f>
        <v>J M Smucker Co</v>
      </c>
      <c r="C74" s="7"/>
      <c r="D74" s="7" t="b" cm="1">
        <f t="array" aca="1" ref="D74" ca="1">_xlfn.IFNA(DATA($B$34,40+$A74), FALSE)</f>
        <v>0</v>
      </c>
      <c r="E74" s="7" t="str">
        <f t="shared" ca="1" si="8"/>
        <v/>
      </c>
      <c r="M74" s="7"/>
      <c r="N74" s="7"/>
      <c r="O74" s="7"/>
      <c r="P74" s="7"/>
      <c r="Q74" s="7"/>
      <c r="R74" s="7"/>
      <c r="S74" s="7"/>
      <c r="T74" s="7"/>
      <c r="U74" s="7"/>
      <c r="V74" s="7"/>
      <c r="W74" s="7"/>
      <c r="X74" s="7"/>
      <c r="Y74" s="7"/>
      <c r="Z74" s="7"/>
      <c r="AA74" s="7"/>
      <c r="AB74" s="7"/>
      <c r="AC74" s="7"/>
    </row>
    <row r="75" spans="1:29">
      <c r="A75" s="144">
        <f t="shared" si="7"/>
        <v>9</v>
      </c>
      <c r="B75" s="7" t="str" cm="1">
        <f t="array" ref="B75">DATA(A75+2,139)</f>
        <v>Kellogg Co</v>
      </c>
      <c r="C75" s="7"/>
      <c r="D75" s="7" t="b" cm="1">
        <f t="array" aca="1" ref="D75" ca="1">_xlfn.IFNA(DATA($B$34,40+$A75), FALSE)</f>
        <v>0</v>
      </c>
      <c r="E75" s="7" t="str">
        <f t="shared" ca="1" si="8"/>
        <v/>
      </c>
      <c r="M75" s="7"/>
      <c r="N75" s="7"/>
      <c r="O75" s="7"/>
      <c r="P75" s="7"/>
      <c r="Q75" s="7"/>
      <c r="R75" s="7"/>
      <c r="S75" s="7"/>
      <c r="T75" s="7"/>
      <c r="U75" s="7"/>
      <c r="V75" s="7"/>
      <c r="W75" s="7"/>
      <c r="X75" s="7"/>
      <c r="Y75" s="7"/>
      <c r="Z75" s="7"/>
      <c r="AA75" s="7"/>
      <c r="AB75" s="7"/>
      <c r="AC75" s="7"/>
    </row>
    <row r="76" spans="1:29">
      <c r="A76" s="144">
        <f t="shared" si="7"/>
        <v>10</v>
      </c>
      <c r="B76" s="7" t="str" cm="1">
        <f t="array" ref="B76">DATA(A76+2,139)</f>
        <v>Kraft Heinz Co</v>
      </c>
      <c r="C76" s="7"/>
      <c r="D76" s="7" t="b" cm="1">
        <f t="array" aca="1" ref="D76" ca="1">_xlfn.IFNA(DATA($B$34,40+$A76), FALSE)</f>
        <v>0</v>
      </c>
      <c r="E76" s="7" t="str">
        <f t="shared" ca="1" si="8"/>
        <v/>
      </c>
      <c r="M76" s="7"/>
      <c r="N76" s="7"/>
      <c r="O76" s="7"/>
      <c r="P76" s="7"/>
      <c r="Q76" s="7"/>
      <c r="R76" s="7"/>
      <c r="S76" s="7"/>
      <c r="T76" s="7"/>
      <c r="U76" s="7"/>
      <c r="V76" s="7"/>
      <c r="W76" s="7"/>
      <c r="X76" s="7"/>
      <c r="Y76" s="7"/>
      <c r="Z76" s="7"/>
      <c r="AA76" s="7"/>
      <c r="AB76" s="7"/>
      <c r="AC76" s="7"/>
    </row>
    <row r="77" spans="1:29">
      <c r="A77" s="144">
        <f t="shared" si="7"/>
        <v>11</v>
      </c>
      <c r="B77" s="7" t="str" cm="1">
        <f t="array" ref="B77">DATA(A77+2,139)</f>
        <v>Lamb Weston</v>
      </c>
      <c r="C77" s="7"/>
      <c r="D77" s="7" t="b" cm="1">
        <f t="array" aca="1" ref="D77" ca="1">_xlfn.IFNA(DATA($B$34,40+$A77), FALSE)</f>
        <v>0</v>
      </c>
      <c r="E77" s="7" t="str">
        <f t="shared" ca="1" si="8"/>
        <v/>
      </c>
      <c r="M77" s="7"/>
      <c r="N77" s="7"/>
      <c r="O77" s="7"/>
      <c r="P77" s="7"/>
      <c r="Q77" s="7"/>
      <c r="R77" s="7"/>
      <c r="S77" s="7"/>
      <c r="T77" s="7"/>
      <c r="U77" s="7"/>
      <c r="V77" s="7"/>
      <c r="W77" s="7"/>
      <c r="X77" s="7"/>
      <c r="Y77" s="7"/>
      <c r="Z77" s="7"/>
      <c r="AA77" s="7"/>
      <c r="AB77" s="7"/>
      <c r="AC77" s="7"/>
    </row>
    <row r="78" spans="1:29">
      <c r="A78" s="144">
        <f t="shared" si="7"/>
        <v>12</v>
      </c>
      <c r="B78" s="7" t="str" cm="1">
        <f t="array" ref="B78">DATA(A78+2,139)</f>
        <v>Mccormick &amp; Co Inc</v>
      </c>
      <c r="C78" s="7"/>
      <c r="D78" s="7" t="b" cm="1">
        <f t="array" aca="1" ref="D78" ca="1">_xlfn.IFNA(DATA($B$34,40+$A78), FALSE)</f>
        <v>0</v>
      </c>
      <c r="E78" s="7" t="str">
        <f t="shared" ca="1" si="8"/>
        <v/>
      </c>
      <c r="M78" s="7"/>
      <c r="N78" s="7"/>
      <c r="O78" s="7"/>
      <c r="P78" s="7"/>
      <c r="Q78" s="7"/>
      <c r="R78" s="7"/>
      <c r="S78" s="7"/>
      <c r="T78" s="7"/>
      <c r="U78" s="7"/>
      <c r="V78" s="7"/>
      <c r="W78" s="7"/>
      <c r="X78" s="7"/>
      <c r="Y78" s="7"/>
      <c r="Z78" s="7"/>
      <c r="AA78" s="7"/>
      <c r="AB78" s="7"/>
      <c r="AC78" s="7"/>
    </row>
    <row r="79" spans="1:29">
      <c r="A79" s="144">
        <f t="shared" si="7"/>
        <v>13</v>
      </c>
      <c r="B79" s="7" t="str" cm="1">
        <f t="array" ref="B79">DATA(A79+2,139)</f>
        <v>Mondelez</v>
      </c>
      <c r="C79" s="7"/>
      <c r="D79" s="7" t="b" cm="1">
        <f t="array" aca="1" ref="D79" ca="1">_xlfn.IFNA(DATA($B$34,40+$A79), FALSE)</f>
        <v>0</v>
      </c>
      <c r="E79" s="7" t="str">
        <f t="shared" ca="1" si="8"/>
        <v/>
      </c>
      <c r="M79" s="7"/>
      <c r="N79" s="7"/>
      <c r="O79" s="7"/>
      <c r="P79" s="7"/>
      <c r="Q79" s="7"/>
      <c r="R79" s="7"/>
      <c r="S79" s="7"/>
      <c r="T79" s="7"/>
      <c r="U79" s="7"/>
      <c r="V79" s="7"/>
      <c r="W79" s="7"/>
      <c r="X79" s="7"/>
      <c r="Y79" s="7"/>
      <c r="Z79" s="7"/>
      <c r="AA79" s="7"/>
      <c r="AB79" s="7"/>
      <c r="AC79" s="7"/>
    </row>
    <row r="80" spans="1:29">
      <c r="A80" s="144">
        <f t="shared" si="7"/>
        <v>14</v>
      </c>
      <c r="B80" s="7" t="str" cm="1">
        <f t="array" ref="B80">DATA(A80+2,139)</f>
        <v>Pilgrims Pride Corp</v>
      </c>
      <c r="C80" s="7"/>
      <c r="D80" s="7" t="b" cm="1">
        <f t="array" aca="1" ref="D80" ca="1">_xlfn.IFNA(DATA($B$34,40+$A80), FALSE)</f>
        <v>0</v>
      </c>
      <c r="E80" s="7" t="str">
        <f t="shared" ca="1" si="8"/>
        <v/>
      </c>
      <c r="M80" s="7"/>
      <c r="N80" s="7"/>
      <c r="O80" s="7"/>
      <c r="P80" s="7"/>
      <c r="Q80" s="7"/>
      <c r="R80" s="7"/>
      <c r="S80" s="7"/>
      <c r="T80" s="7"/>
      <c r="U80" s="7"/>
      <c r="V80" s="7"/>
      <c r="W80" s="7"/>
      <c r="X80" s="7"/>
      <c r="Y80" s="7"/>
      <c r="Z80" s="7"/>
      <c r="AA80" s="7"/>
      <c r="AB80" s="7"/>
      <c r="AC80" s="7"/>
    </row>
    <row r="81" spans="1:29">
      <c r="A81" s="144">
        <f t="shared" si="7"/>
        <v>15</v>
      </c>
      <c r="B81" s="7" t="str" cm="1">
        <f t="array" ref="B81">DATA(A81+2,139)</f>
        <v>Tyson Foods Inc</v>
      </c>
      <c r="C81" s="7"/>
      <c r="D81" s="7" t="b" cm="1">
        <f t="array" aca="1" ref="D81" ca="1">_xlfn.IFNA(DATA($B$34,40+$A81), FALSE)</f>
        <v>0</v>
      </c>
      <c r="E81" s="7" t="str">
        <f t="shared" ca="1" si="8"/>
        <v/>
      </c>
      <c r="M81" s="7"/>
      <c r="N81" s="7"/>
      <c r="O81" s="7"/>
      <c r="P81" s="7"/>
      <c r="Q81" s="7"/>
      <c r="R81" s="7"/>
      <c r="S81" s="7"/>
      <c r="T81" s="7"/>
      <c r="U81" s="7"/>
      <c r="V81" s="7"/>
      <c r="W81" s="7"/>
      <c r="X81" s="7"/>
      <c r="Y81" s="7"/>
      <c r="Z81" s="7"/>
      <c r="AA81" s="7"/>
      <c r="AB81" s="7"/>
      <c r="AC81" s="7"/>
    </row>
    <row r="82" spans="1:29">
      <c r="A82" s="144"/>
      <c r="B82" s="7"/>
      <c r="C82" s="7"/>
      <c r="D82" s="7"/>
      <c r="E82" s="7" t="str">
        <f t="shared" si="8"/>
        <v/>
      </c>
      <c r="M82" s="7"/>
      <c r="N82" s="7"/>
      <c r="O82" s="7"/>
      <c r="P82" s="7"/>
      <c r="Q82" s="7"/>
      <c r="R82" s="7"/>
      <c r="S82" s="7"/>
      <c r="T82" s="7"/>
      <c r="U82" s="7"/>
      <c r="V82" s="7"/>
      <c r="W82" s="7"/>
      <c r="X82" s="7"/>
      <c r="Y82" s="7"/>
      <c r="Z82" s="7"/>
      <c r="AA82" s="7"/>
      <c r="AB82" s="7"/>
      <c r="AC82" s="7"/>
    </row>
    <row r="83" spans="1:29">
      <c r="A83" s="7"/>
      <c r="B83" s="7"/>
      <c r="C83" s="7"/>
      <c r="D83" s="7">
        <f ca="1">COUNTIF(D66:D81,TRUE)</f>
        <v>0</v>
      </c>
      <c r="E83" s="7" t="str" cm="1">
        <f t="array" aca="1" ref="E83" ca="1">IF(D83=0, "", "* " &amp; JoinStrings(E66:E82) &amp; IF((D83=1), " is an outlier", " are outliers") &amp; ".  Users are advised to omit outliers, as there may be issues with reported data.")</f>
        <v/>
      </c>
      <c r="K83" s="3" t="s">
        <v>807</v>
      </c>
      <c r="M83" s="7"/>
      <c r="N83" s="7"/>
      <c r="O83" s="7"/>
      <c r="P83" s="7"/>
      <c r="Q83" s="7"/>
      <c r="R83" s="7"/>
      <c r="S83" s="7"/>
      <c r="T83" s="7"/>
      <c r="U83" s="7"/>
      <c r="V83" s="7"/>
      <c r="W83" s="7"/>
      <c r="X83" s="7"/>
      <c r="Y83" s="7"/>
      <c r="Z83" s="7"/>
      <c r="AA83" s="7"/>
      <c r="AB83" s="7"/>
      <c r="AC83" s="7"/>
    </row>
    <row r="84" spans="1:29">
      <c r="K84" s="3" t="s">
        <v>808</v>
      </c>
    </row>
    <row r="87" spans="1:29">
      <c r="A87" s="3" t="s">
        <v>803</v>
      </c>
    </row>
    <row r="88" spans="1:29" ht="15">
      <c r="A88" s="3">
        <v>3</v>
      </c>
      <c r="B88" s="3" t="s">
        <v>804</v>
      </c>
      <c r="C88"/>
      <c r="D88"/>
    </row>
    <row r="89" spans="1:29">
      <c r="A89" s="3">
        <v>500</v>
      </c>
      <c r="B89" s="3">
        <v>150</v>
      </c>
      <c r="C89" s="3">
        <v>300</v>
      </c>
      <c r="D89" s="3">
        <v>520</v>
      </c>
      <c r="E89" s="3">
        <v>0.75</v>
      </c>
    </row>
    <row r="90" spans="1:29">
      <c r="A90" s="59"/>
      <c r="B90" s="59"/>
      <c r="C90" s="59"/>
      <c r="D90" s="59"/>
      <c r="E90" s="59"/>
      <c r="F90" s="59"/>
      <c r="G90" s="59"/>
      <c r="H90" s="59"/>
      <c r="I90" s="59"/>
      <c r="J90" s="59"/>
      <c r="K90" s="59"/>
      <c r="L90" s="59"/>
      <c r="M90" s="59"/>
    </row>
    <row r="91" spans="1:29">
      <c r="A91" s="59"/>
      <c r="B91" s="59"/>
      <c r="C91" s="59"/>
      <c r="D91" s="59"/>
      <c r="E91" s="59"/>
      <c r="F91" s="59"/>
      <c r="G91" s="59"/>
      <c r="H91" s="59"/>
      <c r="I91" s="59"/>
      <c r="J91" s="59"/>
      <c r="K91" s="59"/>
      <c r="L91" s="59"/>
      <c r="M91" s="59"/>
    </row>
    <row r="92" spans="1:29">
      <c r="A92" s="59"/>
      <c r="B92" s="59"/>
      <c r="C92" s="59"/>
      <c r="D92" s="59"/>
      <c r="E92" s="59"/>
      <c r="F92" s="59"/>
      <c r="G92" s="59"/>
      <c r="H92" s="59"/>
      <c r="I92" s="59"/>
      <c r="J92" s="59"/>
      <c r="K92" s="59"/>
      <c r="L92" s="59"/>
      <c r="M92" s="59"/>
    </row>
    <row r="93" spans="1:29">
      <c r="A93" s="59"/>
      <c r="B93" s="59"/>
      <c r="C93" s="59"/>
      <c r="D93" s="59"/>
      <c r="E93" s="59"/>
      <c r="F93" s="59"/>
      <c r="G93" s="59"/>
      <c r="H93" s="59"/>
      <c r="I93" s="59"/>
      <c r="J93" s="59"/>
      <c r="K93" s="59"/>
      <c r="L93" s="59"/>
      <c r="M93" s="59"/>
    </row>
    <row r="94" spans="1:29">
      <c r="A94" s="59"/>
      <c r="B94" s="59"/>
      <c r="C94" s="59"/>
      <c r="D94" s="59"/>
      <c r="E94" s="59"/>
      <c r="F94" s="59"/>
      <c r="G94" s="59"/>
      <c r="H94" s="59"/>
      <c r="I94" s="59"/>
      <c r="J94" s="59"/>
      <c r="K94" s="59"/>
      <c r="L94" s="59"/>
      <c r="M94" s="59"/>
    </row>
    <row r="95" spans="1:29">
      <c r="A95" s="59"/>
      <c r="B95" s="59"/>
      <c r="C95" s="59"/>
      <c r="D95" s="59"/>
      <c r="E95" s="59"/>
      <c r="F95" s="59"/>
      <c r="G95" s="59"/>
      <c r="H95" s="59"/>
      <c r="I95" s="59"/>
      <c r="J95" s="59"/>
      <c r="K95" s="59"/>
      <c r="L95" s="59"/>
      <c r="M95" s="59"/>
    </row>
    <row r="96" spans="1:29">
      <c r="A96" s="59"/>
      <c r="B96" s="59"/>
      <c r="C96" s="59"/>
      <c r="D96" s="59"/>
      <c r="E96" s="59"/>
      <c r="F96" s="59"/>
      <c r="G96" s="59"/>
      <c r="H96" s="59"/>
      <c r="I96" s="59"/>
      <c r="J96" s="59"/>
      <c r="K96" s="59"/>
      <c r="L96" s="59"/>
      <c r="M96" s="59"/>
    </row>
    <row r="97" spans="1:13">
      <c r="A97" s="59"/>
      <c r="B97" s="59"/>
      <c r="C97" s="59"/>
      <c r="D97" s="59"/>
      <c r="E97" s="59"/>
      <c r="F97" s="59"/>
      <c r="G97" s="59"/>
      <c r="H97" s="59"/>
      <c r="I97" s="59"/>
      <c r="J97" s="59"/>
      <c r="K97" s="59"/>
      <c r="L97" s="59"/>
      <c r="M97" s="59"/>
    </row>
    <row r="98" spans="1:13">
      <c r="A98" s="59"/>
      <c r="B98" s="59"/>
      <c r="C98" s="59"/>
      <c r="D98" s="59"/>
      <c r="E98" s="59"/>
      <c r="F98" s="59"/>
      <c r="G98" s="59"/>
      <c r="H98" s="59"/>
      <c r="I98" s="59"/>
      <c r="J98" s="59"/>
      <c r="K98" s="59"/>
      <c r="L98" s="59"/>
      <c r="M98" s="59"/>
    </row>
    <row r="99" spans="1:13">
      <c r="A99" s="59"/>
      <c r="B99" s="59"/>
      <c r="C99" s="59"/>
      <c r="D99" s="59"/>
      <c r="E99" s="59"/>
      <c r="F99" s="59"/>
      <c r="G99" s="59"/>
      <c r="H99" s="59"/>
      <c r="I99" s="59"/>
      <c r="J99" s="59"/>
      <c r="K99" s="59"/>
      <c r="L99" s="59"/>
      <c r="M99" s="59"/>
    </row>
    <row r="100" spans="1:13">
      <c r="A100" s="59"/>
      <c r="B100" s="59"/>
      <c r="C100" s="59"/>
      <c r="D100" s="59"/>
      <c r="E100" s="59"/>
      <c r="F100" s="59"/>
      <c r="G100" s="59"/>
      <c r="H100" s="59"/>
      <c r="I100" s="59"/>
      <c r="J100" s="59"/>
      <c r="K100" s="59"/>
      <c r="L100" s="59"/>
      <c r="M100" s="59"/>
    </row>
    <row r="101" spans="1:13">
      <c r="A101" s="59"/>
      <c r="B101" s="59"/>
      <c r="C101" s="59"/>
      <c r="D101" s="59"/>
      <c r="E101" s="59"/>
      <c r="F101" s="59"/>
      <c r="G101" s="59"/>
      <c r="H101" s="59"/>
      <c r="I101" s="59"/>
      <c r="J101" s="59"/>
      <c r="K101" s="59"/>
      <c r="L101" s="59"/>
      <c r="M101" s="59"/>
    </row>
    <row r="102" spans="1:13">
      <c r="A102" s="59"/>
      <c r="B102" s="59"/>
      <c r="C102" s="59"/>
      <c r="D102" s="59"/>
      <c r="E102" s="59"/>
      <c r="F102" s="59"/>
      <c r="G102" s="59"/>
      <c r="H102" s="59"/>
      <c r="I102" s="59"/>
      <c r="J102" s="59"/>
      <c r="K102" s="59"/>
      <c r="L102" s="59"/>
      <c r="M102" s="59"/>
    </row>
    <row r="103" spans="1:13">
      <c r="A103" s="59"/>
      <c r="B103" s="59"/>
      <c r="C103" s="59"/>
      <c r="D103" s="59"/>
      <c r="E103" s="59"/>
      <c r="F103" s="59"/>
      <c r="G103" s="59"/>
      <c r="H103" s="59"/>
      <c r="I103" s="59"/>
      <c r="J103" s="59"/>
      <c r="K103" s="59"/>
      <c r="L103" s="59"/>
      <c r="M103" s="59"/>
    </row>
    <row r="104" spans="1:13">
      <c r="A104" s="59"/>
      <c r="B104" s="59"/>
      <c r="C104" s="59"/>
      <c r="D104" s="59"/>
      <c r="E104" s="59"/>
      <c r="F104" s="59"/>
      <c r="G104" s="59"/>
      <c r="H104" s="59"/>
      <c r="I104" s="59"/>
      <c r="J104" s="59"/>
      <c r="K104" s="59"/>
      <c r="L104" s="59"/>
      <c r="M104" s="59"/>
    </row>
    <row r="105" spans="1:13">
      <c r="A105" s="59"/>
      <c r="B105" s="59"/>
      <c r="C105" s="59"/>
      <c r="D105" s="59"/>
      <c r="E105" s="59"/>
      <c r="F105" s="59"/>
      <c r="G105" s="59"/>
      <c r="H105" s="59"/>
      <c r="I105" s="59"/>
      <c r="J105" s="59"/>
      <c r="K105" s="59"/>
      <c r="L105" s="59"/>
      <c r="M105" s="59"/>
    </row>
    <row r="106" spans="1:13">
      <c r="A106" s="59"/>
      <c r="B106" s="59"/>
      <c r="C106" s="59"/>
      <c r="D106" s="59"/>
      <c r="E106" s="59"/>
      <c r="F106" s="59"/>
      <c r="G106" s="59"/>
      <c r="H106" s="59"/>
      <c r="I106" s="59"/>
      <c r="J106" s="59"/>
      <c r="K106" s="59"/>
      <c r="L106" s="59"/>
      <c r="M106" s="59"/>
    </row>
    <row r="107" spans="1:13">
      <c r="A107" s="59"/>
      <c r="B107" s="59"/>
      <c r="C107" s="59"/>
      <c r="D107" s="59"/>
      <c r="E107" s="59"/>
      <c r="F107" s="59"/>
      <c r="G107" s="59"/>
      <c r="H107" s="59"/>
      <c r="I107" s="59"/>
      <c r="J107" s="59"/>
      <c r="K107" s="59"/>
      <c r="L107" s="59"/>
      <c r="M107" s="59"/>
    </row>
    <row r="108" spans="1:13">
      <c r="A108" s="59"/>
      <c r="B108" s="59"/>
      <c r="C108" s="59"/>
      <c r="D108" s="59"/>
      <c r="E108" s="59"/>
      <c r="F108" s="59"/>
      <c r="G108" s="59"/>
      <c r="H108" s="59"/>
      <c r="I108" s="59"/>
      <c r="J108" s="59"/>
      <c r="K108" s="59"/>
      <c r="L108" s="59"/>
      <c r="M108" s="59"/>
    </row>
    <row r="109" spans="1:13">
      <c r="A109" s="59"/>
      <c r="B109" s="59"/>
      <c r="C109" s="59"/>
      <c r="D109" s="59"/>
      <c r="E109" s="59"/>
      <c r="F109" s="59"/>
      <c r="G109" s="59"/>
      <c r="H109" s="59"/>
      <c r="I109" s="59"/>
      <c r="J109" s="59"/>
      <c r="K109" s="59"/>
      <c r="L109" s="59"/>
      <c r="M109" s="59"/>
    </row>
    <row r="110" spans="1:13">
      <c r="A110" s="59"/>
      <c r="B110" s="59"/>
      <c r="C110" s="59"/>
      <c r="D110" s="59"/>
      <c r="E110" s="59"/>
      <c r="F110" s="59"/>
      <c r="G110" s="59"/>
      <c r="H110" s="59"/>
      <c r="I110" s="59"/>
      <c r="J110" s="59"/>
      <c r="K110" s="59"/>
      <c r="L110" s="59"/>
      <c r="M110" s="59"/>
    </row>
    <row r="111" spans="1:13">
      <c r="A111" s="59"/>
      <c r="B111" s="59"/>
      <c r="C111" s="59"/>
      <c r="D111" s="59"/>
      <c r="E111" s="59"/>
      <c r="F111" s="59"/>
      <c r="G111" s="59"/>
      <c r="H111" s="59"/>
      <c r="I111" s="59"/>
      <c r="J111" s="59"/>
      <c r="K111" s="59"/>
      <c r="L111" s="59"/>
      <c r="M111" s="59"/>
    </row>
    <row r="112" spans="1:13">
      <c r="A112" s="59"/>
      <c r="B112" s="59"/>
      <c r="C112" s="59"/>
      <c r="D112" s="59"/>
      <c r="E112" s="59"/>
      <c r="F112" s="59"/>
      <c r="G112" s="59"/>
      <c r="H112" s="59"/>
      <c r="I112" s="59"/>
      <c r="J112" s="59"/>
      <c r="K112" s="59"/>
      <c r="L112" s="59"/>
      <c r="M112" s="59"/>
    </row>
    <row r="113" spans="1:13">
      <c r="A113" s="59"/>
      <c r="B113" s="59"/>
      <c r="C113" s="59"/>
      <c r="D113" s="59"/>
      <c r="E113" s="59"/>
      <c r="F113" s="59"/>
      <c r="G113" s="59"/>
      <c r="H113" s="59"/>
      <c r="I113" s="59"/>
      <c r="J113" s="59"/>
      <c r="K113" s="59"/>
      <c r="L113" s="59"/>
      <c r="M113" s="59"/>
    </row>
    <row r="114" spans="1:13">
      <c r="A114" s="59"/>
      <c r="B114" s="59"/>
      <c r="C114" s="59"/>
      <c r="D114" s="59"/>
      <c r="E114" s="59"/>
      <c r="F114" s="59"/>
      <c r="G114" s="59"/>
      <c r="H114" s="59"/>
      <c r="I114" s="59"/>
      <c r="J114" s="59"/>
      <c r="K114" s="59"/>
      <c r="L114" s="59"/>
      <c r="M114" s="59"/>
    </row>
    <row r="115" spans="1:13">
      <c r="A115" s="59"/>
      <c r="B115" s="59"/>
      <c r="C115" s="59"/>
      <c r="D115" s="59"/>
      <c r="E115" s="59"/>
      <c r="F115" s="59"/>
      <c r="G115" s="59"/>
      <c r="H115" s="59"/>
      <c r="I115" s="59"/>
      <c r="J115" s="59"/>
      <c r="K115" s="59"/>
      <c r="L115" s="59"/>
      <c r="M115" s="59"/>
    </row>
    <row r="116" spans="1:13">
      <c r="A116" s="59"/>
      <c r="B116" s="59"/>
      <c r="C116" s="59"/>
      <c r="D116" s="59"/>
      <c r="E116" s="59"/>
      <c r="F116" s="59"/>
      <c r="G116" s="59"/>
      <c r="H116" s="59"/>
      <c r="I116" s="59"/>
      <c r="J116" s="59"/>
      <c r="K116" s="59"/>
      <c r="L116" s="59"/>
      <c r="M116" s="59"/>
    </row>
    <row r="117" spans="1:13">
      <c r="A117" s="59"/>
      <c r="B117" s="59"/>
      <c r="C117" s="59"/>
      <c r="D117" s="59"/>
      <c r="E117" s="59"/>
      <c r="F117" s="59"/>
      <c r="G117" s="59"/>
      <c r="H117" s="59"/>
      <c r="I117" s="59"/>
      <c r="J117" s="59"/>
      <c r="K117" s="59"/>
      <c r="L117" s="59"/>
      <c r="M117" s="59"/>
    </row>
    <row r="118" spans="1:13">
      <c r="A118" s="59"/>
      <c r="B118" s="59"/>
      <c r="C118" s="59"/>
      <c r="D118" s="59"/>
      <c r="E118" s="59"/>
      <c r="F118" s="59"/>
      <c r="G118" s="59"/>
      <c r="H118" s="59"/>
      <c r="I118" s="59"/>
      <c r="J118" s="59"/>
      <c r="K118" s="59"/>
      <c r="L118" s="59"/>
      <c r="M118" s="59"/>
    </row>
    <row r="119" spans="1:13">
      <c r="A119" s="59"/>
      <c r="B119" s="59"/>
      <c r="C119" s="59"/>
      <c r="D119" s="59"/>
      <c r="E119" s="59"/>
      <c r="F119" s="59"/>
      <c r="G119" s="59"/>
      <c r="H119" s="59"/>
      <c r="I119" s="59"/>
      <c r="J119" s="59"/>
      <c r="K119" s="59"/>
      <c r="L119" s="59"/>
      <c r="M119" s="59"/>
    </row>
    <row r="120" spans="1:13">
      <c r="A120" s="59"/>
      <c r="B120" s="59"/>
      <c r="C120" s="59"/>
      <c r="D120" s="59"/>
      <c r="E120" s="59"/>
      <c r="F120" s="59"/>
      <c r="G120" s="59"/>
      <c r="H120" s="59"/>
      <c r="I120" s="59"/>
      <c r="J120" s="59"/>
      <c r="K120" s="59"/>
      <c r="L120" s="59"/>
      <c r="M120" s="59"/>
    </row>
    <row r="121" spans="1:13">
      <c r="A121" s="59"/>
      <c r="B121" s="59"/>
      <c r="C121" s="59"/>
      <c r="D121" s="59"/>
      <c r="E121" s="59"/>
      <c r="F121" s="59"/>
      <c r="G121" s="59"/>
      <c r="H121" s="59"/>
      <c r="I121" s="59"/>
      <c r="J121" s="59"/>
      <c r="K121" s="59"/>
      <c r="L121" s="59"/>
      <c r="M121" s="59"/>
    </row>
    <row r="122" spans="1:13">
      <c r="A122" s="59"/>
      <c r="B122" s="59"/>
      <c r="C122" s="59"/>
      <c r="D122" s="59"/>
      <c r="E122" s="59"/>
      <c r="F122" s="59"/>
      <c r="G122" s="59"/>
      <c r="H122" s="59"/>
      <c r="I122" s="59"/>
      <c r="J122" s="59"/>
      <c r="K122" s="59"/>
      <c r="L122" s="59"/>
      <c r="M122" s="59"/>
    </row>
    <row r="123" spans="1:13">
      <c r="A123" s="59"/>
      <c r="B123" s="59"/>
      <c r="C123" s="59"/>
      <c r="D123" s="59"/>
      <c r="E123" s="59"/>
      <c r="F123" s="59"/>
      <c r="G123" s="59"/>
      <c r="H123" s="59"/>
      <c r="I123" s="59"/>
      <c r="J123" s="59"/>
      <c r="K123" s="59"/>
      <c r="L123" s="59"/>
      <c r="M123" s="59"/>
    </row>
    <row r="124" spans="1:13">
      <c r="A124" s="59"/>
      <c r="B124" s="59"/>
      <c r="C124" s="59"/>
      <c r="D124" s="59"/>
      <c r="E124" s="59"/>
      <c r="F124" s="59"/>
      <c r="G124" s="59"/>
      <c r="H124" s="59"/>
      <c r="I124" s="59"/>
      <c r="J124" s="59"/>
      <c r="K124" s="59"/>
      <c r="L124" s="59"/>
      <c r="M124" s="59"/>
    </row>
    <row r="125" spans="1:13">
      <c r="A125" s="59"/>
      <c r="B125" s="59"/>
      <c r="C125" s="59"/>
      <c r="D125" s="59"/>
      <c r="E125" s="59"/>
      <c r="F125" s="59"/>
      <c r="G125" s="59"/>
      <c r="H125" s="59"/>
      <c r="I125" s="59"/>
      <c r="J125" s="59"/>
      <c r="K125" s="59"/>
      <c r="L125" s="59"/>
      <c r="M125" s="59"/>
    </row>
    <row r="126" spans="1:13">
      <c r="A126" s="59"/>
      <c r="B126" s="59"/>
      <c r="C126" s="59"/>
      <c r="D126" s="59"/>
      <c r="E126" s="59"/>
      <c r="F126" s="59"/>
      <c r="G126" s="59"/>
      <c r="H126" s="59"/>
      <c r="I126" s="59"/>
      <c r="J126" s="59"/>
      <c r="K126" s="59"/>
      <c r="L126" s="59"/>
      <c r="M126" s="59"/>
    </row>
    <row r="127" spans="1:13">
      <c r="A127" s="59"/>
      <c r="B127" s="59"/>
      <c r="C127" s="59"/>
      <c r="D127" s="59"/>
      <c r="E127" s="59"/>
      <c r="F127" s="59"/>
      <c r="G127" s="59"/>
      <c r="H127" s="59"/>
      <c r="I127" s="59"/>
      <c r="J127" s="59"/>
      <c r="K127" s="59"/>
      <c r="L127" s="59"/>
      <c r="M127" s="59"/>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FormatPeerCashConversionCyclePage">
                <anchor moveWithCells="1" sizeWithCells="1">
                  <from>
                    <xdr:col>13</xdr:col>
                    <xdr:colOff>523875</xdr:colOff>
                    <xdr:row>3</xdr:row>
                    <xdr:rowOff>76200</xdr:rowOff>
                  </from>
                  <to>
                    <xdr:col>15</xdr:col>
                    <xdr:colOff>600075</xdr:colOff>
                    <xdr:row>5</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0B97B-D318-45EF-B52D-93AF66186D9A}">
  <sheetPr codeName="Sheet16"/>
  <dimension ref="A1:U89"/>
  <sheetViews>
    <sheetView topLeftCell="A65" zoomScale="140" zoomScaleNormal="140" workbookViewId="0">
      <selection activeCell="C73" sqref="C73"/>
    </sheetView>
  </sheetViews>
  <sheetFormatPr defaultRowHeight="11.25"/>
  <cols>
    <col min="1" max="1" width="18.28515625" style="3" customWidth="1"/>
    <col min="2" max="2" width="9.140625" style="3"/>
    <col min="3" max="3" width="13.140625" style="3" customWidth="1"/>
    <col min="4" max="4" width="14" style="3" customWidth="1"/>
    <col min="5" max="10" width="9.140625" style="3"/>
    <col min="11" max="11" width="10.140625" style="3" customWidth="1"/>
    <col min="12" max="19" width="9.140625" style="3"/>
    <col min="20" max="20" width="27.28515625" style="3" customWidth="1"/>
    <col min="21" max="21" width="183.140625" style="3" customWidth="1"/>
    <col min="22" max="16384" width="9.140625" style="3"/>
  </cols>
  <sheetData>
    <row r="1" spans="1:21">
      <c r="D1" s="44" t="s">
        <v>7</v>
      </c>
      <c r="E1" s="44" t="s">
        <v>6</v>
      </c>
      <c r="F1" s="44"/>
      <c r="G1" s="44"/>
      <c r="H1" s="44" t="s">
        <v>5</v>
      </c>
      <c r="I1" s="44">
        <v>0.8</v>
      </c>
      <c r="J1" s="44"/>
      <c r="K1" s="44">
        <v>0.8</v>
      </c>
      <c r="L1" s="44"/>
      <c r="M1" s="44"/>
      <c r="O1" s="3" t="e">
        <f ca="1">MATCH(D2,A2:A18,0)</f>
        <v>#N/A</v>
      </c>
      <c r="S1" s="4"/>
      <c r="T1" s="45"/>
      <c r="U1" s="45"/>
    </row>
    <row r="2" spans="1:21">
      <c r="A2" s="44" t="str">
        <f t="shared" ref="A2:A17" si="0">A36</f>
        <v>Kellogg</v>
      </c>
      <c r="B2" s="47">
        <f>IF(ISNA(B36), "Not Available", ROUND(B36,0))</f>
        <v>42</v>
      </c>
      <c r="D2" s="44" t="str">
        <f ca="1">Data!B25</f>
        <v>CAMPBELL SOUP CO</v>
      </c>
      <c r="E2" s="48" t="s">
        <v>0</v>
      </c>
      <c r="F2" s="48" t="s">
        <v>1</v>
      </c>
      <c r="G2" s="48" t="s">
        <v>2</v>
      </c>
      <c r="H2" s="48" t="s">
        <v>3</v>
      </c>
      <c r="I2" s="48" t="s">
        <v>0</v>
      </c>
      <c r="J2" s="48" t="s">
        <v>2</v>
      </c>
      <c r="K2" s="48" t="s">
        <v>4</v>
      </c>
      <c r="L2" s="48" t="s">
        <v>17</v>
      </c>
      <c r="M2" s="48" t="s">
        <v>18</v>
      </c>
      <c r="T2" s="45"/>
      <c r="U2" s="55"/>
    </row>
    <row r="3" spans="1:21">
      <c r="A3" s="44" t="str">
        <f t="shared" si="0"/>
        <v>Mondelez</v>
      </c>
      <c r="B3" s="47">
        <f t="shared" ref="B3:B17" si="1">IF(ISNA(B37), "Not Available", ROUND(B37,0))</f>
        <v>41</v>
      </c>
      <c r="D3" s="49">
        <v>1</v>
      </c>
      <c r="E3" s="48">
        <f ca="1">D57</f>
        <v>27</v>
      </c>
      <c r="F3" s="48">
        <f ca="1">E57</f>
        <v>30</v>
      </c>
      <c r="G3" s="48">
        <f ca="1">F57</f>
        <v>33</v>
      </c>
      <c r="H3" s="49">
        <v>1</v>
      </c>
      <c r="I3" s="49">
        <v>1</v>
      </c>
      <c r="J3" s="49">
        <v>1</v>
      </c>
      <c r="K3" s="49">
        <v>1</v>
      </c>
      <c r="L3" s="48">
        <f ca="1">B57</f>
        <v>19</v>
      </c>
      <c r="M3" s="48">
        <f ca="1">H57</f>
        <v>42</v>
      </c>
      <c r="T3" s="45"/>
    </row>
    <row r="4" spans="1:21">
      <c r="A4" s="44" t="str">
        <f t="shared" si="0"/>
        <v>Mccormick &amp; Co</v>
      </c>
      <c r="B4" s="47">
        <f t="shared" si="1"/>
        <v>34</v>
      </c>
      <c r="D4" s="48">
        <f ca="1">I57</f>
        <v>24</v>
      </c>
      <c r="E4" s="49">
        <f ca="1">E3</f>
        <v>27</v>
      </c>
      <c r="F4" s="49">
        <f ca="1">F3-E3</f>
        <v>3</v>
      </c>
      <c r="G4" s="49">
        <f ca="1">G3-F3</f>
        <v>3</v>
      </c>
      <c r="H4" s="48">
        <f ca="1">C57</f>
        <v>25</v>
      </c>
      <c r="I4" s="49">
        <f ca="1">E3</f>
        <v>27</v>
      </c>
      <c r="J4" s="49">
        <f ca="1">G3</f>
        <v>33</v>
      </c>
      <c r="K4" s="48">
        <f ca="1">G57</f>
        <v>39</v>
      </c>
      <c r="L4" s="48">
        <f ca="1">B57</f>
        <v>19</v>
      </c>
      <c r="M4" s="48">
        <f ca="1">H57</f>
        <v>42</v>
      </c>
      <c r="T4" s="45"/>
    </row>
    <row r="5" spans="1:21">
      <c r="A5" s="44" t="str">
        <f t="shared" si="0"/>
        <v>General Mills</v>
      </c>
      <c r="B5" s="47">
        <f t="shared" si="1"/>
        <v>33</v>
      </c>
      <c r="D5" s="56" t="str">
        <f ca="1">Data!B29</f>
        <v>Campbell Soup Co</v>
      </c>
      <c r="T5" s="3" t="str">
        <f ca="1">ExecutiveSummaryFirstPage!F17</f>
        <v>$0M - $0M</v>
      </c>
    </row>
    <row r="6" spans="1:21">
      <c r="A6" s="44" t="str">
        <f t="shared" si="0"/>
        <v>Hain Celestial Group</v>
      </c>
      <c r="B6" s="47">
        <f t="shared" si="1"/>
        <v>30</v>
      </c>
      <c r="D6" s="56"/>
    </row>
    <row r="7" spans="1:21">
      <c r="A7" s="44" t="str">
        <f t="shared" si="0"/>
        <v>Kraft Heinz</v>
      </c>
      <c r="B7" s="47">
        <f t="shared" si="1"/>
        <v>29</v>
      </c>
      <c r="D7" s="56"/>
    </row>
    <row r="8" spans="1:21">
      <c r="A8" s="44" t="str">
        <f t="shared" si="0"/>
        <v>Conagra Brands</v>
      </c>
      <c r="B8" s="47">
        <f t="shared" si="1"/>
        <v>28</v>
      </c>
      <c r="D8" s="56"/>
    </row>
    <row r="9" spans="1:21">
      <c r="A9" s="44" t="str">
        <f t="shared" si="0"/>
        <v>Hershey</v>
      </c>
      <c r="B9" s="47">
        <f t="shared" si="1"/>
        <v>26</v>
      </c>
      <c r="D9" s="56"/>
    </row>
    <row r="10" spans="1:21">
      <c r="A10" s="44" t="str">
        <f t="shared" si="0"/>
        <v>J M SMUCKER</v>
      </c>
      <c r="B10" s="47">
        <f t="shared" si="1"/>
        <v>26</v>
      </c>
      <c r="D10" s="56"/>
    </row>
    <row r="11" spans="1:21">
      <c r="A11" s="44" t="str">
        <f t="shared" si="0"/>
        <v>Campbell Soup</v>
      </c>
      <c r="B11" s="47">
        <f t="shared" si="1"/>
        <v>24</v>
      </c>
      <c r="D11" s="56"/>
    </row>
    <row r="12" spans="1:21">
      <c r="A12" s="44" t="str">
        <f t="shared" si="0"/>
        <v>Hormel Foods</v>
      </c>
      <c r="B12" s="47">
        <f t="shared" si="1"/>
        <v>22</v>
      </c>
      <c r="D12" s="56"/>
    </row>
    <row r="13" spans="1:21">
      <c r="A13" s="44" t="str">
        <f t="shared" si="0"/>
        <v>Tyson Foods</v>
      </c>
      <c r="B13" s="47">
        <f t="shared" si="1"/>
        <v>19</v>
      </c>
      <c r="D13" s="56"/>
    </row>
    <row r="14" spans="1:21">
      <c r="A14" s="44">
        <f t="shared" si="0"/>
        <v>0</v>
      </c>
      <c r="B14" s="47">
        <f t="shared" si="1"/>
        <v>0</v>
      </c>
      <c r="D14" s="56"/>
    </row>
    <row r="15" spans="1:21">
      <c r="A15" s="44">
        <f t="shared" si="0"/>
        <v>0</v>
      </c>
      <c r="B15" s="47">
        <f t="shared" si="1"/>
        <v>0</v>
      </c>
      <c r="D15" s="56"/>
    </row>
    <row r="16" spans="1:21">
      <c r="A16" s="44">
        <f t="shared" si="0"/>
        <v>0</v>
      </c>
      <c r="B16" s="47">
        <f t="shared" si="1"/>
        <v>0</v>
      </c>
      <c r="D16" s="56"/>
    </row>
    <row r="17" spans="1:21">
      <c r="A17" s="44">
        <f t="shared" si="0"/>
        <v>0</v>
      </c>
      <c r="B17" s="47">
        <f t="shared" si="1"/>
        <v>0</v>
      </c>
    </row>
    <row r="18" spans="1:21">
      <c r="A18" s="44"/>
      <c r="B18" s="47"/>
    </row>
    <row r="19" spans="1:21">
      <c r="A19" s="50" t="s">
        <v>39</v>
      </c>
      <c r="B19" s="50" t="s">
        <v>40</v>
      </c>
      <c r="C19" s="51" t="s">
        <v>41</v>
      </c>
    </row>
    <row r="20" spans="1:21">
      <c r="A20" s="52">
        <v>40</v>
      </c>
      <c r="B20" s="52">
        <v>150</v>
      </c>
      <c r="C20" s="53">
        <v>1</v>
      </c>
    </row>
    <row r="21" spans="1:21">
      <c r="A21" s="50" t="s">
        <v>88</v>
      </c>
      <c r="Q21" s="91"/>
    </row>
    <row r="22" spans="1:21">
      <c r="A22" s="54"/>
      <c r="B22" s="88"/>
      <c r="C22" s="89"/>
      <c r="D22" s="160"/>
    </row>
    <row r="26" spans="1:21">
      <c r="K26" s="81"/>
      <c r="L26" s="57"/>
      <c r="M26" s="57"/>
      <c r="N26" s="57"/>
      <c r="O26" s="57"/>
      <c r="P26" s="57"/>
      <c r="Q26" s="57"/>
      <c r="R26" s="57"/>
      <c r="S26" s="57"/>
      <c r="T26" s="57"/>
      <c r="U26" s="58"/>
    </row>
    <row r="27" spans="1:21">
      <c r="K27" s="61"/>
      <c r="L27" s="59"/>
      <c r="M27" s="59"/>
      <c r="N27" s="59"/>
      <c r="O27" s="59"/>
      <c r="P27" s="59"/>
      <c r="Q27" s="59"/>
      <c r="R27" s="59"/>
      <c r="S27" s="59"/>
      <c r="T27" s="59"/>
      <c r="U27" s="60"/>
    </row>
    <row r="28" spans="1:21">
      <c r="K28" s="61"/>
      <c r="L28" s="59"/>
      <c r="M28" s="59"/>
      <c r="N28" s="59"/>
      <c r="O28" s="59"/>
      <c r="P28" s="59"/>
      <c r="Q28" s="59"/>
      <c r="R28" s="59"/>
      <c r="S28" s="59"/>
      <c r="T28" s="59"/>
      <c r="U28" s="60"/>
    </row>
    <row r="29" spans="1:21">
      <c r="K29" s="61"/>
      <c r="L29" s="59"/>
      <c r="M29" s="59"/>
      <c r="N29" s="59"/>
      <c r="O29" s="59"/>
      <c r="P29" s="59"/>
      <c r="Q29" s="59"/>
      <c r="R29" s="59"/>
      <c r="S29" s="59"/>
      <c r="T29" s="59"/>
      <c r="U29" s="60"/>
    </row>
    <row r="30" spans="1:21">
      <c r="K30" s="61"/>
      <c r="L30" s="59"/>
      <c r="M30" s="59"/>
      <c r="N30" s="59"/>
      <c r="O30" s="59"/>
      <c r="P30" s="59"/>
      <c r="Q30" s="59"/>
      <c r="R30" s="59"/>
      <c r="S30" s="59"/>
      <c r="T30" s="59"/>
      <c r="U30" s="60"/>
    </row>
    <row r="31" spans="1:21">
      <c r="K31" s="61"/>
      <c r="L31" s="59"/>
      <c r="M31" s="59"/>
      <c r="N31" s="59"/>
      <c r="O31" s="59"/>
      <c r="P31" s="59"/>
      <c r="Q31" s="59"/>
      <c r="R31" s="59"/>
      <c r="S31" s="59"/>
      <c r="T31" s="59"/>
      <c r="U31" s="60"/>
    </row>
    <row r="32" spans="1:21">
      <c r="A32" s="3" t="s">
        <v>239</v>
      </c>
      <c r="B32" s="12">
        <f>Data!B21</f>
        <v>16</v>
      </c>
      <c r="K32" s="61"/>
      <c r="L32" s="59"/>
      <c r="M32" s="59"/>
      <c r="N32" s="59"/>
      <c r="O32" s="59"/>
      <c r="P32" s="59"/>
      <c r="Q32" s="59"/>
      <c r="R32" s="59"/>
      <c r="S32" s="59"/>
      <c r="T32" s="59"/>
      <c r="U32" s="60"/>
    </row>
    <row r="33" spans="1:21" ht="10.5" customHeight="1">
      <c r="A33" s="3" t="s">
        <v>1</v>
      </c>
      <c r="B33" s="40">
        <f xml:space="preserve"> (Data!$B$21/2) + 1</f>
        <v>9</v>
      </c>
      <c r="C33" s="40">
        <f>IF(MOD(Data!$B$21,2) = 0, B33-1,B33)</f>
        <v>8</v>
      </c>
      <c r="K33" s="61"/>
      <c r="L33" s="59"/>
      <c r="M33" s="59"/>
      <c r="N33" s="59"/>
      <c r="O33" s="59"/>
      <c r="P33" s="59"/>
      <c r="Q33" s="59"/>
      <c r="R33" s="59"/>
      <c r="S33" s="59"/>
      <c r="T33" s="59"/>
      <c r="U33" s="60"/>
    </row>
    <row r="34" spans="1:21">
      <c r="A34" s="3" t="s">
        <v>93</v>
      </c>
      <c r="B34" s="12">
        <f>37+MATCH(A34,Data!A37:A57,0)-1</f>
        <v>41</v>
      </c>
      <c r="K34" s="61"/>
      <c r="L34" s="59"/>
      <c r="M34" s="59"/>
      <c r="N34" s="59"/>
      <c r="O34" s="59"/>
      <c r="P34" s="59"/>
      <c r="Q34" s="59"/>
      <c r="R34" s="59"/>
      <c r="S34" s="59"/>
      <c r="T34" s="59"/>
      <c r="U34" s="60"/>
    </row>
    <row r="35" spans="1:21">
      <c r="B35" s="41"/>
      <c r="C35" s="23" t="str">
        <f>C55</f>
        <v>Top Decile Cutoff</v>
      </c>
      <c r="D35" s="23" t="str">
        <f>D55</f>
        <v>Top Quartile Cutoff</v>
      </c>
      <c r="E35" s="23">
        <f>E55</f>
        <v>0.5</v>
      </c>
      <c r="F35" s="23" t="str">
        <f>F55</f>
        <v>Bottom Quartile Cutoff</v>
      </c>
      <c r="G35" s="23" t="str">
        <f>G55</f>
        <v>Bottom Decile</v>
      </c>
      <c r="H35" s="4" t="s">
        <v>234</v>
      </c>
      <c r="I35" s="4" t="s">
        <v>233</v>
      </c>
      <c r="K35" s="61"/>
      <c r="L35" s="59"/>
      <c r="M35" s="59"/>
      <c r="N35" s="59"/>
      <c r="O35" s="59"/>
      <c r="P35" s="59"/>
      <c r="Q35" s="59"/>
      <c r="R35" s="59"/>
      <c r="S35" s="59"/>
      <c r="T35" s="59"/>
      <c r="U35" s="60"/>
    </row>
    <row r="36" spans="1:21">
      <c r="A36" s="3" t="s">
        <v>246</v>
      </c>
      <c r="B36" s="90">
        <v>42.365591397849499</v>
      </c>
      <c r="C36" s="40">
        <f ca="1">IF(ISNA($B36), 0, IF($B36&lt;C$56,1,0))</f>
        <v>0</v>
      </c>
      <c r="D36" s="40">
        <f ca="1">IF(ISNA($B36), 0, IF($B36&lt;D$56,1,0))</f>
        <v>0</v>
      </c>
      <c r="E36" s="40">
        <f ca="1">IF(ISNA($B36), 0, IF($B36&lt;E$56,1,0))</f>
        <v>0</v>
      </c>
      <c r="F36" s="40">
        <f ca="1">IF(ISNA($B36), 0, IF($B36&lt;F$56,1,0))</f>
        <v>0</v>
      </c>
      <c r="G36" s="40">
        <f ca="1">IF(ISNA($B36), 0, IF($B36&lt;G$56,1,0))</f>
        <v>0</v>
      </c>
      <c r="H36" s="4">
        <v>0</v>
      </c>
      <c r="I36" s="42">
        <f ca="1">SUM(C36:G36)</f>
        <v>0</v>
      </c>
      <c r="K36" s="61"/>
      <c r="L36" s="59"/>
      <c r="M36" s="59"/>
      <c r="N36" s="59"/>
      <c r="O36" s="59"/>
      <c r="P36" s="59"/>
      <c r="Q36" s="59"/>
      <c r="R36" s="59"/>
      <c r="S36" s="59"/>
      <c r="T36" s="59"/>
      <c r="U36" s="60"/>
    </row>
    <row r="37" spans="1:21">
      <c r="A37" s="3" t="s">
        <v>138</v>
      </c>
      <c r="B37" s="3">
        <v>41.300255141487597</v>
      </c>
      <c r="C37" s="40">
        <f t="shared" ref="C37:G51" ca="1" si="2">IF(ISNA($B37), 0, IF($B37&lt;C$56,1,0))</f>
        <v>0</v>
      </c>
      <c r="D37" s="40">
        <f t="shared" ca="1" si="2"/>
        <v>0</v>
      </c>
      <c r="E37" s="40">
        <f t="shared" ca="1" si="2"/>
        <v>0</v>
      </c>
      <c r="F37" s="40">
        <f t="shared" ca="1" si="2"/>
        <v>0</v>
      </c>
      <c r="G37" s="40">
        <f t="shared" ca="1" si="2"/>
        <v>0</v>
      </c>
      <c r="H37" s="4">
        <f t="shared" ref="H37:H51" si="3">H36+1</f>
        <v>1</v>
      </c>
      <c r="I37" s="42">
        <f t="shared" ref="I37:I51" ca="1" si="4">SUM(C37:G37)</f>
        <v>0</v>
      </c>
      <c r="K37" s="61"/>
      <c r="L37" s="59"/>
      <c r="M37" s="59"/>
      <c r="N37" s="59"/>
      <c r="O37" s="59"/>
      <c r="P37" s="59"/>
      <c r="Q37" s="59"/>
      <c r="R37" s="59"/>
      <c r="S37" s="59"/>
      <c r="T37" s="59"/>
      <c r="U37" s="60"/>
    </row>
    <row r="38" spans="1:21">
      <c r="A38" s="3" t="s">
        <v>248</v>
      </c>
      <c r="B38" s="3">
        <v>34.326682125893001</v>
      </c>
      <c r="C38" s="40">
        <f t="shared" ca="1" si="2"/>
        <v>0</v>
      </c>
      <c r="D38" s="40">
        <f t="shared" ca="1" si="2"/>
        <v>0</v>
      </c>
      <c r="E38" s="40">
        <f t="shared" ca="1" si="2"/>
        <v>0</v>
      </c>
      <c r="F38" s="40">
        <f t="shared" ca="1" si="2"/>
        <v>0</v>
      </c>
      <c r="G38" s="40">
        <f t="shared" ca="1" si="2"/>
        <v>1</v>
      </c>
      <c r="H38" s="4">
        <f t="shared" si="3"/>
        <v>2</v>
      </c>
      <c r="I38" s="42">
        <f t="shared" ca="1" si="4"/>
        <v>1</v>
      </c>
      <c r="K38" s="61"/>
      <c r="L38" s="59"/>
      <c r="M38" s="59"/>
      <c r="N38" s="59"/>
      <c r="O38" s="59"/>
      <c r="P38" s="59"/>
      <c r="Q38" s="59"/>
      <c r="R38" s="59"/>
      <c r="S38" s="59"/>
      <c r="T38" s="59"/>
      <c r="U38" s="60"/>
    </row>
    <row r="39" spans="1:21">
      <c r="A39" s="3" t="s">
        <v>242</v>
      </c>
      <c r="B39" s="3">
        <v>33.444424903271198</v>
      </c>
      <c r="C39" s="40">
        <f t="shared" ca="1" si="2"/>
        <v>0</v>
      </c>
      <c r="D39" s="40">
        <f t="shared" ca="1" si="2"/>
        <v>0</v>
      </c>
      <c r="E39" s="40">
        <f t="shared" ca="1" si="2"/>
        <v>0</v>
      </c>
      <c r="F39" s="40">
        <f t="shared" ca="1" si="2"/>
        <v>0</v>
      </c>
      <c r="G39" s="40">
        <f t="shared" ca="1" si="2"/>
        <v>1</v>
      </c>
      <c r="H39" s="4">
        <f t="shared" si="3"/>
        <v>3</v>
      </c>
      <c r="I39" s="42">
        <f t="shared" ca="1" si="4"/>
        <v>1</v>
      </c>
      <c r="K39" s="61"/>
      <c r="L39" s="59"/>
      <c r="M39" s="59"/>
      <c r="N39" s="59"/>
      <c r="O39" s="59"/>
      <c r="P39" s="59"/>
      <c r="Q39" s="59"/>
      <c r="R39" s="59"/>
      <c r="S39" s="59"/>
      <c r="T39" s="59"/>
      <c r="U39" s="60"/>
    </row>
    <row r="40" spans="1:21">
      <c r="A40" s="3" t="s">
        <v>137</v>
      </c>
      <c r="B40" s="3">
        <v>30.382975729623102</v>
      </c>
      <c r="C40" s="40">
        <f t="shared" ca="1" si="2"/>
        <v>0</v>
      </c>
      <c r="D40" s="40">
        <f t="shared" ca="1" si="2"/>
        <v>0</v>
      </c>
      <c r="E40" s="40">
        <f t="shared" ca="1" si="2"/>
        <v>0</v>
      </c>
      <c r="F40" s="40">
        <f t="shared" ca="1" si="2"/>
        <v>1</v>
      </c>
      <c r="G40" s="40">
        <f t="shared" ca="1" si="2"/>
        <v>1</v>
      </c>
      <c r="H40" s="4">
        <f t="shared" si="3"/>
        <v>4</v>
      </c>
      <c r="I40" s="42">
        <f t="shared" ca="1" si="4"/>
        <v>2</v>
      </c>
      <c r="K40" s="61"/>
      <c r="L40" s="59"/>
      <c r="M40" s="59"/>
      <c r="N40" s="59"/>
      <c r="O40" s="59"/>
      <c r="P40" s="59"/>
      <c r="Q40" s="59"/>
      <c r="R40" s="59"/>
      <c r="S40" s="59"/>
      <c r="T40" s="59"/>
      <c r="U40" s="60"/>
    </row>
    <row r="41" spans="1:21">
      <c r="A41" s="3" t="s">
        <v>247</v>
      </c>
      <c r="B41" s="3">
        <v>28.832325739680499</v>
      </c>
      <c r="C41" s="40">
        <f t="shared" ca="1" si="2"/>
        <v>0</v>
      </c>
      <c r="D41" s="40">
        <f t="shared" ca="1" si="2"/>
        <v>0</v>
      </c>
      <c r="E41" s="40">
        <f t="shared" ca="1" si="2"/>
        <v>1</v>
      </c>
      <c r="F41" s="40">
        <f t="shared" ca="1" si="2"/>
        <v>1</v>
      </c>
      <c r="G41" s="40">
        <f t="shared" ca="1" si="2"/>
        <v>1</v>
      </c>
      <c r="H41" s="4">
        <f t="shared" si="3"/>
        <v>5</v>
      </c>
      <c r="I41" s="42">
        <f t="shared" ca="1" si="4"/>
        <v>3</v>
      </c>
      <c r="K41" s="61"/>
      <c r="L41" s="59"/>
      <c r="M41" s="59"/>
      <c r="N41" s="59"/>
      <c r="O41" s="59"/>
      <c r="P41" s="59"/>
      <c r="Q41" s="59"/>
      <c r="R41" s="59"/>
      <c r="S41" s="59"/>
      <c r="T41" s="59"/>
      <c r="U41" s="60"/>
    </row>
    <row r="42" spans="1:21">
      <c r="A42" s="3" t="s">
        <v>241</v>
      </c>
      <c r="B42" s="3">
        <v>28.4223476624692</v>
      </c>
      <c r="C42" s="40">
        <f t="shared" ca="1" si="2"/>
        <v>0</v>
      </c>
      <c r="D42" s="40">
        <f t="shared" ca="1" si="2"/>
        <v>0</v>
      </c>
      <c r="E42" s="40">
        <f t="shared" ca="1" si="2"/>
        <v>1</v>
      </c>
      <c r="F42" s="40">
        <f t="shared" ca="1" si="2"/>
        <v>1</v>
      </c>
      <c r="G42" s="40">
        <f t="shared" ca="1" si="2"/>
        <v>1</v>
      </c>
      <c r="H42" s="4">
        <f t="shared" si="3"/>
        <v>6</v>
      </c>
      <c r="I42" s="42">
        <f t="shared" ca="1" si="4"/>
        <v>3</v>
      </c>
      <c r="K42" s="61"/>
      <c r="L42" s="59"/>
      <c r="M42" s="59"/>
      <c r="N42" s="59"/>
      <c r="O42" s="59"/>
      <c r="P42" s="59"/>
      <c r="Q42" s="59"/>
      <c r="R42" s="59"/>
      <c r="S42" s="59"/>
      <c r="T42" s="59"/>
      <c r="U42" s="60"/>
    </row>
    <row r="43" spans="1:21">
      <c r="A43" s="3" t="s">
        <v>243</v>
      </c>
      <c r="B43" s="3">
        <v>25.982874695163598</v>
      </c>
      <c r="C43" s="40">
        <f t="shared" ca="1" si="2"/>
        <v>0</v>
      </c>
      <c r="D43" s="40">
        <f t="shared" ca="1" si="2"/>
        <v>1</v>
      </c>
      <c r="E43" s="40">
        <f t="shared" ca="1" si="2"/>
        <v>1</v>
      </c>
      <c r="F43" s="40">
        <f t="shared" ca="1" si="2"/>
        <v>1</v>
      </c>
      <c r="G43" s="40">
        <f t="shared" ca="1" si="2"/>
        <v>1</v>
      </c>
      <c r="H43" s="4">
        <f t="shared" si="3"/>
        <v>7</v>
      </c>
      <c r="I43" s="42">
        <f t="shared" ca="1" si="4"/>
        <v>4</v>
      </c>
      <c r="K43" s="61"/>
      <c r="L43" s="59"/>
      <c r="M43" s="59"/>
      <c r="N43" s="59"/>
      <c r="O43" s="59"/>
      <c r="P43" s="59"/>
      <c r="Q43" s="59"/>
      <c r="R43" s="59"/>
      <c r="S43" s="59"/>
      <c r="T43" s="59"/>
      <c r="U43" s="60"/>
    </row>
    <row r="44" spans="1:21">
      <c r="A44" s="3" t="s">
        <v>245</v>
      </c>
      <c r="B44" s="3">
        <v>25.79938469427</v>
      </c>
      <c r="C44" s="40">
        <f t="shared" ca="1" si="2"/>
        <v>0</v>
      </c>
      <c r="D44" s="40">
        <f t="shared" ca="1" si="2"/>
        <v>1</v>
      </c>
      <c r="E44" s="40">
        <f t="shared" ca="1" si="2"/>
        <v>1</v>
      </c>
      <c r="F44" s="40">
        <f t="shared" ca="1" si="2"/>
        <v>1</v>
      </c>
      <c r="G44" s="40">
        <f t="shared" ca="1" si="2"/>
        <v>1</v>
      </c>
      <c r="H44" s="4">
        <f t="shared" si="3"/>
        <v>8</v>
      </c>
      <c r="I44" s="42">
        <f t="shared" ca="1" si="4"/>
        <v>4</v>
      </c>
      <c r="K44" s="61"/>
      <c r="L44" s="59"/>
      <c r="M44" s="59"/>
      <c r="N44" s="59"/>
      <c r="O44" s="59"/>
      <c r="P44" s="59"/>
      <c r="Q44" s="59"/>
      <c r="R44" s="59"/>
      <c r="S44" s="59"/>
      <c r="T44" s="59"/>
      <c r="U44" s="60"/>
    </row>
    <row r="45" spans="1:21">
      <c r="A45" s="3" t="s">
        <v>240</v>
      </c>
      <c r="B45" s="3">
        <v>24.148544471292102</v>
      </c>
      <c r="C45" s="40">
        <f t="shared" ca="1" si="2"/>
        <v>1</v>
      </c>
      <c r="D45" s="40">
        <f t="shared" ca="1" si="2"/>
        <v>1</v>
      </c>
      <c r="E45" s="40">
        <f t="shared" ca="1" si="2"/>
        <v>1</v>
      </c>
      <c r="F45" s="40">
        <f t="shared" ca="1" si="2"/>
        <v>1</v>
      </c>
      <c r="G45" s="40">
        <f t="shared" ca="1" si="2"/>
        <v>1</v>
      </c>
      <c r="H45" s="4">
        <f t="shared" si="3"/>
        <v>9</v>
      </c>
      <c r="I45" s="42">
        <f t="shared" ca="1" si="4"/>
        <v>5</v>
      </c>
      <c r="K45" s="61"/>
      <c r="L45" s="59"/>
      <c r="M45" s="59"/>
      <c r="N45" s="59"/>
      <c r="O45" s="59"/>
      <c r="P45" s="59"/>
      <c r="Q45" s="59"/>
      <c r="R45" s="59"/>
      <c r="S45" s="59"/>
      <c r="T45" s="59"/>
      <c r="U45" s="60"/>
    </row>
    <row r="46" spans="1:21">
      <c r="A46" s="3" t="s">
        <v>244</v>
      </c>
      <c r="B46" s="3">
        <v>22.0751334297886</v>
      </c>
      <c r="C46" s="40">
        <f t="shared" ca="1" si="2"/>
        <v>1</v>
      </c>
      <c r="D46" s="40">
        <f t="shared" ca="1" si="2"/>
        <v>1</v>
      </c>
      <c r="E46" s="40">
        <f t="shared" ca="1" si="2"/>
        <v>1</v>
      </c>
      <c r="F46" s="40">
        <f t="shared" ca="1" si="2"/>
        <v>1</v>
      </c>
      <c r="G46" s="40">
        <f t="shared" ca="1" si="2"/>
        <v>1</v>
      </c>
      <c r="H46" s="4">
        <f t="shared" si="3"/>
        <v>10</v>
      </c>
      <c r="I46" s="42">
        <f t="shared" ca="1" si="4"/>
        <v>5</v>
      </c>
      <c r="K46" s="61"/>
      <c r="L46" s="59"/>
      <c r="M46" s="59"/>
      <c r="N46" s="59"/>
      <c r="O46" s="59"/>
      <c r="P46" s="59"/>
      <c r="Q46" s="59"/>
      <c r="R46" s="59"/>
      <c r="S46" s="59"/>
      <c r="T46" s="59"/>
      <c r="U46" s="60"/>
    </row>
    <row r="47" spans="1:21">
      <c r="A47" s="3" t="s">
        <v>249</v>
      </c>
      <c r="B47" s="3">
        <v>18.704044334394499</v>
      </c>
      <c r="C47" s="40">
        <f t="shared" ca="1" si="2"/>
        <v>1</v>
      </c>
      <c r="D47" s="40">
        <f t="shared" ca="1" si="2"/>
        <v>1</v>
      </c>
      <c r="E47" s="40">
        <f t="shared" ca="1" si="2"/>
        <v>1</v>
      </c>
      <c r="F47" s="40">
        <f t="shared" ca="1" si="2"/>
        <v>1</v>
      </c>
      <c r="G47" s="40">
        <f t="shared" ca="1" si="2"/>
        <v>1</v>
      </c>
      <c r="H47" s="4">
        <f t="shared" si="3"/>
        <v>11</v>
      </c>
      <c r="I47" s="42">
        <f t="shared" ca="1" si="4"/>
        <v>5</v>
      </c>
      <c r="K47" s="61"/>
      <c r="L47" s="59"/>
      <c r="M47" s="59"/>
      <c r="N47" s="59"/>
      <c r="O47" s="59"/>
      <c r="P47" s="59"/>
      <c r="Q47" s="59"/>
      <c r="R47" s="59"/>
      <c r="S47" s="59"/>
      <c r="T47" s="59"/>
      <c r="U47" s="60"/>
    </row>
    <row r="48" spans="1:21" ht="12" customHeight="1">
      <c r="B48"/>
      <c r="C48" s="40">
        <f t="shared" ca="1" si="2"/>
        <v>1</v>
      </c>
      <c r="D48" s="40">
        <f t="shared" ca="1" si="2"/>
        <v>1</v>
      </c>
      <c r="E48" s="40">
        <f t="shared" ca="1" si="2"/>
        <v>1</v>
      </c>
      <c r="F48" s="40">
        <f t="shared" ca="1" si="2"/>
        <v>1</v>
      </c>
      <c r="G48" s="40">
        <f t="shared" ca="1" si="2"/>
        <v>1</v>
      </c>
      <c r="H48" s="4">
        <f t="shared" si="3"/>
        <v>12</v>
      </c>
      <c r="I48" s="42">
        <f t="shared" ca="1" si="4"/>
        <v>5</v>
      </c>
      <c r="K48" s="61"/>
      <c r="L48" s="59"/>
      <c r="M48" s="59"/>
      <c r="N48" s="59"/>
      <c r="O48" s="59"/>
      <c r="P48" s="59"/>
      <c r="Q48" s="59"/>
      <c r="R48" s="59"/>
      <c r="S48" s="59"/>
      <c r="T48" s="59"/>
      <c r="U48" s="60"/>
    </row>
    <row r="49" spans="1:21" ht="11.25" customHeight="1">
      <c r="B49"/>
      <c r="C49" s="40">
        <f t="shared" ca="1" si="2"/>
        <v>1</v>
      </c>
      <c r="D49" s="40">
        <f t="shared" ca="1" si="2"/>
        <v>1</v>
      </c>
      <c r="E49" s="40">
        <f t="shared" ca="1" si="2"/>
        <v>1</v>
      </c>
      <c r="F49" s="40">
        <f t="shared" ca="1" si="2"/>
        <v>1</v>
      </c>
      <c r="G49" s="40">
        <f t="shared" ca="1" si="2"/>
        <v>1</v>
      </c>
      <c r="H49" s="4">
        <f t="shared" si="3"/>
        <v>13</v>
      </c>
      <c r="I49" s="42">
        <f t="shared" ca="1" si="4"/>
        <v>5</v>
      </c>
      <c r="K49" s="61"/>
      <c r="L49" s="59"/>
      <c r="M49" s="59"/>
      <c r="N49" s="59"/>
      <c r="O49" s="59"/>
      <c r="P49" s="59"/>
      <c r="Q49" s="59"/>
      <c r="R49" s="59"/>
      <c r="S49" s="59"/>
      <c r="T49" s="59"/>
      <c r="U49" s="60"/>
    </row>
    <row r="50" spans="1:21" ht="11.25" customHeight="1">
      <c r="B50"/>
      <c r="C50" s="40">
        <f t="shared" ca="1" si="2"/>
        <v>1</v>
      </c>
      <c r="D50" s="40">
        <f t="shared" ca="1" si="2"/>
        <v>1</v>
      </c>
      <c r="E50" s="40">
        <f t="shared" ca="1" si="2"/>
        <v>1</v>
      </c>
      <c r="F50" s="40">
        <f t="shared" ca="1" si="2"/>
        <v>1</v>
      </c>
      <c r="G50" s="40">
        <f t="shared" ca="1" si="2"/>
        <v>1</v>
      </c>
      <c r="H50" s="4">
        <f t="shared" si="3"/>
        <v>14</v>
      </c>
      <c r="I50" s="42">
        <f t="shared" ca="1" si="4"/>
        <v>5</v>
      </c>
      <c r="K50" s="61"/>
      <c r="L50" s="59"/>
      <c r="M50" s="59"/>
      <c r="N50" s="59"/>
      <c r="O50" s="59"/>
      <c r="P50" s="59"/>
      <c r="Q50" s="59"/>
      <c r="R50" s="59"/>
      <c r="S50" s="59"/>
      <c r="T50" s="59"/>
      <c r="U50" s="60"/>
    </row>
    <row r="51" spans="1:21" ht="11.25" customHeight="1">
      <c r="B51"/>
      <c r="C51" s="40">
        <f t="shared" ca="1" si="2"/>
        <v>1</v>
      </c>
      <c r="D51" s="40">
        <f t="shared" ca="1" si="2"/>
        <v>1</v>
      </c>
      <c r="E51" s="40">
        <f t="shared" ca="1" si="2"/>
        <v>1</v>
      </c>
      <c r="F51" s="40">
        <f t="shared" ca="1" si="2"/>
        <v>1</v>
      </c>
      <c r="G51" s="40">
        <f t="shared" ca="1" si="2"/>
        <v>1</v>
      </c>
      <c r="H51" s="4">
        <f t="shared" si="3"/>
        <v>15</v>
      </c>
      <c r="I51" s="42">
        <f t="shared" ca="1" si="4"/>
        <v>5</v>
      </c>
      <c r="K51" s="61"/>
      <c r="L51" s="59"/>
      <c r="M51" s="59"/>
      <c r="N51" s="59"/>
      <c r="O51" s="59"/>
      <c r="P51" s="59"/>
      <c r="Q51" s="59"/>
      <c r="R51" s="59"/>
      <c r="S51" s="59"/>
      <c r="T51" s="59"/>
      <c r="U51" s="60"/>
    </row>
    <row r="52" spans="1:21" ht="11.25" customHeight="1">
      <c r="B52"/>
      <c r="C52" s="40"/>
      <c r="D52" s="40"/>
      <c r="E52" s="40"/>
      <c r="F52" s="40"/>
      <c r="G52" s="40"/>
      <c r="H52" s="4"/>
      <c r="I52" s="42"/>
      <c r="K52" s="61"/>
      <c r="L52" s="59"/>
      <c r="M52" s="59"/>
      <c r="N52" s="59"/>
      <c r="O52" s="59"/>
      <c r="P52" s="59"/>
      <c r="Q52" s="59"/>
      <c r="R52" s="59"/>
      <c r="S52" s="59"/>
      <c r="T52" s="59"/>
      <c r="U52" s="60"/>
    </row>
    <row r="53" spans="1:21" ht="11.25" customHeight="1">
      <c r="A53"/>
      <c r="B53"/>
      <c r="C53" s="40"/>
      <c r="D53" s="40"/>
      <c r="E53" s="40"/>
      <c r="F53" s="40"/>
      <c r="G53" s="40"/>
      <c r="H53" s="4"/>
      <c r="I53" s="42"/>
      <c r="K53" s="61"/>
      <c r="L53" s="59"/>
      <c r="M53" s="59"/>
      <c r="N53" s="59"/>
      <c r="O53" s="59"/>
      <c r="P53" s="59"/>
      <c r="Q53" s="59"/>
      <c r="R53" s="59"/>
      <c r="S53" s="59"/>
      <c r="T53" s="59"/>
      <c r="U53" s="60"/>
    </row>
    <row r="54" spans="1:21" ht="11.25" customHeight="1">
      <c r="A54"/>
      <c r="B54"/>
      <c r="K54" s="61"/>
      <c r="L54" s="59"/>
      <c r="M54" s="59"/>
      <c r="N54" s="59"/>
      <c r="O54" s="59"/>
      <c r="P54" s="59"/>
      <c r="Q54" s="59"/>
      <c r="R54" s="59"/>
      <c r="S54" s="59"/>
      <c r="T54" s="59"/>
      <c r="U54" s="60"/>
    </row>
    <row r="55" spans="1:21">
      <c r="B55" s="65" t="s">
        <v>13</v>
      </c>
      <c r="C55" s="43" t="s">
        <v>466</v>
      </c>
      <c r="D55" s="43" t="s">
        <v>465</v>
      </c>
      <c r="E55" s="43">
        <v>0.5</v>
      </c>
      <c r="F55" s="43" t="s">
        <v>467</v>
      </c>
      <c r="G55" s="43" t="s">
        <v>4</v>
      </c>
      <c r="H55" s="43" t="s">
        <v>468</v>
      </c>
      <c r="I55" s="43" t="s">
        <v>203</v>
      </c>
      <c r="J55" s="4"/>
      <c r="K55" s="61"/>
      <c r="L55" s="59"/>
      <c r="M55" s="59"/>
      <c r="N55" s="59"/>
      <c r="O55" s="59"/>
      <c r="P55" s="59"/>
      <c r="Q55" s="59"/>
      <c r="R55" s="59"/>
      <c r="S55" s="59"/>
      <c r="T55" s="59"/>
      <c r="U55" s="60"/>
    </row>
    <row r="56" spans="1:21">
      <c r="A56" s="3" t="str" cm="1">
        <f t="array" aca="1" ref="A56" ca="1">INDIRECT("DATA!" &amp; ADDRESS($B$34,1))</f>
        <v>DSO</v>
      </c>
      <c r="B56" s="3" cm="1">
        <f t="array" aca="1" ref="B56" ca="1">INDIRECT("DATA!" &amp; ADDRESS($B$34,4))</f>
        <v>18.618886692597101</v>
      </c>
      <c r="C56" s="3" cm="1">
        <f t="array" aca="1" ref="C56" ca="1">INDIRECT("DATA!" &amp; ADDRESS($B$34,5))</f>
        <v>24.606719629507701</v>
      </c>
      <c r="D56" s="3" cm="1">
        <f t="array" aca="1" ref="D56" ca="1">INDIRECT("DATA!" &amp; ADDRESS($B$34,6))</f>
        <v>26.938795591028924</v>
      </c>
      <c r="E56" s="3" cm="1">
        <f t="array" aca="1" ref="E56" ca="1">INDIRECT("DATA!" &amp; ADDRESS($B$34,7))</f>
        <v>29.548242130879</v>
      </c>
      <c r="F56" s="3" cm="1">
        <f t="array" aca="1" ref="F56" ca="1">INDIRECT("DATA!" &amp; ADDRESS($B$34,8))</f>
        <v>33.055198357449484</v>
      </c>
      <c r="G56" s="3" cm="1">
        <f t="array" aca="1" ref="G56" ca="1">INDIRECT("DATA!" &amp; ADDRESS($B$34,9))</f>
        <v>39.420444009884903</v>
      </c>
      <c r="H56" s="3" cm="1">
        <f t="array" aca="1" ref="H56" ca="1">INDIRECT("DATA!" &amp; ADDRESS($B$34,10))</f>
        <v>41.931624945624236</v>
      </c>
      <c r="I56" s="3" cm="1">
        <f t="array" aca="1" ref="I56" ca="1">INDIRECT("DATA!" &amp; ADDRESS($B$34,11))</f>
        <v>24.148544471292102</v>
      </c>
      <c r="K56" s="61"/>
      <c r="L56" s="59"/>
      <c r="M56" s="59"/>
      <c r="N56" s="59"/>
      <c r="O56" s="59"/>
      <c r="P56" s="59"/>
      <c r="Q56" s="59"/>
      <c r="R56" s="59"/>
      <c r="S56" s="59"/>
      <c r="T56" s="59"/>
      <c r="U56" s="60"/>
    </row>
    <row r="57" spans="1:21">
      <c r="B57" s="3">
        <f t="shared" ref="B57:I57" ca="1" si="5">ROUND(B56,0)</f>
        <v>19</v>
      </c>
      <c r="C57" s="3">
        <f t="shared" ca="1" si="5"/>
        <v>25</v>
      </c>
      <c r="D57" s="3">
        <f t="shared" ca="1" si="5"/>
        <v>27</v>
      </c>
      <c r="E57" s="3">
        <f t="shared" ca="1" si="5"/>
        <v>30</v>
      </c>
      <c r="F57" s="3">
        <f t="shared" ca="1" si="5"/>
        <v>33</v>
      </c>
      <c r="G57" s="3">
        <f t="shared" ca="1" si="5"/>
        <v>39</v>
      </c>
      <c r="H57" s="3">
        <f t="shared" ca="1" si="5"/>
        <v>42</v>
      </c>
      <c r="I57" s="3">
        <f t="shared" ca="1" si="5"/>
        <v>24</v>
      </c>
      <c r="K57" s="61"/>
      <c r="L57" s="59"/>
      <c r="M57" s="59"/>
      <c r="N57" s="59"/>
      <c r="O57" s="59"/>
      <c r="P57" s="59"/>
      <c r="Q57" s="59"/>
      <c r="R57" s="59"/>
      <c r="S57" s="59"/>
      <c r="T57" s="59"/>
      <c r="U57" s="60"/>
    </row>
    <row r="58" spans="1:21">
      <c r="J58" s="12"/>
      <c r="K58" s="61"/>
      <c r="L58" s="59"/>
      <c r="M58" s="59"/>
      <c r="N58" s="59"/>
      <c r="O58" s="59"/>
      <c r="P58" s="59"/>
      <c r="Q58" s="59"/>
      <c r="R58" s="59"/>
      <c r="S58" s="59"/>
      <c r="T58" s="59"/>
      <c r="U58" s="60"/>
    </row>
    <row r="59" spans="1:21">
      <c r="I59" s="12"/>
      <c r="K59" s="62"/>
      <c r="L59" s="63"/>
      <c r="M59" s="63"/>
      <c r="N59" s="63"/>
      <c r="O59" s="63"/>
      <c r="P59" s="63"/>
      <c r="Q59" s="63"/>
      <c r="R59" s="63"/>
      <c r="S59" s="63"/>
      <c r="T59" s="63"/>
      <c r="U59" s="64"/>
    </row>
    <row r="61" spans="1:21">
      <c r="A61" s="3" t="s">
        <v>484</v>
      </c>
      <c r="B61" s="3" cm="1">
        <f t="array" aca="1" ref="B61" ca="1">INDIRECT("DATA!" &amp; ADDRESS($B$34,16))</f>
        <v>0.9</v>
      </c>
    </row>
    <row r="65" spans="1:5">
      <c r="A65" s="31" t="s">
        <v>652</v>
      </c>
      <c r="B65" s="31" t="s">
        <v>651</v>
      </c>
      <c r="C65" s="31"/>
      <c r="D65" s="31" t="s">
        <v>633</v>
      </c>
      <c r="E65" s="31"/>
    </row>
    <row r="66" spans="1:5">
      <c r="A66" s="144">
        <v>0</v>
      </c>
      <c r="B66" s="7" t="str" cm="1">
        <f t="array" ref="B66">DATA(A66+2,139)</f>
        <v>Brf Sa</v>
      </c>
      <c r="C66" s="7"/>
      <c r="D66" s="7" t="b" cm="1">
        <f t="array" aca="1" ref="D66" ca="1">_xlfn.IFNA(DATA($B$34,40+$A66), FALSE)</f>
        <v>0</v>
      </c>
      <c r="E66" s="7" t="str">
        <f ca="1">IF(D66,B66,"")</f>
        <v/>
      </c>
    </row>
    <row r="67" spans="1:5">
      <c r="A67" s="144">
        <f t="shared" ref="A67:A81" si="6">A66+1</f>
        <v>1</v>
      </c>
      <c r="B67" s="7" t="str" cm="1">
        <f t="array" ref="B67">DATA(A67+2,139)</f>
        <v>Campbell Soup Co</v>
      </c>
      <c r="C67" s="7"/>
      <c r="D67" s="7" t="b" cm="1">
        <f t="array" aca="1" ref="D67" ca="1">_xlfn.IFNA(DATA($B$34,40+$A67), FALSE)</f>
        <v>0</v>
      </c>
      <c r="E67" s="7" t="str">
        <f t="shared" ref="E67:E82" ca="1" si="7">IF(D67,B67,"")</f>
        <v/>
      </c>
    </row>
    <row r="68" spans="1:5">
      <c r="A68" s="144">
        <f t="shared" si="6"/>
        <v>2</v>
      </c>
      <c r="B68" s="7" t="str" cm="1">
        <f t="array" ref="B68">DATA(A68+2,139)</f>
        <v>Conagra Brands Inc</v>
      </c>
      <c r="C68" s="7"/>
      <c r="D68" s="7" t="b" cm="1">
        <f t="array" aca="1" ref="D68" ca="1">_xlfn.IFNA(DATA($B$34,40+$A68), FALSE)</f>
        <v>0</v>
      </c>
      <c r="E68" s="7" t="str">
        <f t="shared" ca="1" si="7"/>
        <v/>
      </c>
    </row>
    <row r="69" spans="1:5">
      <c r="A69" s="144">
        <f t="shared" si="6"/>
        <v>3</v>
      </c>
      <c r="B69" s="7" t="str" cm="1">
        <f t="array" ref="B69">DATA(A69+2,139)</f>
        <v>Danone S.A.</v>
      </c>
      <c r="C69" s="7"/>
      <c r="D69" s="7" t="b" cm="1">
        <f t="array" aca="1" ref="D69" ca="1">_xlfn.IFNA(DATA($B$34,40+$A69), FALSE)</f>
        <v>0</v>
      </c>
      <c r="E69" s="7" t="str">
        <f t="shared" ca="1" si="7"/>
        <v/>
      </c>
    </row>
    <row r="70" spans="1:5">
      <c r="A70" s="144">
        <f t="shared" si="6"/>
        <v>4</v>
      </c>
      <c r="B70" s="7" t="str" cm="1">
        <f t="array" ref="B70">DATA(A70+2,139)</f>
        <v>General Mills Inc</v>
      </c>
      <c r="C70" s="7"/>
      <c r="D70" s="7" t="b" cm="1">
        <f t="array" aca="1" ref="D70" ca="1">_xlfn.IFNA(DATA($B$34,40+$A70), FALSE)</f>
        <v>0</v>
      </c>
      <c r="E70" s="7" t="str">
        <f t="shared" ca="1" si="7"/>
        <v/>
      </c>
    </row>
    <row r="71" spans="1:5">
      <c r="A71" s="144">
        <f t="shared" si="6"/>
        <v>5</v>
      </c>
      <c r="B71" s="7" t="str" cm="1">
        <f t="array" ref="B71">DATA(A71+2,139)</f>
        <v>Hain Celestial</v>
      </c>
      <c r="C71" s="7"/>
      <c r="D71" s="7" t="b" cm="1">
        <f t="array" aca="1" ref="D71" ca="1">_xlfn.IFNA(DATA($B$34,40+$A71), FALSE)</f>
        <v>0</v>
      </c>
      <c r="E71" s="7" t="str">
        <f t="shared" ca="1" si="7"/>
        <v/>
      </c>
    </row>
    <row r="72" spans="1:5">
      <c r="A72" s="144">
        <f t="shared" si="6"/>
        <v>6</v>
      </c>
      <c r="B72" s="7" t="str" cm="1">
        <f t="array" ref="B72">DATA(A72+2,139)</f>
        <v>Hershey Co</v>
      </c>
      <c r="C72" s="7"/>
      <c r="D72" s="7" t="b" cm="1">
        <f t="array" aca="1" ref="D72" ca="1">_xlfn.IFNA(DATA($B$34,40+$A72), FALSE)</f>
        <v>0</v>
      </c>
      <c r="E72" s="7" t="str">
        <f t="shared" ca="1" si="7"/>
        <v/>
      </c>
    </row>
    <row r="73" spans="1:5">
      <c r="A73" s="144">
        <f t="shared" si="6"/>
        <v>7</v>
      </c>
      <c r="B73" s="7" t="str" cm="1">
        <f t="array" ref="B73">DATA(A73+2,139)</f>
        <v>Hormel Foods Corp</v>
      </c>
      <c r="C73" s="7"/>
      <c r="D73" s="7" t="b" cm="1">
        <f t="array" aca="1" ref="D73" ca="1">_xlfn.IFNA(DATA($B$34,40+$A73), FALSE)</f>
        <v>0</v>
      </c>
      <c r="E73" s="7" t="str">
        <f t="shared" ca="1" si="7"/>
        <v/>
      </c>
    </row>
    <row r="74" spans="1:5">
      <c r="A74" s="144">
        <f t="shared" si="6"/>
        <v>8</v>
      </c>
      <c r="B74" s="7" t="str" cm="1">
        <f t="array" ref="B74">DATA(A74+2,139)</f>
        <v>J M Smucker Co</v>
      </c>
      <c r="C74" s="7"/>
      <c r="D74" s="7" t="b" cm="1">
        <f t="array" aca="1" ref="D74" ca="1">_xlfn.IFNA(DATA($B$34,40+$A74), FALSE)</f>
        <v>0</v>
      </c>
      <c r="E74" s="7" t="str">
        <f t="shared" ca="1" si="7"/>
        <v/>
      </c>
    </row>
    <row r="75" spans="1:5">
      <c r="A75" s="144">
        <f t="shared" si="6"/>
        <v>9</v>
      </c>
      <c r="B75" s="7" t="str" cm="1">
        <f t="array" ref="B75">DATA(A75+2,139)</f>
        <v>Kellogg Co</v>
      </c>
      <c r="C75" s="7"/>
      <c r="D75" s="7" t="b" cm="1">
        <f t="array" aca="1" ref="D75" ca="1">_xlfn.IFNA(DATA($B$34,40+$A75), FALSE)</f>
        <v>0</v>
      </c>
      <c r="E75" s="7" t="str">
        <f t="shared" ca="1" si="7"/>
        <v/>
      </c>
    </row>
    <row r="76" spans="1:5">
      <c r="A76" s="144">
        <f t="shared" si="6"/>
        <v>10</v>
      </c>
      <c r="B76" s="7" t="str" cm="1">
        <f t="array" ref="B76">DATA(A76+2,139)</f>
        <v>Kraft Heinz Co</v>
      </c>
      <c r="C76" s="7"/>
      <c r="D76" s="7" t="b" cm="1">
        <f t="array" aca="1" ref="D76" ca="1">_xlfn.IFNA(DATA($B$34,40+$A76), FALSE)</f>
        <v>0</v>
      </c>
      <c r="E76" s="7" t="str">
        <f t="shared" ca="1" si="7"/>
        <v/>
      </c>
    </row>
    <row r="77" spans="1:5">
      <c r="A77" s="144">
        <f t="shared" si="6"/>
        <v>11</v>
      </c>
      <c r="B77" s="7" t="str" cm="1">
        <f t="array" ref="B77">DATA(A77+2,139)</f>
        <v>Lamb Weston</v>
      </c>
      <c r="C77" s="7"/>
      <c r="D77" s="7" t="b" cm="1">
        <f t="array" aca="1" ref="D77" ca="1">_xlfn.IFNA(DATA($B$34,40+$A77), FALSE)</f>
        <v>0</v>
      </c>
      <c r="E77" s="7" t="str">
        <f t="shared" ca="1" si="7"/>
        <v/>
      </c>
    </row>
    <row r="78" spans="1:5">
      <c r="A78" s="144">
        <f t="shared" si="6"/>
        <v>12</v>
      </c>
      <c r="B78" s="7" t="str" cm="1">
        <f t="array" ref="B78">DATA(A78+2,139)</f>
        <v>Mccormick &amp; Co Inc</v>
      </c>
      <c r="C78" s="7"/>
      <c r="D78" s="7" t="b" cm="1">
        <f t="array" aca="1" ref="D78" ca="1">_xlfn.IFNA(DATA($B$34,40+$A78), FALSE)</f>
        <v>0</v>
      </c>
      <c r="E78" s="7" t="str">
        <f t="shared" ca="1" si="7"/>
        <v/>
      </c>
    </row>
    <row r="79" spans="1:5">
      <c r="A79" s="144">
        <f t="shared" si="6"/>
        <v>13</v>
      </c>
      <c r="B79" s="7" t="str" cm="1">
        <f t="array" ref="B79">DATA(A79+2,139)</f>
        <v>Mondelez</v>
      </c>
      <c r="C79" s="7"/>
      <c r="D79" s="7" t="b" cm="1">
        <f t="array" aca="1" ref="D79" ca="1">_xlfn.IFNA(DATA($B$34,40+$A79), FALSE)</f>
        <v>0</v>
      </c>
      <c r="E79" s="7" t="str">
        <f t="shared" ca="1" si="7"/>
        <v/>
      </c>
    </row>
    <row r="80" spans="1:5">
      <c r="A80" s="144">
        <f t="shared" si="6"/>
        <v>14</v>
      </c>
      <c r="B80" s="7" t="str" cm="1">
        <f t="array" ref="B80">DATA(A80+2,139)</f>
        <v>Pilgrims Pride Corp</v>
      </c>
      <c r="C80" s="7"/>
      <c r="D80" s="7" t="b" cm="1">
        <f t="array" aca="1" ref="D80" ca="1">_xlfn.IFNA(DATA($B$34,40+$A80), FALSE)</f>
        <v>0</v>
      </c>
      <c r="E80" s="7" t="str">
        <f t="shared" ca="1" si="7"/>
        <v/>
      </c>
    </row>
    <row r="81" spans="1:5">
      <c r="A81" s="144">
        <f t="shared" si="6"/>
        <v>15</v>
      </c>
      <c r="B81" s="7" t="str" cm="1">
        <f t="array" ref="B81">DATA(A81+2,139)</f>
        <v>Tyson Foods Inc</v>
      </c>
      <c r="C81" s="7"/>
      <c r="D81" s="7" t="b" cm="1">
        <f t="array" aca="1" ref="D81" ca="1">_xlfn.IFNA(DATA($B$34,40+$A81), FALSE)</f>
        <v>0</v>
      </c>
      <c r="E81" s="7" t="str">
        <f t="shared" ca="1" si="7"/>
        <v/>
      </c>
    </row>
    <row r="82" spans="1:5">
      <c r="A82" s="144"/>
      <c r="B82" s="7"/>
      <c r="C82" s="7"/>
      <c r="D82" s="7"/>
      <c r="E82" s="7" t="str">
        <f t="shared" si="7"/>
        <v/>
      </c>
    </row>
    <row r="83" spans="1:5">
      <c r="A83" s="7"/>
      <c r="B83" s="7"/>
      <c r="C83" s="7"/>
      <c r="D83" s="7">
        <f ca="1">COUNTIF(D66:D82,TRUE)</f>
        <v>0</v>
      </c>
      <c r="E83" s="7" t="str" cm="1">
        <f t="array" aca="1" ref="E83" ca="1">IF(D83=0, "", "* " &amp; JoinStrings(E66:E82) &amp; IF((D83=1), " is an outlier", " are outliers") &amp; ".  Users are advised to omit outliers, as there may be issues with reported data.")</f>
        <v/>
      </c>
    </row>
    <row r="87" spans="1:5">
      <c r="A87" s="3" t="s">
        <v>803</v>
      </c>
    </row>
    <row r="88" spans="1:5" ht="15">
      <c r="A88" s="3">
        <v>3</v>
      </c>
      <c r="B88" s="3" t="s">
        <v>804</v>
      </c>
      <c r="C88"/>
      <c r="D88"/>
    </row>
    <row r="89" spans="1:5">
      <c r="A89" s="3">
        <v>500</v>
      </c>
      <c r="B89" s="3">
        <v>150</v>
      </c>
      <c r="C89" s="3">
        <v>300</v>
      </c>
      <c r="D89" s="3">
        <v>520</v>
      </c>
      <c r="E89" s="3">
        <v>0.75</v>
      </c>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FormatPeerDaysSalesOutstandingPage">
                <anchor moveWithCells="1" sizeWithCells="1">
                  <from>
                    <xdr:col>13</xdr:col>
                    <xdr:colOff>523875</xdr:colOff>
                    <xdr:row>3</xdr:row>
                    <xdr:rowOff>76200</xdr:rowOff>
                  </from>
                  <to>
                    <xdr:col>15</xdr:col>
                    <xdr:colOff>600075</xdr:colOff>
                    <xdr:row>5</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83D93-8B0B-4163-A7F3-06D6BE23FE80}">
  <sheetPr codeName="Sheet17"/>
  <dimension ref="A1:U89"/>
  <sheetViews>
    <sheetView topLeftCell="A57" zoomScaleNormal="100" workbookViewId="0">
      <selection activeCell="G71" sqref="G71"/>
    </sheetView>
  </sheetViews>
  <sheetFormatPr defaultRowHeight="11.25"/>
  <cols>
    <col min="1" max="1" width="18.28515625" style="3" customWidth="1"/>
    <col min="2" max="2" width="9.140625" style="3"/>
    <col min="3" max="3" width="13.140625" style="3" customWidth="1"/>
    <col min="4" max="4" width="14" style="3" customWidth="1"/>
    <col min="5" max="10" width="9.140625" style="3"/>
    <col min="11" max="11" width="10.140625" style="3" customWidth="1"/>
    <col min="12" max="19" width="9.140625" style="3"/>
    <col min="20" max="20" width="27.28515625" style="3" customWidth="1"/>
    <col min="21" max="21" width="183.140625" style="3" customWidth="1"/>
    <col min="22" max="16384" width="9.140625" style="3"/>
  </cols>
  <sheetData>
    <row r="1" spans="1:21">
      <c r="D1" s="44" t="s">
        <v>7</v>
      </c>
      <c r="E1" s="44" t="s">
        <v>6</v>
      </c>
      <c r="F1" s="44"/>
      <c r="G1" s="44"/>
      <c r="H1" s="44" t="s">
        <v>5</v>
      </c>
      <c r="I1" s="44">
        <v>0.8</v>
      </c>
      <c r="J1" s="44"/>
      <c r="K1" s="44">
        <v>0.8</v>
      </c>
      <c r="L1" s="44"/>
      <c r="M1" s="44"/>
      <c r="O1" s="3" t="e">
        <f ca="1">MATCH(D2,A2:A18,0)</f>
        <v>#N/A</v>
      </c>
      <c r="S1" s="4"/>
      <c r="T1" s="45"/>
      <c r="U1" s="45"/>
    </row>
    <row r="2" spans="1:21">
      <c r="A2" s="44" t="str">
        <f t="shared" ref="A2:A17" si="0">A36</f>
        <v>Mccormick &amp; Co</v>
      </c>
      <c r="B2" s="47">
        <f>IF(ISNA(B36), "Not Available", ROUND(B36,0))</f>
        <v>91</v>
      </c>
      <c r="D2" s="44" t="str">
        <f ca="1">Data!B25</f>
        <v>CAMPBELL SOUP CO</v>
      </c>
      <c r="E2" s="48" t="s">
        <v>0</v>
      </c>
      <c r="F2" s="48" t="s">
        <v>1</v>
      </c>
      <c r="G2" s="48" t="s">
        <v>2</v>
      </c>
      <c r="H2" s="48" t="s">
        <v>3</v>
      </c>
      <c r="I2" s="48" t="s">
        <v>0</v>
      </c>
      <c r="J2" s="48" t="s">
        <v>2</v>
      </c>
      <c r="K2" s="48" t="s">
        <v>4</v>
      </c>
      <c r="L2" s="48" t="s">
        <v>17</v>
      </c>
      <c r="M2" s="48" t="s">
        <v>18</v>
      </c>
      <c r="T2" s="45"/>
      <c r="U2" s="55"/>
    </row>
    <row r="3" spans="1:21">
      <c r="A3" s="44" t="str">
        <f t="shared" si="0"/>
        <v>Hershey</v>
      </c>
      <c r="B3" s="47">
        <f t="shared" ref="B3:B17" si="1">IF(ISNA(B37), "Not Available", ROUND(B37,0))</f>
        <v>68</v>
      </c>
      <c r="D3" s="49">
        <v>1</v>
      </c>
      <c r="E3" s="48">
        <f ca="1">D57</f>
        <v>51</v>
      </c>
      <c r="F3" s="48">
        <f ca="1">E57</f>
        <v>57</v>
      </c>
      <c r="G3" s="48">
        <f ca="1">F57</f>
        <v>64</v>
      </c>
      <c r="H3" s="49">
        <v>1</v>
      </c>
      <c r="I3" s="49">
        <v>1</v>
      </c>
      <c r="J3" s="49">
        <v>1</v>
      </c>
      <c r="K3" s="49">
        <v>1</v>
      </c>
      <c r="L3" s="48">
        <f ca="1">B57</f>
        <v>36</v>
      </c>
      <c r="M3" s="48">
        <f ca="1">H57</f>
        <v>113</v>
      </c>
      <c r="T3" s="45"/>
    </row>
    <row r="4" spans="1:21">
      <c r="A4" s="44" t="str">
        <f t="shared" si="0"/>
        <v>J M SMUCKER</v>
      </c>
      <c r="B4" s="47">
        <f t="shared" si="1"/>
        <v>68</v>
      </c>
      <c r="D4" s="48">
        <f ca="1">I57</f>
        <v>56</v>
      </c>
      <c r="E4" s="49">
        <f ca="1">E3</f>
        <v>51</v>
      </c>
      <c r="F4" s="49">
        <f ca="1">F3-E3</f>
        <v>6</v>
      </c>
      <c r="G4" s="49">
        <f ca="1">G3-F3</f>
        <v>7</v>
      </c>
      <c r="H4" s="48">
        <f ca="1">C57</f>
        <v>41</v>
      </c>
      <c r="I4" s="49">
        <f ca="1">E3</f>
        <v>51</v>
      </c>
      <c r="J4" s="49">
        <f ca="1">G3</f>
        <v>64</v>
      </c>
      <c r="K4" s="48">
        <f ca="1">G57</f>
        <v>83</v>
      </c>
      <c r="L4" s="48">
        <f ca="1">B57</f>
        <v>36</v>
      </c>
      <c r="M4" s="48">
        <f ca="1">H57</f>
        <v>113</v>
      </c>
      <c r="T4" s="45"/>
    </row>
    <row r="5" spans="1:21">
      <c r="A5" s="44" t="str">
        <f t="shared" si="0"/>
        <v>Conagra Brands</v>
      </c>
      <c r="B5" s="47">
        <f t="shared" si="1"/>
        <v>63</v>
      </c>
      <c r="D5" s="56" t="str">
        <f ca="1">Data!B29</f>
        <v>Campbell Soup Co</v>
      </c>
      <c r="T5" s="3" t="str">
        <f ca="1">ExecutiveSummaryFirstPage!F18</f>
        <v>$61M - $92M</v>
      </c>
    </row>
    <row r="6" spans="1:21">
      <c r="A6" s="44" t="str">
        <f t="shared" si="0"/>
        <v>Mondelez</v>
      </c>
      <c r="B6" s="47">
        <f t="shared" si="1"/>
        <v>60</v>
      </c>
      <c r="D6" s="56"/>
    </row>
    <row r="7" spans="1:21">
      <c r="A7" s="44" t="str">
        <f t="shared" si="0"/>
        <v>Kraft Heinz</v>
      </c>
      <c r="B7" s="47">
        <f t="shared" si="1"/>
        <v>59</v>
      </c>
      <c r="D7" s="56"/>
    </row>
    <row r="8" spans="1:21">
      <c r="A8" s="44" t="str">
        <f t="shared" si="0"/>
        <v>Hain Celestial Group</v>
      </c>
      <c r="B8" s="47">
        <f t="shared" si="1"/>
        <v>57</v>
      </c>
      <c r="D8" s="56"/>
    </row>
    <row r="9" spans="1:21">
      <c r="A9" s="44" t="str">
        <f t="shared" si="0"/>
        <v>Campbell Soup</v>
      </c>
      <c r="B9" s="47">
        <f t="shared" si="1"/>
        <v>56</v>
      </c>
      <c r="D9" s="56"/>
    </row>
    <row r="10" spans="1:21">
      <c r="A10" s="44" t="str">
        <f t="shared" si="0"/>
        <v>Hormel Foods</v>
      </c>
      <c r="B10" s="47">
        <f t="shared" si="1"/>
        <v>50</v>
      </c>
      <c r="D10" s="56"/>
    </row>
    <row r="11" spans="1:21">
      <c r="A11" s="44" t="str">
        <f t="shared" si="0"/>
        <v>Kellogg</v>
      </c>
      <c r="B11" s="47">
        <f t="shared" si="1"/>
        <v>49</v>
      </c>
      <c r="D11" s="56"/>
    </row>
    <row r="12" spans="1:21">
      <c r="A12" s="44" t="str">
        <f t="shared" si="0"/>
        <v>General Mills</v>
      </c>
      <c r="B12" s="47">
        <f t="shared" si="1"/>
        <v>45</v>
      </c>
      <c r="D12" s="56"/>
    </row>
    <row r="13" spans="1:21">
      <c r="A13" s="44" t="str">
        <f t="shared" si="0"/>
        <v>Tyson Foods</v>
      </c>
      <c r="B13" s="47">
        <f t="shared" si="1"/>
        <v>40</v>
      </c>
      <c r="D13" s="56"/>
    </row>
    <row r="14" spans="1:21">
      <c r="A14" s="44">
        <f t="shared" si="0"/>
        <v>0</v>
      </c>
      <c r="B14" s="47">
        <f t="shared" si="1"/>
        <v>0</v>
      </c>
      <c r="D14" s="56"/>
    </row>
    <row r="15" spans="1:21">
      <c r="A15" s="44">
        <f t="shared" si="0"/>
        <v>0</v>
      </c>
      <c r="B15" s="47">
        <f t="shared" si="1"/>
        <v>0</v>
      </c>
      <c r="D15" s="56"/>
    </row>
    <row r="16" spans="1:21">
      <c r="A16" s="44">
        <f t="shared" si="0"/>
        <v>0</v>
      </c>
      <c r="B16" s="47">
        <f t="shared" si="1"/>
        <v>0</v>
      </c>
      <c r="D16" s="56"/>
    </row>
    <row r="17" spans="1:21">
      <c r="A17" s="44">
        <f t="shared" si="0"/>
        <v>0</v>
      </c>
      <c r="B17" s="47">
        <f t="shared" si="1"/>
        <v>0</v>
      </c>
    </row>
    <row r="18" spans="1:21">
      <c r="A18" s="44"/>
      <c r="B18" s="47"/>
    </row>
    <row r="19" spans="1:21">
      <c r="A19" s="50" t="s">
        <v>39</v>
      </c>
      <c r="B19" s="50" t="s">
        <v>40</v>
      </c>
      <c r="C19" s="51" t="s">
        <v>41</v>
      </c>
    </row>
    <row r="20" spans="1:21">
      <c r="A20" s="52">
        <v>40</v>
      </c>
      <c r="B20" s="52">
        <v>150</v>
      </c>
      <c r="C20" s="53">
        <v>1</v>
      </c>
    </row>
    <row r="21" spans="1:21">
      <c r="A21" s="50" t="s">
        <v>88</v>
      </c>
      <c r="Q21" s="91"/>
    </row>
    <row r="22" spans="1:21">
      <c r="A22" s="54"/>
      <c r="B22" s="88"/>
      <c r="C22" s="89"/>
      <c r="D22" s="160"/>
    </row>
    <row r="26" spans="1:21">
      <c r="K26" s="81"/>
      <c r="L26" s="57"/>
      <c r="M26" s="57"/>
      <c r="N26" s="57"/>
      <c r="O26" s="57"/>
      <c r="P26" s="57"/>
      <c r="Q26" s="57"/>
      <c r="R26" s="57"/>
      <c r="S26" s="57"/>
      <c r="T26" s="57"/>
      <c r="U26" s="58"/>
    </row>
    <row r="27" spans="1:21">
      <c r="K27" s="61"/>
      <c r="L27" s="59"/>
      <c r="M27" s="59"/>
      <c r="N27" s="59"/>
      <c r="O27" s="59"/>
      <c r="P27" s="59"/>
      <c r="Q27" s="59"/>
      <c r="R27" s="59"/>
      <c r="S27" s="59"/>
      <c r="T27" s="59"/>
      <c r="U27" s="60"/>
    </row>
    <row r="28" spans="1:21">
      <c r="K28" s="61"/>
      <c r="L28" s="59"/>
      <c r="M28" s="59"/>
      <c r="N28" s="59"/>
      <c r="O28" s="59"/>
      <c r="P28" s="59"/>
      <c r="Q28" s="59"/>
      <c r="R28" s="59"/>
      <c r="S28" s="59"/>
      <c r="T28" s="59"/>
      <c r="U28" s="60"/>
    </row>
    <row r="29" spans="1:21">
      <c r="K29" s="61"/>
      <c r="L29" s="59"/>
      <c r="M29" s="59"/>
      <c r="N29" s="59"/>
      <c r="O29" s="59"/>
      <c r="P29" s="59"/>
      <c r="Q29" s="59"/>
      <c r="R29" s="59"/>
      <c r="S29" s="59"/>
      <c r="T29" s="59"/>
      <c r="U29" s="60"/>
    </row>
    <row r="30" spans="1:21">
      <c r="K30" s="61"/>
      <c r="L30" s="59"/>
      <c r="M30" s="59"/>
      <c r="N30" s="59"/>
      <c r="O30" s="59"/>
      <c r="P30" s="59"/>
      <c r="Q30" s="59"/>
      <c r="R30" s="59"/>
      <c r="S30" s="59"/>
      <c r="T30" s="59"/>
      <c r="U30" s="60"/>
    </row>
    <row r="31" spans="1:21">
      <c r="K31" s="61"/>
      <c r="L31" s="59"/>
      <c r="M31" s="59"/>
      <c r="N31" s="59"/>
      <c r="O31" s="59"/>
      <c r="P31" s="59"/>
      <c r="Q31" s="59"/>
      <c r="R31" s="59"/>
      <c r="S31" s="59"/>
      <c r="T31" s="59"/>
      <c r="U31" s="60"/>
    </row>
    <row r="32" spans="1:21">
      <c r="A32" s="3" t="s">
        <v>239</v>
      </c>
      <c r="B32" s="12">
        <f>Data!B21</f>
        <v>16</v>
      </c>
      <c r="K32" s="61"/>
      <c r="L32" s="59"/>
      <c r="M32" s="59"/>
      <c r="N32" s="59"/>
      <c r="O32" s="59"/>
      <c r="P32" s="59"/>
      <c r="Q32" s="59"/>
      <c r="R32" s="59"/>
      <c r="S32" s="59"/>
      <c r="T32" s="59"/>
      <c r="U32" s="60"/>
    </row>
    <row r="33" spans="1:21" ht="10.5" customHeight="1">
      <c r="A33" s="3" t="s">
        <v>1</v>
      </c>
      <c r="B33" s="40">
        <f xml:space="preserve"> (Data!$B$21/2) + 1</f>
        <v>9</v>
      </c>
      <c r="C33" s="40">
        <f>IF(MOD(Data!$B$21,2) = 0, B33-1,B33)</f>
        <v>8</v>
      </c>
      <c r="K33" s="61"/>
      <c r="L33" s="59"/>
      <c r="M33" s="59"/>
      <c r="N33" s="59"/>
      <c r="O33" s="59"/>
      <c r="P33" s="59"/>
      <c r="Q33" s="59"/>
      <c r="R33" s="59"/>
      <c r="S33" s="59"/>
      <c r="T33" s="59"/>
      <c r="U33" s="60"/>
    </row>
    <row r="34" spans="1:21">
      <c r="A34" s="3" t="s">
        <v>135</v>
      </c>
      <c r="B34" s="12">
        <f>37+MATCH(A34,Data!A37:A57,0)-1</f>
        <v>39</v>
      </c>
      <c r="K34" s="61"/>
      <c r="L34" s="59"/>
      <c r="M34" s="59"/>
      <c r="N34" s="59"/>
      <c r="O34" s="59"/>
      <c r="P34" s="59"/>
      <c r="Q34" s="59"/>
      <c r="R34" s="59"/>
      <c r="S34" s="59"/>
      <c r="T34" s="59"/>
      <c r="U34" s="60"/>
    </row>
    <row r="35" spans="1:21">
      <c r="B35" s="41"/>
      <c r="C35" s="23">
        <f>C55</f>
        <v>0.1</v>
      </c>
      <c r="D35" s="23">
        <f>D55</f>
        <v>0.25</v>
      </c>
      <c r="E35" s="23">
        <f>E55</f>
        <v>0.5</v>
      </c>
      <c r="F35" s="23">
        <f>F55</f>
        <v>0.75</v>
      </c>
      <c r="G35" s="23">
        <f>G55</f>
        <v>0.9</v>
      </c>
      <c r="H35" s="4" t="s">
        <v>234</v>
      </c>
      <c r="I35" s="4" t="s">
        <v>233</v>
      </c>
      <c r="K35" s="61"/>
      <c r="L35" s="59"/>
      <c r="M35" s="59"/>
      <c r="N35" s="59"/>
      <c r="O35" s="59"/>
      <c r="P35" s="59"/>
      <c r="Q35" s="59"/>
      <c r="R35" s="59"/>
      <c r="S35" s="59"/>
      <c r="T35" s="59"/>
      <c r="U35" s="60"/>
    </row>
    <row r="36" spans="1:21">
      <c r="A36" s="90" t="s">
        <v>248</v>
      </c>
      <c r="B36" s="90">
        <v>91.326941694512996</v>
      </c>
      <c r="C36" s="40">
        <f ca="1">IF(ISNA($B36), 0, IF($B36&lt;C$56,1,0))</f>
        <v>0</v>
      </c>
      <c r="D36" s="40">
        <f ca="1">IF(ISNA($B36), 0, IF($B36&lt;D$56,1,0))</f>
        <v>0</v>
      </c>
      <c r="E36" s="40">
        <f ca="1">IF(ISNA($B36), 0, IF($B36&lt;E$56,1,0))</f>
        <v>0</v>
      </c>
      <c r="F36" s="40">
        <f ca="1">IF(ISNA($B36), 0, IF($B36&lt;F$56,1,0))</f>
        <v>0</v>
      </c>
      <c r="G36" s="40">
        <f ca="1">IF(ISNA($B36), 0, IF($B36&lt;G$56,1,0))</f>
        <v>0</v>
      </c>
      <c r="H36" s="4">
        <v>0</v>
      </c>
      <c r="I36" s="42">
        <f ca="1">SUM(C36:G36)</f>
        <v>0</v>
      </c>
      <c r="K36" s="61"/>
      <c r="L36" s="59"/>
      <c r="M36" s="59"/>
      <c r="N36" s="59"/>
      <c r="O36" s="59"/>
      <c r="P36" s="59"/>
      <c r="Q36" s="59"/>
      <c r="R36" s="59"/>
      <c r="S36" s="59"/>
      <c r="T36" s="59"/>
      <c r="U36" s="60"/>
    </row>
    <row r="37" spans="1:21">
      <c r="A37" s="3" t="s">
        <v>243</v>
      </c>
      <c r="B37" s="3">
        <v>68.190198438324202</v>
      </c>
      <c r="C37" s="40">
        <f t="shared" ref="C37:G51" ca="1" si="2">IF(ISNA($B37), 0, IF($B37&lt;C$56,1,0))</f>
        <v>0</v>
      </c>
      <c r="D37" s="40">
        <f t="shared" ca="1" si="2"/>
        <v>0</v>
      </c>
      <c r="E37" s="40">
        <f t="shared" ca="1" si="2"/>
        <v>0</v>
      </c>
      <c r="F37" s="40">
        <f t="shared" ca="1" si="2"/>
        <v>0</v>
      </c>
      <c r="G37" s="40">
        <f t="shared" ca="1" si="2"/>
        <v>1</v>
      </c>
      <c r="H37" s="4">
        <f t="shared" ref="H37:H51" si="3">H36+1</f>
        <v>1</v>
      </c>
      <c r="I37" s="42">
        <f t="shared" ref="I37:I51" ca="1" si="4">SUM(C37:G37)</f>
        <v>1</v>
      </c>
      <c r="K37" s="61"/>
      <c r="L37" s="59"/>
      <c r="M37" s="59"/>
      <c r="N37" s="59"/>
      <c r="O37" s="59"/>
      <c r="P37" s="59"/>
      <c r="Q37" s="59"/>
      <c r="R37" s="59"/>
      <c r="S37" s="59"/>
      <c r="T37" s="59"/>
      <c r="U37" s="60"/>
    </row>
    <row r="38" spans="1:21">
      <c r="A38" s="3" t="s">
        <v>245</v>
      </c>
      <c r="B38" s="3">
        <v>68.094290477182696</v>
      </c>
      <c r="C38" s="40">
        <f t="shared" ca="1" si="2"/>
        <v>0</v>
      </c>
      <c r="D38" s="40">
        <f t="shared" ca="1" si="2"/>
        <v>0</v>
      </c>
      <c r="E38" s="40">
        <f t="shared" ca="1" si="2"/>
        <v>0</v>
      </c>
      <c r="F38" s="40">
        <f t="shared" ca="1" si="2"/>
        <v>0</v>
      </c>
      <c r="G38" s="40">
        <f t="shared" ca="1" si="2"/>
        <v>1</v>
      </c>
      <c r="H38" s="4">
        <f t="shared" si="3"/>
        <v>2</v>
      </c>
      <c r="I38" s="42">
        <f t="shared" ca="1" si="4"/>
        <v>1</v>
      </c>
      <c r="K38" s="61"/>
      <c r="L38" s="59"/>
      <c r="M38" s="59"/>
      <c r="N38" s="59"/>
      <c r="O38" s="59"/>
      <c r="P38" s="59"/>
      <c r="Q38" s="59"/>
      <c r="R38" s="59"/>
      <c r="S38" s="59"/>
      <c r="T38" s="59"/>
      <c r="U38" s="60"/>
    </row>
    <row r="39" spans="1:21">
      <c r="A39" s="3" t="s">
        <v>241</v>
      </c>
      <c r="B39" s="3">
        <v>62.926936178739602</v>
      </c>
      <c r="C39" s="40">
        <f t="shared" ca="1" si="2"/>
        <v>0</v>
      </c>
      <c r="D39" s="40">
        <f t="shared" ca="1" si="2"/>
        <v>0</v>
      </c>
      <c r="E39" s="40">
        <f t="shared" ca="1" si="2"/>
        <v>0</v>
      </c>
      <c r="F39" s="40">
        <f t="shared" ca="1" si="2"/>
        <v>1</v>
      </c>
      <c r="G39" s="40">
        <f t="shared" ca="1" si="2"/>
        <v>1</v>
      </c>
      <c r="H39" s="4">
        <f t="shared" si="3"/>
        <v>3</v>
      </c>
      <c r="I39" s="42">
        <f t="shared" ca="1" si="4"/>
        <v>2</v>
      </c>
      <c r="K39" s="61"/>
      <c r="L39" s="59"/>
      <c r="M39" s="59"/>
      <c r="N39" s="59"/>
      <c r="O39" s="59"/>
      <c r="P39" s="59"/>
      <c r="Q39" s="59"/>
      <c r="R39" s="59"/>
      <c r="S39" s="59"/>
      <c r="T39" s="59"/>
      <c r="U39" s="60"/>
    </row>
    <row r="40" spans="1:21">
      <c r="A40" s="3" t="s">
        <v>138</v>
      </c>
      <c r="B40" s="3">
        <v>59.834524499388301</v>
      </c>
      <c r="C40" s="40">
        <f t="shared" ca="1" si="2"/>
        <v>0</v>
      </c>
      <c r="D40" s="40">
        <f t="shared" ca="1" si="2"/>
        <v>0</v>
      </c>
      <c r="E40" s="40">
        <f t="shared" ca="1" si="2"/>
        <v>0</v>
      </c>
      <c r="F40" s="40">
        <f t="shared" ca="1" si="2"/>
        <v>1</v>
      </c>
      <c r="G40" s="40">
        <f t="shared" ca="1" si="2"/>
        <v>1</v>
      </c>
      <c r="H40" s="4">
        <f t="shared" si="3"/>
        <v>4</v>
      </c>
      <c r="I40" s="42">
        <f t="shared" ca="1" si="4"/>
        <v>2</v>
      </c>
      <c r="K40" s="61"/>
      <c r="L40" s="59"/>
      <c r="M40" s="59"/>
      <c r="N40" s="59"/>
      <c r="O40" s="59"/>
      <c r="P40" s="59"/>
      <c r="Q40" s="59"/>
      <c r="R40" s="59"/>
      <c r="S40" s="59"/>
      <c r="T40" s="59"/>
      <c r="U40" s="60"/>
    </row>
    <row r="41" spans="1:21">
      <c r="A41" s="3" t="s">
        <v>247</v>
      </c>
      <c r="B41" s="3">
        <v>59.011586452762899</v>
      </c>
      <c r="C41" s="40">
        <f t="shared" ca="1" si="2"/>
        <v>0</v>
      </c>
      <c r="D41" s="40">
        <f t="shared" ca="1" si="2"/>
        <v>0</v>
      </c>
      <c r="E41" s="40">
        <f t="shared" ca="1" si="2"/>
        <v>0</v>
      </c>
      <c r="F41" s="40">
        <f t="shared" ca="1" si="2"/>
        <v>1</v>
      </c>
      <c r="G41" s="40">
        <f t="shared" ca="1" si="2"/>
        <v>1</v>
      </c>
      <c r="H41" s="4">
        <f t="shared" si="3"/>
        <v>5</v>
      </c>
      <c r="I41" s="42">
        <f t="shared" ca="1" si="4"/>
        <v>2</v>
      </c>
      <c r="K41" s="61"/>
      <c r="L41" s="59"/>
      <c r="M41" s="59"/>
      <c r="N41" s="59"/>
      <c r="O41" s="59"/>
      <c r="P41" s="59"/>
      <c r="Q41" s="59"/>
      <c r="R41" s="59"/>
      <c r="S41" s="59"/>
      <c r="T41" s="59"/>
      <c r="U41" s="60"/>
    </row>
    <row r="42" spans="1:21">
      <c r="A42" s="3" t="s">
        <v>137</v>
      </c>
      <c r="B42" s="3">
        <v>57.036816186049897</v>
      </c>
      <c r="C42" s="40">
        <f t="shared" ca="1" si="2"/>
        <v>0</v>
      </c>
      <c r="D42" s="40">
        <f t="shared" ca="1" si="2"/>
        <v>0</v>
      </c>
      <c r="E42" s="40">
        <f t="shared" ca="1" si="2"/>
        <v>0</v>
      </c>
      <c r="F42" s="40">
        <f t="shared" ca="1" si="2"/>
        <v>1</v>
      </c>
      <c r="G42" s="40">
        <f t="shared" ca="1" si="2"/>
        <v>1</v>
      </c>
      <c r="H42" s="4">
        <f t="shared" si="3"/>
        <v>6</v>
      </c>
      <c r="I42" s="42">
        <f t="shared" ca="1" si="4"/>
        <v>2</v>
      </c>
      <c r="K42" s="61"/>
      <c r="L42" s="59"/>
      <c r="M42" s="59"/>
      <c r="N42" s="59"/>
      <c r="O42" s="59"/>
      <c r="P42" s="59"/>
      <c r="Q42" s="59"/>
      <c r="R42" s="59"/>
      <c r="S42" s="59"/>
      <c r="T42" s="59"/>
      <c r="U42" s="60"/>
    </row>
    <row r="43" spans="1:21">
      <c r="A43" s="3" t="s">
        <v>240</v>
      </c>
      <c r="B43" s="3">
        <v>55.852951510892503</v>
      </c>
      <c r="C43" s="40">
        <f t="shared" ca="1" si="2"/>
        <v>0</v>
      </c>
      <c r="D43" s="40">
        <f t="shared" ca="1" si="2"/>
        <v>0</v>
      </c>
      <c r="E43" s="40">
        <f t="shared" ca="1" si="2"/>
        <v>1</v>
      </c>
      <c r="F43" s="40">
        <f t="shared" ca="1" si="2"/>
        <v>1</v>
      </c>
      <c r="G43" s="40">
        <f t="shared" ca="1" si="2"/>
        <v>1</v>
      </c>
      <c r="H43" s="4">
        <f t="shared" si="3"/>
        <v>7</v>
      </c>
      <c r="I43" s="42">
        <f t="shared" ca="1" si="4"/>
        <v>3</v>
      </c>
      <c r="K43" s="61"/>
      <c r="L43" s="59"/>
      <c r="M43" s="59"/>
      <c r="N43" s="59"/>
      <c r="O43" s="59"/>
      <c r="P43" s="59"/>
      <c r="Q43" s="59"/>
      <c r="R43" s="59"/>
      <c r="S43" s="59"/>
      <c r="T43" s="59"/>
      <c r="U43" s="60"/>
    </row>
    <row r="44" spans="1:21">
      <c r="A44" s="3" t="s">
        <v>244</v>
      </c>
      <c r="B44" s="3">
        <v>49.977495409297298</v>
      </c>
      <c r="C44" s="40">
        <f t="shared" ca="1" si="2"/>
        <v>0</v>
      </c>
      <c r="D44" s="40">
        <f t="shared" ca="1" si="2"/>
        <v>1</v>
      </c>
      <c r="E44" s="40">
        <f t="shared" ca="1" si="2"/>
        <v>1</v>
      </c>
      <c r="F44" s="40">
        <f t="shared" ca="1" si="2"/>
        <v>1</v>
      </c>
      <c r="G44" s="40">
        <f t="shared" ca="1" si="2"/>
        <v>1</v>
      </c>
      <c r="H44" s="4">
        <f t="shared" si="3"/>
        <v>8</v>
      </c>
      <c r="I44" s="42">
        <f t="shared" ca="1" si="4"/>
        <v>4</v>
      </c>
      <c r="K44" s="61"/>
      <c r="L44" s="59"/>
      <c r="M44" s="59"/>
      <c r="N44" s="59"/>
      <c r="O44" s="59"/>
      <c r="P44" s="59"/>
      <c r="Q44" s="59"/>
      <c r="R44" s="59"/>
      <c r="S44" s="59"/>
      <c r="T44" s="59"/>
      <c r="U44" s="60"/>
    </row>
    <row r="45" spans="1:21">
      <c r="A45" s="3" t="s">
        <v>246</v>
      </c>
      <c r="B45" s="3">
        <v>48.656083505490898</v>
      </c>
      <c r="C45" s="40">
        <f t="shared" ca="1" si="2"/>
        <v>0</v>
      </c>
      <c r="D45" s="40">
        <f t="shared" ca="1" si="2"/>
        <v>1</v>
      </c>
      <c r="E45" s="40">
        <f t="shared" ca="1" si="2"/>
        <v>1</v>
      </c>
      <c r="F45" s="40">
        <f t="shared" ca="1" si="2"/>
        <v>1</v>
      </c>
      <c r="G45" s="40">
        <f t="shared" ca="1" si="2"/>
        <v>1</v>
      </c>
      <c r="H45" s="4">
        <f t="shared" si="3"/>
        <v>9</v>
      </c>
      <c r="I45" s="42">
        <f t="shared" ca="1" si="4"/>
        <v>4</v>
      </c>
      <c r="K45" s="61"/>
      <c r="L45" s="59"/>
      <c r="M45" s="59"/>
      <c r="N45" s="59"/>
      <c r="O45" s="59"/>
      <c r="P45" s="59"/>
      <c r="Q45" s="59"/>
      <c r="R45" s="59"/>
      <c r="S45" s="59"/>
      <c r="T45" s="59"/>
      <c r="U45" s="60"/>
    </row>
    <row r="46" spans="1:21">
      <c r="A46" s="3" t="s">
        <v>242</v>
      </c>
      <c r="B46" s="3">
        <v>45.282515852374999</v>
      </c>
      <c r="C46" s="40">
        <f t="shared" ca="1" si="2"/>
        <v>0</v>
      </c>
      <c r="D46" s="40">
        <f t="shared" ca="1" si="2"/>
        <v>1</v>
      </c>
      <c r="E46" s="40">
        <f t="shared" ca="1" si="2"/>
        <v>1</v>
      </c>
      <c r="F46" s="40">
        <f t="shared" ca="1" si="2"/>
        <v>1</v>
      </c>
      <c r="G46" s="40">
        <f t="shared" ca="1" si="2"/>
        <v>1</v>
      </c>
      <c r="H46" s="4">
        <f t="shared" si="3"/>
        <v>10</v>
      </c>
      <c r="I46" s="42">
        <f t="shared" ca="1" si="4"/>
        <v>4</v>
      </c>
      <c r="K46" s="61"/>
      <c r="L46" s="59"/>
      <c r="M46" s="59"/>
      <c r="N46" s="59"/>
      <c r="O46" s="59"/>
      <c r="P46" s="59"/>
      <c r="Q46" s="59"/>
      <c r="R46" s="59"/>
      <c r="S46" s="59"/>
      <c r="T46" s="59"/>
      <c r="U46" s="60"/>
    </row>
    <row r="47" spans="1:21">
      <c r="A47" s="3" t="s">
        <v>249</v>
      </c>
      <c r="B47" s="3">
        <v>40.109675520958703</v>
      </c>
      <c r="C47" s="40">
        <f t="shared" ca="1" si="2"/>
        <v>1</v>
      </c>
      <c r="D47" s="40">
        <f t="shared" ca="1" si="2"/>
        <v>1</v>
      </c>
      <c r="E47" s="40">
        <f t="shared" ca="1" si="2"/>
        <v>1</v>
      </c>
      <c r="F47" s="40">
        <f t="shared" ca="1" si="2"/>
        <v>1</v>
      </c>
      <c r="G47" s="40">
        <f t="shared" ca="1" si="2"/>
        <v>1</v>
      </c>
      <c r="H47" s="4">
        <f t="shared" si="3"/>
        <v>11</v>
      </c>
      <c r="I47" s="42">
        <f t="shared" ca="1" si="4"/>
        <v>5</v>
      </c>
      <c r="K47" s="61"/>
      <c r="L47" s="59"/>
      <c r="M47" s="59"/>
      <c r="N47" s="59"/>
      <c r="O47" s="59"/>
      <c r="P47" s="59"/>
      <c r="Q47" s="59"/>
      <c r="R47" s="59"/>
      <c r="S47" s="59"/>
      <c r="T47" s="59"/>
      <c r="U47" s="60"/>
    </row>
    <row r="48" spans="1:21" ht="11.25" customHeight="1">
      <c r="A48"/>
      <c r="B48"/>
      <c r="C48" s="40">
        <f t="shared" ca="1" si="2"/>
        <v>1</v>
      </c>
      <c r="D48" s="40">
        <f t="shared" ca="1" si="2"/>
        <v>1</v>
      </c>
      <c r="E48" s="40">
        <f t="shared" ca="1" si="2"/>
        <v>1</v>
      </c>
      <c r="F48" s="40">
        <f t="shared" ca="1" si="2"/>
        <v>1</v>
      </c>
      <c r="G48" s="40">
        <f t="shared" ca="1" si="2"/>
        <v>1</v>
      </c>
      <c r="H48" s="4">
        <f t="shared" si="3"/>
        <v>12</v>
      </c>
      <c r="I48" s="42">
        <f t="shared" ca="1" si="4"/>
        <v>5</v>
      </c>
      <c r="K48" s="61"/>
      <c r="L48" s="59"/>
      <c r="M48" s="59"/>
      <c r="N48" s="59"/>
      <c r="O48" s="59"/>
      <c r="P48" s="59"/>
      <c r="Q48" s="59"/>
      <c r="R48" s="59"/>
      <c r="S48" s="59"/>
      <c r="T48" s="59"/>
      <c r="U48" s="60"/>
    </row>
    <row r="49" spans="1:21" ht="11.25" customHeight="1">
      <c r="A49"/>
      <c r="B49"/>
      <c r="C49" s="40">
        <f t="shared" ca="1" si="2"/>
        <v>1</v>
      </c>
      <c r="D49" s="40">
        <f t="shared" ca="1" si="2"/>
        <v>1</v>
      </c>
      <c r="E49" s="40">
        <f t="shared" ca="1" si="2"/>
        <v>1</v>
      </c>
      <c r="F49" s="40">
        <f t="shared" ca="1" si="2"/>
        <v>1</v>
      </c>
      <c r="G49" s="40">
        <f t="shared" ca="1" si="2"/>
        <v>1</v>
      </c>
      <c r="H49" s="4">
        <f t="shared" si="3"/>
        <v>13</v>
      </c>
      <c r="I49" s="42">
        <f t="shared" ca="1" si="4"/>
        <v>5</v>
      </c>
      <c r="K49" s="61"/>
      <c r="L49" s="59"/>
      <c r="M49" s="59"/>
      <c r="N49" s="59"/>
      <c r="O49" s="59"/>
      <c r="P49" s="59"/>
      <c r="Q49" s="59"/>
      <c r="R49" s="59"/>
      <c r="S49" s="59"/>
      <c r="T49" s="59"/>
      <c r="U49" s="60"/>
    </row>
    <row r="50" spans="1:21" ht="11.25" customHeight="1">
      <c r="A50"/>
      <c r="B50"/>
      <c r="C50" s="40">
        <f t="shared" ca="1" si="2"/>
        <v>1</v>
      </c>
      <c r="D50" s="40">
        <f t="shared" ca="1" si="2"/>
        <v>1</v>
      </c>
      <c r="E50" s="40">
        <f t="shared" ca="1" si="2"/>
        <v>1</v>
      </c>
      <c r="F50" s="40">
        <f t="shared" ca="1" si="2"/>
        <v>1</v>
      </c>
      <c r="G50" s="40">
        <f t="shared" ca="1" si="2"/>
        <v>1</v>
      </c>
      <c r="H50" s="4">
        <f t="shared" si="3"/>
        <v>14</v>
      </c>
      <c r="I50" s="42">
        <f t="shared" ca="1" si="4"/>
        <v>5</v>
      </c>
      <c r="K50" s="61"/>
      <c r="L50" s="59"/>
      <c r="M50" s="59"/>
      <c r="N50" s="59"/>
      <c r="O50" s="59"/>
      <c r="P50" s="59"/>
      <c r="Q50" s="59"/>
      <c r="R50" s="59"/>
      <c r="S50" s="59"/>
      <c r="T50" s="59"/>
      <c r="U50" s="60"/>
    </row>
    <row r="51" spans="1:21" ht="10.5" customHeight="1">
      <c r="A51"/>
      <c r="B51"/>
      <c r="C51" s="40">
        <f t="shared" ca="1" si="2"/>
        <v>1</v>
      </c>
      <c r="D51" s="40">
        <f t="shared" ca="1" si="2"/>
        <v>1</v>
      </c>
      <c r="E51" s="40">
        <f t="shared" ca="1" si="2"/>
        <v>1</v>
      </c>
      <c r="F51" s="40">
        <f t="shared" ca="1" si="2"/>
        <v>1</v>
      </c>
      <c r="G51" s="40">
        <f t="shared" ca="1" si="2"/>
        <v>1</v>
      </c>
      <c r="H51" s="4">
        <f t="shared" si="3"/>
        <v>15</v>
      </c>
      <c r="I51" s="42">
        <f t="shared" ca="1" si="4"/>
        <v>5</v>
      </c>
      <c r="K51" s="61"/>
      <c r="L51" s="59"/>
      <c r="M51" s="59"/>
      <c r="N51" s="59"/>
      <c r="O51" s="59"/>
      <c r="P51" s="59"/>
      <c r="Q51" s="59"/>
      <c r="R51" s="59"/>
      <c r="S51" s="59"/>
      <c r="T51" s="59"/>
      <c r="U51" s="60"/>
    </row>
    <row r="52" spans="1:21" ht="11.25" customHeight="1">
      <c r="A52"/>
      <c r="B52"/>
      <c r="C52"/>
      <c r="D52"/>
      <c r="E52"/>
      <c r="F52"/>
      <c r="G52"/>
      <c r="H52"/>
      <c r="I52"/>
      <c r="K52" s="61"/>
      <c r="L52" s="59"/>
      <c r="M52" s="59"/>
      <c r="N52" s="59"/>
      <c r="O52" s="59"/>
      <c r="P52" s="59"/>
      <c r="Q52" s="59"/>
      <c r="R52" s="59"/>
      <c r="S52" s="59"/>
      <c r="T52" s="59"/>
      <c r="U52" s="60"/>
    </row>
    <row r="53" spans="1:21" ht="11.25" customHeight="1">
      <c r="A53"/>
      <c r="B53"/>
      <c r="C53"/>
      <c r="D53"/>
      <c r="E53"/>
      <c r="F53"/>
      <c r="G53"/>
      <c r="H53"/>
      <c r="I53"/>
      <c r="K53" s="61"/>
      <c r="L53" s="59"/>
      <c r="M53" s="59"/>
      <c r="N53" s="59"/>
      <c r="O53" s="59"/>
      <c r="P53" s="59"/>
      <c r="Q53" s="59"/>
      <c r="R53" s="59"/>
      <c r="S53" s="59"/>
      <c r="T53" s="59"/>
      <c r="U53" s="60"/>
    </row>
    <row r="54" spans="1:21" ht="10.5" customHeight="1">
      <c r="A54"/>
      <c r="B54"/>
      <c r="K54" s="61"/>
      <c r="L54" s="59"/>
      <c r="M54" s="59"/>
      <c r="N54" s="59"/>
      <c r="O54" s="59"/>
      <c r="P54" s="59"/>
      <c r="Q54" s="59"/>
      <c r="R54" s="59"/>
      <c r="S54" s="59"/>
      <c r="T54" s="59"/>
      <c r="U54" s="60"/>
    </row>
    <row r="55" spans="1:21">
      <c r="B55" s="65" t="s">
        <v>201</v>
      </c>
      <c r="C55" s="43">
        <v>0.1</v>
      </c>
      <c r="D55" s="43">
        <v>0.25</v>
      </c>
      <c r="E55" s="43">
        <v>0.5</v>
      </c>
      <c r="F55" s="43">
        <v>0.75</v>
      </c>
      <c r="G55" s="43">
        <v>0.9</v>
      </c>
      <c r="H55" s="43" t="s">
        <v>202</v>
      </c>
      <c r="I55" s="43" t="s">
        <v>203</v>
      </c>
      <c r="J55" s="4"/>
      <c r="K55" s="61"/>
      <c r="L55" s="59"/>
      <c r="M55" s="59"/>
      <c r="N55" s="59"/>
      <c r="O55" s="59"/>
      <c r="P55" s="59"/>
      <c r="Q55" s="59"/>
      <c r="R55" s="59"/>
      <c r="S55" s="59"/>
      <c r="T55" s="59"/>
      <c r="U55" s="60"/>
    </row>
    <row r="56" spans="1:21">
      <c r="A56" s="3" t="str" cm="1">
        <f t="array" aca="1" ref="A56" ca="1">INDIRECT("DATA!" &amp; ADDRESS($B$34,1))</f>
        <v>DIO</v>
      </c>
      <c r="B56" s="3" cm="1">
        <f t="array" aca="1" ref="B56" ca="1">INDIRECT("DATA!" &amp; ADDRESS($B$34,4))</f>
        <v>35.54620150862069</v>
      </c>
      <c r="C56" s="3" cm="1">
        <f t="array" aca="1" ref="C56" ca="1">INDIRECT("DATA!" &amp; ADDRESS($B$34,5))</f>
        <v>41.175752819641588</v>
      </c>
      <c r="D56" s="3" cm="1">
        <f t="array" aca="1" ref="D56" ca="1">INDIRECT("DATA!" &amp; ADDRESS($B$34,6))</f>
        <v>50.949169629512816</v>
      </c>
      <c r="E56" s="3" cm="1">
        <f t="array" aca="1" ref="E56" ca="1">INDIRECT("DATA!" &amp; ADDRESS($B$34,7))</f>
        <v>56.813953724537605</v>
      </c>
      <c r="F56" s="3" cm="1">
        <f t="array" aca="1" ref="F56" ca="1">INDIRECT("DATA!" &amp; ADDRESS($B$34,8))</f>
        <v>64.218774753350374</v>
      </c>
      <c r="G56" s="3" cm="1">
        <f t="array" aca="1" ref="G56" ca="1">INDIRECT("DATA!" &amp; ADDRESS($B$34,9))</f>
        <v>82.799994905267141</v>
      </c>
      <c r="H56" s="3" cm="1">
        <f t="array" aca="1" ref="H56" ca="1">INDIRECT("DATA!" &amp; ADDRESS($B$34,10))</f>
        <v>112.87094918002772</v>
      </c>
      <c r="I56" s="3" cm="1">
        <f t="array" aca="1" ref="I56" ca="1">INDIRECT("DATA!" &amp; ADDRESS($B$34,11))</f>
        <v>55.852951510892481</v>
      </c>
      <c r="K56" s="61"/>
      <c r="L56" s="59"/>
      <c r="M56" s="59"/>
      <c r="N56" s="59"/>
      <c r="O56" s="59"/>
      <c r="P56" s="59"/>
      <c r="Q56" s="59"/>
      <c r="R56" s="59"/>
      <c r="S56" s="59"/>
      <c r="T56" s="59"/>
      <c r="U56" s="60"/>
    </row>
    <row r="57" spans="1:21">
      <c r="B57" s="3">
        <f t="shared" ref="B57:I57" ca="1" si="5">ROUND(B56,0)</f>
        <v>36</v>
      </c>
      <c r="C57" s="3">
        <f t="shared" ca="1" si="5"/>
        <v>41</v>
      </c>
      <c r="D57" s="3">
        <f t="shared" ca="1" si="5"/>
        <v>51</v>
      </c>
      <c r="E57" s="3">
        <f t="shared" ca="1" si="5"/>
        <v>57</v>
      </c>
      <c r="F57" s="3">
        <f t="shared" ca="1" si="5"/>
        <v>64</v>
      </c>
      <c r="G57" s="3">
        <f t="shared" ca="1" si="5"/>
        <v>83</v>
      </c>
      <c r="H57" s="3">
        <f t="shared" ca="1" si="5"/>
        <v>113</v>
      </c>
      <c r="I57" s="3">
        <f t="shared" ca="1" si="5"/>
        <v>56</v>
      </c>
      <c r="K57" s="61"/>
      <c r="L57" s="59"/>
      <c r="M57" s="59"/>
      <c r="N57" s="59"/>
      <c r="O57" s="59"/>
      <c r="P57" s="59"/>
      <c r="Q57" s="59"/>
      <c r="R57" s="59"/>
      <c r="S57" s="59"/>
      <c r="T57" s="59"/>
      <c r="U57" s="60"/>
    </row>
    <row r="58" spans="1:21">
      <c r="J58" s="12"/>
      <c r="K58" s="61"/>
      <c r="L58" s="59"/>
      <c r="M58" s="59"/>
      <c r="N58" s="59"/>
      <c r="O58" s="59"/>
      <c r="P58" s="59"/>
      <c r="Q58" s="59"/>
      <c r="R58" s="59"/>
      <c r="S58" s="59"/>
      <c r="T58" s="59"/>
      <c r="U58" s="60"/>
    </row>
    <row r="59" spans="1:21">
      <c r="K59" s="62"/>
      <c r="L59" s="63"/>
      <c r="M59" s="63"/>
      <c r="N59" s="63"/>
      <c r="O59" s="63"/>
      <c r="P59" s="63"/>
      <c r="Q59" s="63"/>
      <c r="R59" s="63"/>
      <c r="S59" s="63"/>
      <c r="T59" s="63"/>
      <c r="U59" s="64"/>
    </row>
    <row r="61" spans="1:21">
      <c r="A61" s="3" t="s">
        <v>485</v>
      </c>
      <c r="B61" s="3" cm="1">
        <f t="array" aca="1" ref="B61" ca="1">INDIRECT("DATA!" &amp; ADDRESS($B$34,16))</f>
        <v>0.5</v>
      </c>
    </row>
    <row r="65" spans="1:5">
      <c r="A65" s="31" t="s">
        <v>652</v>
      </c>
      <c r="B65" s="31" t="s">
        <v>651</v>
      </c>
      <c r="C65" s="31"/>
      <c r="D65" s="31" t="s">
        <v>633</v>
      </c>
      <c r="E65" s="31"/>
    </row>
    <row r="66" spans="1:5">
      <c r="A66" s="144">
        <v>0</v>
      </c>
      <c r="B66" s="7" t="str" cm="1">
        <f t="array" ref="B66">DATA(A66+2,139)</f>
        <v>Brf Sa</v>
      </c>
      <c r="C66" s="7"/>
      <c r="D66" s="7" t="b" cm="1">
        <f t="array" aca="1" ref="D66" ca="1">_xlfn.IFNA(DATA($B$34,40+$A66),FALSE)</f>
        <v>1</v>
      </c>
      <c r="E66" s="7" t="str">
        <f ca="1">IF(D66,B66,"")</f>
        <v>Brf Sa</v>
      </c>
    </row>
    <row r="67" spans="1:5">
      <c r="A67" s="144">
        <f t="shared" ref="A67:A81" si="6">A66+1</f>
        <v>1</v>
      </c>
      <c r="B67" s="7" t="str" cm="1">
        <f t="array" ref="B67">DATA(A67+2,139)</f>
        <v>Campbell Soup Co</v>
      </c>
      <c r="C67" s="7"/>
      <c r="D67" s="7" t="b" cm="1">
        <f t="array" aca="1" ref="D67" ca="1">_xlfn.IFNA(DATA($B$34,40+$A67),FALSE)</f>
        <v>0</v>
      </c>
      <c r="E67" s="7" t="str">
        <f t="shared" ref="E67:E82" ca="1" si="7">IF(D67,B67,"")</f>
        <v/>
      </c>
    </row>
    <row r="68" spans="1:5">
      <c r="A68" s="144">
        <f t="shared" si="6"/>
        <v>2</v>
      </c>
      <c r="B68" s="7" t="str" cm="1">
        <f t="array" ref="B68">DATA(A68+2,139)</f>
        <v>Conagra Brands Inc</v>
      </c>
      <c r="C68" s="7"/>
      <c r="D68" s="7" t="b" cm="1">
        <f t="array" aca="1" ref="D68" ca="1">_xlfn.IFNA(DATA($B$34,40+$A68),FALSE)</f>
        <v>0</v>
      </c>
      <c r="E68" s="7" t="str">
        <f t="shared" ca="1" si="7"/>
        <v/>
      </c>
    </row>
    <row r="69" spans="1:5">
      <c r="A69" s="144">
        <f t="shared" si="6"/>
        <v>3</v>
      </c>
      <c r="B69" s="7" t="str" cm="1">
        <f t="array" ref="B69">DATA(A69+2,139)</f>
        <v>Danone S.A.</v>
      </c>
      <c r="C69" s="7"/>
      <c r="D69" s="7" t="b" cm="1">
        <f t="array" aca="1" ref="D69" ca="1">_xlfn.IFNA(DATA($B$34,40+$A69),FALSE)</f>
        <v>0</v>
      </c>
      <c r="E69" s="7" t="str">
        <f t="shared" ca="1" si="7"/>
        <v/>
      </c>
    </row>
    <row r="70" spans="1:5">
      <c r="A70" s="144">
        <f t="shared" si="6"/>
        <v>4</v>
      </c>
      <c r="B70" s="7" t="str" cm="1">
        <f t="array" ref="B70">DATA(A70+2,139)</f>
        <v>General Mills Inc</v>
      </c>
      <c r="C70" s="7"/>
      <c r="D70" s="7" t="b" cm="1">
        <f t="array" aca="1" ref="D70" ca="1">_xlfn.IFNA(DATA($B$34,40+$A70),FALSE)</f>
        <v>0</v>
      </c>
      <c r="E70" s="7" t="str">
        <f t="shared" ca="1" si="7"/>
        <v/>
      </c>
    </row>
    <row r="71" spans="1:5">
      <c r="A71" s="144">
        <f t="shared" si="6"/>
        <v>5</v>
      </c>
      <c r="B71" s="7" t="str" cm="1">
        <f t="array" ref="B71">DATA(A71+2,139)</f>
        <v>Hain Celestial</v>
      </c>
      <c r="C71" s="7"/>
      <c r="D71" s="7" t="b" cm="1">
        <f t="array" aca="1" ref="D71" ca="1">_xlfn.IFNA(DATA($B$34,40+$A71),FALSE)</f>
        <v>0</v>
      </c>
      <c r="E71" s="7" t="str">
        <f t="shared" ca="1" si="7"/>
        <v/>
      </c>
    </row>
    <row r="72" spans="1:5">
      <c r="A72" s="144">
        <f t="shared" si="6"/>
        <v>6</v>
      </c>
      <c r="B72" s="7" t="str" cm="1">
        <f t="array" ref="B72">DATA(A72+2,139)</f>
        <v>Hershey Co</v>
      </c>
      <c r="C72" s="7"/>
      <c r="D72" s="7" t="b" cm="1">
        <f t="array" aca="1" ref="D72" ca="1">_xlfn.IFNA(DATA($B$34,40+$A72),FALSE)</f>
        <v>0</v>
      </c>
      <c r="E72" s="7" t="str">
        <f t="shared" ca="1" si="7"/>
        <v/>
      </c>
    </row>
    <row r="73" spans="1:5">
      <c r="A73" s="144">
        <f t="shared" si="6"/>
        <v>7</v>
      </c>
      <c r="B73" s="7" t="str" cm="1">
        <f t="array" ref="B73">DATA(A73+2,139)</f>
        <v>Hormel Foods Corp</v>
      </c>
      <c r="C73" s="7"/>
      <c r="D73" s="7" t="b" cm="1">
        <f t="array" aca="1" ref="D73" ca="1">_xlfn.IFNA(DATA($B$34,40+$A73),FALSE)</f>
        <v>0</v>
      </c>
      <c r="E73" s="7" t="str">
        <f t="shared" ca="1" si="7"/>
        <v/>
      </c>
    </row>
    <row r="74" spans="1:5">
      <c r="A74" s="144">
        <f t="shared" si="6"/>
        <v>8</v>
      </c>
      <c r="B74" s="7" t="str" cm="1">
        <f t="array" ref="B74">DATA(A74+2,139)</f>
        <v>J M Smucker Co</v>
      </c>
      <c r="C74" s="7"/>
      <c r="D74" s="7" t="b" cm="1">
        <f t="array" aca="1" ref="D74" ca="1">_xlfn.IFNA(DATA($B$34,40+$A74),FALSE)</f>
        <v>0</v>
      </c>
      <c r="E74" s="7" t="str">
        <f t="shared" ca="1" si="7"/>
        <v/>
      </c>
    </row>
    <row r="75" spans="1:5">
      <c r="A75" s="144">
        <f t="shared" si="6"/>
        <v>9</v>
      </c>
      <c r="B75" s="7" t="str" cm="1">
        <f t="array" ref="B75">DATA(A75+2,139)</f>
        <v>Kellogg Co</v>
      </c>
      <c r="C75" s="7"/>
      <c r="D75" s="7" t="b" cm="1">
        <f t="array" aca="1" ref="D75" ca="1">_xlfn.IFNA(DATA($B$34,40+$A75),FALSE)</f>
        <v>0</v>
      </c>
      <c r="E75" s="7" t="str">
        <f t="shared" ca="1" si="7"/>
        <v/>
      </c>
    </row>
    <row r="76" spans="1:5">
      <c r="A76" s="144">
        <f t="shared" si="6"/>
        <v>10</v>
      </c>
      <c r="B76" s="7" t="str" cm="1">
        <f t="array" ref="B76">DATA(A76+2,139)</f>
        <v>Kraft Heinz Co</v>
      </c>
      <c r="C76" s="7"/>
      <c r="D76" s="7" t="b" cm="1">
        <f t="array" aca="1" ref="D76" ca="1">_xlfn.IFNA(DATA($B$34,40+$A76),FALSE)</f>
        <v>0</v>
      </c>
      <c r="E76" s="7" t="str">
        <f t="shared" ca="1" si="7"/>
        <v/>
      </c>
    </row>
    <row r="77" spans="1:5">
      <c r="A77" s="144">
        <f t="shared" si="6"/>
        <v>11</v>
      </c>
      <c r="B77" s="7" t="str" cm="1">
        <f t="array" ref="B77">DATA(A77+2,139)</f>
        <v>Lamb Weston</v>
      </c>
      <c r="C77" s="7"/>
      <c r="D77" s="7" t="b" cm="1">
        <f t="array" aca="1" ref="D77" ca="1">_xlfn.IFNA(DATA($B$34,40+$A77),FALSE)</f>
        <v>0</v>
      </c>
      <c r="E77" s="7" t="str">
        <f t="shared" ca="1" si="7"/>
        <v/>
      </c>
    </row>
    <row r="78" spans="1:5">
      <c r="A78" s="144">
        <f t="shared" si="6"/>
        <v>12</v>
      </c>
      <c r="B78" s="7" t="str" cm="1">
        <f t="array" ref="B78">DATA(A78+2,139)</f>
        <v>Mccormick &amp; Co Inc</v>
      </c>
      <c r="C78" s="7"/>
      <c r="D78" s="7" t="b" cm="1">
        <f t="array" aca="1" ref="D78" ca="1">_xlfn.IFNA(DATA($B$34,40+$A78),FALSE)</f>
        <v>1</v>
      </c>
      <c r="E78" s="7" t="str">
        <f t="shared" ca="1" si="7"/>
        <v>Mccormick &amp; Co Inc</v>
      </c>
    </row>
    <row r="79" spans="1:5">
      <c r="A79" s="144">
        <f t="shared" si="6"/>
        <v>13</v>
      </c>
      <c r="B79" s="7" t="str" cm="1">
        <f t="array" ref="B79">DATA(A79+2,139)</f>
        <v>Mondelez</v>
      </c>
      <c r="C79" s="7"/>
      <c r="D79" s="7" t="b" cm="1">
        <f t="array" aca="1" ref="D79" ca="1">_xlfn.IFNA(DATA($B$34,40+$A79),FALSE)</f>
        <v>0</v>
      </c>
      <c r="E79" s="7" t="str">
        <f t="shared" ca="1" si="7"/>
        <v/>
      </c>
    </row>
    <row r="80" spans="1:5">
      <c r="A80" s="144">
        <f t="shared" si="6"/>
        <v>14</v>
      </c>
      <c r="B80" s="7" t="str" cm="1">
        <f t="array" ref="B80">DATA(A80+2,139)</f>
        <v>Pilgrims Pride Corp</v>
      </c>
      <c r="C80" s="7"/>
      <c r="D80" s="7" t="b" cm="1">
        <f t="array" aca="1" ref="D80" ca="1">_xlfn.IFNA(DATA($B$34,40+$A80),FALSE)</f>
        <v>0</v>
      </c>
      <c r="E80" s="7" t="str">
        <f t="shared" ca="1" si="7"/>
        <v/>
      </c>
    </row>
    <row r="81" spans="1:5">
      <c r="A81" s="144">
        <f t="shared" si="6"/>
        <v>15</v>
      </c>
      <c r="B81" s="7" t="str" cm="1">
        <f t="array" ref="B81">DATA(A81+2,139)</f>
        <v>Tyson Foods Inc</v>
      </c>
      <c r="C81" s="7"/>
      <c r="D81" s="7" t="b" cm="1">
        <f t="array" aca="1" ref="D81" ca="1">_xlfn.IFNA(DATA($B$34,40+$A81),FALSE)</f>
        <v>0</v>
      </c>
      <c r="E81" s="7" t="str">
        <f t="shared" ca="1" si="7"/>
        <v/>
      </c>
    </row>
    <row r="82" spans="1:5">
      <c r="A82" s="144"/>
      <c r="B82" s="7"/>
      <c r="C82" s="7"/>
      <c r="D82" s="7"/>
      <c r="E82" s="7" t="str">
        <f t="shared" si="7"/>
        <v/>
      </c>
    </row>
    <row r="83" spans="1:5">
      <c r="A83" s="7"/>
      <c r="B83" s="7"/>
      <c r="C83" s="7"/>
      <c r="D83" s="7">
        <f ca="1">COUNTIF(D66:D82,TRUE)</f>
        <v>2</v>
      </c>
      <c r="E83" s="7" t="str" cm="1">
        <f t="array" aca="1" ref="E83" ca="1">IF(D83=0, "", "* " &amp; JoinStrings(E66:E82) &amp; IF((D83=1), " is an outlier", " are outliers") &amp; ".  Users are advised to omit outliers, as there may be issues with reported data.")</f>
        <v>* Brf Sa and Mccormick &amp; Co Inc are outliers.  Users are advised to omit outliers, as there may be issues with reported data.</v>
      </c>
    </row>
    <row r="87" spans="1:5">
      <c r="A87" s="3" t="s">
        <v>803</v>
      </c>
    </row>
    <row r="88" spans="1:5" ht="15">
      <c r="A88" s="3">
        <v>3</v>
      </c>
      <c r="B88" s="3" t="s">
        <v>804</v>
      </c>
      <c r="C88"/>
      <c r="D88"/>
    </row>
    <row r="89" spans="1:5">
      <c r="A89" s="3">
        <v>500</v>
      </c>
      <c r="B89" s="3">
        <v>150</v>
      </c>
      <c r="C89" s="3">
        <v>300</v>
      </c>
      <c r="D89" s="3">
        <v>520</v>
      </c>
      <c r="E89" s="3">
        <v>0.75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FormatPeerCashConversionCyclePage">
                <anchor moveWithCells="1" sizeWithCells="1">
                  <from>
                    <xdr:col>13</xdr:col>
                    <xdr:colOff>523875</xdr:colOff>
                    <xdr:row>3</xdr:row>
                    <xdr:rowOff>76200</xdr:rowOff>
                  </from>
                  <to>
                    <xdr:col>15</xdr:col>
                    <xdr:colOff>600075</xdr:colOff>
                    <xdr:row>5</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EAD0A-7A0A-4C0B-B2A7-D96D83BC76B7}">
  <sheetPr codeName="Sheet18"/>
  <dimension ref="A1:U89"/>
  <sheetViews>
    <sheetView topLeftCell="A24" zoomScaleNormal="100" workbookViewId="0">
      <selection activeCell="G75" sqref="G75"/>
    </sheetView>
  </sheetViews>
  <sheetFormatPr defaultRowHeight="11.25"/>
  <cols>
    <col min="1" max="1" width="18.28515625" style="3" customWidth="1"/>
    <col min="2" max="2" width="9.140625" style="3"/>
    <col min="3" max="3" width="13.140625" style="3" customWidth="1"/>
    <col min="4" max="4" width="14" style="3" customWidth="1"/>
    <col min="5" max="10" width="9.140625" style="3"/>
    <col min="11" max="11" width="10.140625" style="3" customWidth="1"/>
    <col min="12" max="19" width="9.140625" style="3"/>
    <col min="20" max="20" width="27.28515625" style="3" customWidth="1"/>
    <col min="21" max="21" width="183.140625" style="3" customWidth="1"/>
    <col min="22" max="16384" width="9.140625" style="3"/>
  </cols>
  <sheetData>
    <row r="1" spans="1:21">
      <c r="D1" s="44" t="s">
        <v>7</v>
      </c>
      <c r="E1" s="44" t="s">
        <v>6</v>
      </c>
      <c r="F1" s="44"/>
      <c r="G1" s="44"/>
      <c r="H1" s="44" t="s">
        <v>5</v>
      </c>
      <c r="I1" s="44">
        <v>0.8</v>
      </c>
      <c r="J1" s="44"/>
      <c r="K1" s="44">
        <v>0.8</v>
      </c>
      <c r="L1" s="44"/>
      <c r="M1" s="44"/>
      <c r="O1" s="3" t="e">
        <f ca="1">MATCH(D2,A2:A18,0)</f>
        <v>#N/A</v>
      </c>
      <c r="S1" s="4"/>
      <c r="T1" s="45"/>
      <c r="U1" s="45"/>
    </row>
    <row r="2" spans="1:21">
      <c r="A2" s="44" t="str">
        <f t="shared" ref="A2:A17" si="0">A36</f>
        <v>Mondelez</v>
      </c>
      <c r="B2" s="47">
        <f t="shared" ref="B2:B17" si="1">IF(ISNA(B36), "Not Available", ROUND(B36,0))</f>
        <v>138</v>
      </c>
      <c r="D2" s="44" t="str">
        <f ca="1">Data!B25</f>
        <v>CAMPBELL SOUP CO</v>
      </c>
      <c r="E2" s="48" t="s">
        <v>0</v>
      </c>
      <c r="F2" s="48" t="s">
        <v>1</v>
      </c>
      <c r="G2" s="48" t="s">
        <v>2</v>
      </c>
      <c r="H2" s="48" t="s">
        <v>3</v>
      </c>
      <c r="I2" s="48" t="s">
        <v>0</v>
      </c>
      <c r="J2" s="48" t="s">
        <v>2</v>
      </c>
      <c r="K2" s="48" t="s">
        <v>4</v>
      </c>
      <c r="L2" s="48" t="s">
        <v>17</v>
      </c>
      <c r="M2" s="48" t="s">
        <v>18</v>
      </c>
      <c r="T2" s="45"/>
      <c r="U2" s="55"/>
    </row>
    <row r="3" spans="1:21">
      <c r="A3" s="44" t="str">
        <f t="shared" si="0"/>
        <v>General Mills</v>
      </c>
      <c r="B3" s="47">
        <f t="shared" si="1"/>
        <v>103</v>
      </c>
      <c r="D3" s="49">
        <v>1</v>
      </c>
      <c r="E3" s="48">
        <f ca="1">D57</f>
        <v>39</v>
      </c>
      <c r="F3" s="48">
        <f ca="1">E57</f>
        <v>63</v>
      </c>
      <c r="G3" s="48">
        <f ca="1">F57</f>
        <v>100</v>
      </c>
      <c r="H3" s="49">
        <v>1</v>
      </c>
      <c r="I3" s="49">
        <v>1</v>
      </c>
      <c r="J3" s="49">
        <v>1</v>
      </c>
      <c r="K3" s="49">
        <v>1</v>
      </c>
      <c r="L3" s="48">
        <f ca="1">B57</f>
        <v>20</v>
      </c>
      <c r="M3" s="48">
        <f ca="1">H57</f>
        <v>141</v>
      </c>
      <c r="T3" s="45"/>
    </row>
    <row r="4" spans="1:21">
      <c r="A4" s="44" t="str">
        <f t="shared" si="0"/>
        <v>Mccormick &amp; Co</v>
      </c>
      <c r="B4" s="47">
        <f t="shared" si="1"/>
        <v>97</v>
      </c>
      <c r="D4" s="48">
        <f ca="1">I57</f>
        <v>67</v>
      </c>
      <c r="E4" s="49">
        <f ca="1">E3</f>
        <v>39</v>
      </c>
      <c r="F4" s="49">
        <f ca="1">F3-E3</f>
        <v>24</v>
      </c>
      <c r="G4" s="49">
        <f ca="1">G3-F3</f>
        <v>37</v>
      </c>
      <c r="H4" s="48">
        <f ca="1">C57</f>
        <v>34</v>
      </c>
      <c r="I4" s="49">
        <f ca="1">E3</f>
        <v>39</v>
      </c>
      <c r="J4" s="49">
        <f ca="1">G3</f>
        <v>100</v>
      </c>
      <c r="K4" s="48">
        <f ca="1">G57</f>
        <v>108</v>
      </c>
      <c r="L4" s="48">
        <f ca="1">B57</f>
        <v>20</v>
      </c>
      <c r="M4" s="48">
        <f ca="1">H57</f>
        <v>141</v>
      </c>
      <c r="T4" s="45"/>
    </row>
    <row r="5" spans="1:21">
      <c r="A5" s="44" t="str">
        <f t="shared" si="0"/>
        <v>Kellogg</v>
      </c>
      <c r="B5" s="47">
        <f t="shared" si="1"/>
        <v>95</v>
      </c>
      <c r="D5" s="56" t="str">
        <f ca="1">Data!B29</f>
        <v>Campbell Soup Co</v>
      </c>
      <c r="T5" s="3" t="str">
        <f ca="1">ExecutiveSummaryFirstPage!F19</f>
        <v>$413M - $619M</v>
      </c>
    </row>
    <row r="6" spans="1:21">
      <c r="A6" s="44" t="str">
        <f t="shared" si="0"/>
        <v>Kraft Heinz</v>
      </c>
      <c r="B6" s="47">
        <f t="shared" si="1"/>
        <v>87</v>
      </c>
      <c r="D6" s="56"/>
    </row>
    <row r="7" spans="1:21">
      <c r="A7" s="44" t="str">
        <f t="shared" si="0"/>
        <v>Conagra Brands</v>
      </c>
      <c r="B7" s="47">
        <f t="shared" si="1"/>
        <v>70</v>
      </c>
      <c r="D7" s="56"/>
    </row>
    <row r="8" spans="1:21">
      <c r="A8" s="44" t="str">
        <f t="shared" si="0"/>
        <v>Campbell Soup</v>
      </c>
      <c r="B8" s="47">
        <f t="shared" si="1"/>
        <v>67</v>
      </c>
      <c r="D8" s="56"/>
    </row>
    <row r="9" spans="1:21">
      <c r="A9" s="44" t="str">
        <f t="shared" si="0"/>
        <v>J M SMUCKER</v>
      </c>
      <c r="B9" s="47">
        <f t="shared" si="1"/>
        <v>59</v>
      </c>
      <c r="D9" s="56"/>
    </row>
    <row r="10" spans="1:21">
      <c r="A10" s="44" t="str">
        <f t="shared" si="0"/>
        <v>Hershey</v>
      </c>
      <c r="B10" s="47">
        <f t="shared" si="1"/>
        <v>46</v>
      </c>
      <c r="D10" s="56"/>
    </row>
    <row r="11" spans="1:21">
      <c r="A11" s="44" t="str">
        <f t="shared" si="0"/>
        <v>Hain Celestial Group</v>
      </c>
      <c r="B11" s="47">
        <f t="shared" si="1"/>
        <v>39</v>
      </c>
      <c r="D11" s="56"/>
    </row>
    <row r="12" spans="1:21">
      <c r="A12" s="44" t="str">
        <f t="shared" si="0"/>
        <v>Hormel Foods</v>
      </c>
      <c r="B12" s="47">
        <f t="shared" si="1"/>
        <v>34</v>
      </c>
      <c r="D12" s="56"/>
    </row>
    <row r="13" spans="1:21">
      <c r="A13" s="44" t="str">
        <f t="shared" si="0"/>
        <v>Tyson Foods</v>
      </c>
      <c r="B13" s="47">
        <f t="shared" si="1"/>
        <v>19</v>
      </c>
      <c r="D13" s="56"/>
    </row>
    <row r="14" spans="1:21">
      <c r="A14" s="44">
        <f t="shared" si="0"/>
        <v>0</v>
      </c>
      <c r="B14" s="47">
        <f t="shared" si="1"/>
        <v>0</v>
      </c>
      <c r="D14" s="56"/>
    </row>
    <row r="15" spans="1:21">
      <c r="A15" s="44">
        <f t="shared" si="0"/>
        <v>0</v>
      </c>
      <c r="B15" s="47">
        <f t="shared" si="1"/>
        <v>0</v>
      </c>
      <c r="D15" s="56"/>
    </row>
    <row r="16" spans="1:21">
      <c r="A16" s="44">
        <f t="shared" si="0"/>
        <v>0</v>
      </c>
      <c r="B16" s="47">
        <f t="shared" si="1"/>
        <v>0</v>
      </c>
      <c r="D16" s="56"/>
    </row>
    <row r="17" spans="1:21">
      <c r="A17" s="44">
        <f t="shared" si="0"/>
        <v>0</v>
      </c>
      <c r="B17" s="47">
        <f t="shared" si="1"/>
        <v>0</v>
      </c>
    </row>
    <row r="18" spans="1:21">
      <c r="A18" s="44"/>
      <c r="B18" s="47"/>
    </row>
    <row r="19" spans="1:21">
      <c r="A19" s="50" t="s">
        <v>39</v>
      </c>
      <c r="B19" s="50" t="s">
        <v>40</v>
      </c>
      <c r="C19" s="51" t="s">
        <v>41</v>
      </c>
    </row>
    <row r="20" spans="1:21">
      <c r="A20" s="52">
        <v>40</v>
      </c>
      <c r="B20" s="52">
        <v>150</v>
      </c>
      <c r="C20" s="53">
        <v>1</v>
      </c>
    </row>
    <row r="21" spans="1:21">
      <c r="A21" s="50" t="s">
        <v>88</v>
      </c>
      <c r="Q21" s="91"/>
    </row>
    <row r="22" spans="1:21">
      <c r="A22" s="54"/>
      <c r="B22" s="88"/>
      <c r="C22" s="89"/>
      <c r="D22" s="160"/>
    </row>
    <row r="26" spans="1:21">
      <c r="K26" s="81"/>
      <c r="L26" s="57"/>
      <c r="M26" s="57"/>
      <c r="N26" s="57"/>
      <c r="O26" s="57"/>
      <c r="P26" s="57"/>
      <c r="Q26" s="57"/>
      <c r="R26" s="57"/>
      <c r="S26" s="57"/>
      <c r="T26" s="57"/>
      <c r="U26" s="58"/>
    </row>
    <row r="27" spans="1:21">
      <c r="K27" s="61"/>
      <c r="L27" s="59"/>
      <c r="M27" s="59"/>
      <c r="N27" s="59"/>
      <c r="O27" s="59"/>
      <c r="P27" s="59"/>
      <c r="Q27" s="59"/>
      <c r="R27" s="59"/>
      <c r="S27" s="59"/>
      <c r="T27" s="59"/>
      <c r="U27" s="60"/>
    </row>
    <row r="28" spans="1:21">
      <c r="K28" s="61"/>
      <c r="L28" s="59"/>
      <c r="M28" s="59"/>
      <c r="N28" s="59"/>
      <c r="O28" s="59"/>
      <c r="P28" s="59"/>
      <c r="Q28" s="59"/>
      <c r="R28" s="59"/>
      <c r="S28" s="59"/>
      <c r="T28" s="59"/>
      <c r="U28" s="60"/>
    </row>
    <row r="29" spans="1:21">
      <c r="K29" s="61"/>
      <c r="L29" s="59"/>
      <c r="M29" s="59"/>
      <c r="N29" s="59"/>
      <c r="O29" s="59"/>
      <c r="P29" s="59"/>
      <c r="Q29" s="59"/>
      <c r="R29" s="59"/>
      <c r="S29" s="59"/>
      <c r="T29" s="59"/>
      <c r="U29" s="60"/>
    </row>
    <row r="30" spans="1:21">
      <c r="K30" s="61"/>
      <c r="L30" s="59"/>
      <c r="M30" s="59"/>
      <c r="N30" s="59"/>
      <c r="O30" s="59"/>
      <c r="P30" s="59"/>
      <c r="Q30" s="59"/>
      <c r="R30" s="59"/>
      <c r="S30" s="59"/>
      <c r="T30" s="59"/>
      <c r="U30" s="60"/>
    </row>
    <row r="31" spans="1:21">
      <c r="K31" s="61"/>
      <c r="L31" s="59"/>
      <c r="M31" s="59"/>
      <c r="N31" s="59"/>
      <c r="O31" s="59"/>
      <c r="P31" s="59"/>
      <c r="Q31" s="59"/>
      <c r="R31" s="59"/>
      <c r="S31" s="59"/>
      <c r="T31" s="59"/>
      <c r="U31" s="60"/>
    </row>
    <row r="32" spans="1:21">
      <c r="A32" s="3" t="s">
        <v>239</v>
      </c>
      <c r="B32" s="12">
        <f>Data!B21</f>
        <v>16</v>
      </c>
      <c r="K32" s="61"/>
      <c r="L32" s="59"/>
      <c r="M32" s="59"/>
      <c r="N32" s="59"/>
      <c r="O32" s="59"/>
      <c r="P32" s="59"/>
      <c r="Q32" s="59"/>
      <c r="R32" s="59"/>
      <c r="S32" s="59"/>
      <c r="T32" s="59"/>
      <c r="U32" s="60"/>
    </row>
    <row r="33" spans="1:21" ht="10.5" customHeight="1">
      <c r="A33" s="3" t="s">
        <v>1</v>
      </c>
      <c r="B33" s="40">
        <f xml:space="preserve"> (Data!$B$21/2) + 1</f>
        <v>9</v>
      </c>
      <c r="C33" s="40">
        <f>IF(MOD(Data!$B$21,2) = 0, B33-1,B33)</f>
        <v>8</v>
      </c>
      <c r="K33" s="61"/>
      <c r="L33" s="59"/>
      <c r="M33" s="59"/>
      <c r="N33" s="59"/>
      <c r="O33" s="59"/>
      <c r="P33" s="59"/>
      <c r="Q33" s="59"/>
      <c r="R33" s="59"/>
      <c r="S33" s="59"/>
      <c r="T33" s="59"/>
      <c r="U33" s="60"/>
    </row>
    <row r="34" spans="1:21">
      <c r="A34" s="3" t="s">
        <v>136</v>
      </c>
      <c r="B34" s="12">
        <f>37+MATCH(A34,Data!A37:A57,0)-1</f>
        <v>40</v>
      </c>
      <c r="K34" s="61"/>
      <c r="L34" s="59"/>
      <c r="M34" s="59"/>
      <c r="N34" s="59"/>
      <c r="O34" s="59"/>
      <c r="P34" s="59"/>
      <c r="Q34" s="59"/>
      <c r="R34" s="59"/>
      <c r="S34" s="59"/>
      <c r="T34" s="59"/>
      <c r="U34" s="60"/>
    </row>
    <row r="35" spans="1:21">
      <c r="B35" s="41"/>
      <c r="C35" s="23">
        <f>C55</f>
        <v>0.1</v>
      </c>
      <c r="D35" s="23">
        <f>D55</f>
        <v>0.25</v>
      </c>
      <c r="E35" s="23">
        <f>E55</f>
        <v>0.5</v>
      </c>
      <c r="F35" s="23">
        <f>F55</f>
        <v>0.75</v>
      </c>
      <c r="G35" s="23">
        <f>G55</f>
        <v>0.9</v>
      </c>
      <c r="H35" s="4" t="s">
        <v>234</v>
      </c>
      <c r="I35" s="4" t="s">
        <v>233</v>
      </c>
      <c r="K35" s="61"/>
      <c r="L35" s="59"/>
      <c r="M35" s="59"/>
      <c r="N35" s="59"/>
      <c r="O35" s="59"/>
      <c r="P35" s="59"/>
      <c r="Q35" s="59"/>
      <c r="R35" s="59"/>
      <c r="S35" s="59"/>
      <c r="T35" s="59"/>
      <c r="U35" s="60"/>
    </row>
    <row r="36" spans="1:21">
      <c r="A36" s="3" t="s">
        <v>138</v>
      </c>
      <c r="B36" s="90">
        <v>137.55360247247401</v>
      </c>
      <c r="C36" s="40">
        <f ca="1">IF(ISNA($B36), 0, IF($B36&lt;C$56,1,0))</f>
        <v>0</v>
      </c>
      <c r="D36" s="40">
        <f ca="1">IF(ISNA($B36), 0, IF($B36&lt;D$56,1,0))</f>
        <v>0</v>
      </c>
      <c r="E36" s="40">
        <f ca="1">IF(ISNA($B36), 0, IF($B36&lt;E$56,1,0))</f>
        <v>0</v>
      </c>
      <c r="F36" s="40">
        <f ca="1">IF(ISNA($B36), 0, IF($B36&lt;F$56,1,0))</f>
        <v>0</v>
      </c>
      <c r="G36" s="40">
        <f ca="1">IF(ISNA($B36), 0, IF($B36&lt;G$56,1,0))</f>
        <v>0</v>
      </c>
      <c r="H36" s="4">
        <v>0</v>
      </c>
      <c r="I36" s="42">
        <f ca="1">SUM(C36:G36)</f>
        <v>0</v>
      </c>
      <c r="K36" s="61"/>
      <c r="L36" s="59"/>
      <c r="M36" s="59"/>
      <c r="N36" s="59"/>
      <c r="O36" s="59"/>
      <c r="P36" s="59"/>
      <c r="Q36" s="59"/>
      <c r="R36" s="59"/>
      <c r="S36" s="59"/>
      <c r="T36" s="59"/>
      <c r="U36" s="60"/>
    </row>
    <row r="37" spans="1:21">
      <c r="A37" s="3" t="s">
        <v>242</v>
      </c>
      <c r="B37" s="3">
        <v>103.10876164464599</v>
      </c>
      <c r="C37" s="40">
        <f t="shared" ref="C37:G51" ca="1" si="2">IF(ISNA($B37), 0, IF($B37&lt;C$56,1,0))</f>
        <v>0</v>
      </c>
      <c r="D37" s="40">
        <f t="shared" ca="1" si="2"/>
        <v>0</v>
      </c>
      <c r="E37" s="40">
        <f t="shared" ca="1" si="2"/>
        <v>0</v>
      </c>
      <c r="F37" s="40">
        <f t="shared" ca="1" si="2"/>
        <v>0</v>
      </c>
      <c r="G37" s="40">
        <f t="shared" ca="1" si="2"/>
        <v>1</v>
      </c>
      <c r="H37" s="4">
        <v>0</v>
      </c>
      <c r="I37" s="42">
        <f t="shared" ref="I37:I51" ca="1" si="3">SUM(C37:G37)</f>
        <v>1</v>
      </c>
      <c r="K37" s="61"/>
      <c r="L37" s="59"/>
      <c r="M37" s="59"/>
      <c r="N37" s="59"/>
      <c r="O37" s="59"/>
      <c r="P37" s="59"/>
      <c r="Q37" s="59"/>
      <c r="R37" s="59"/>
      <c r="S37" s="59"/>
      <c r="T37" s="59"/>
      <c r="U37" s="60"/>
    </row>
    <row r="38" spans="1:21">
      <c r="A38" s="3" t="s">
        <v>248</v>
      </c>
      <c r="B38" s="3">
        <v>96.536179382280395</v>
      </c>
      <c r="C38" s="40">
        <f t="shared" ca="1" si="2"/>
        <v>0</v>
      </c>
      <c r="D38" s="40">
        <f t="shared" ca="1" si="2"/>
        <v>0</v>
      </c>
      <c r="E38" s="40">
        <f t="shared" ca="1" si="2"/>
        <v>0</v>
      </c>
      <c r="F38" s="40">
        <f t="shared" ca="1" si="2"/>
        <v>1</v>
      </c>
      <c r="G38" s="40">
        <f t="shared" ca="1" si="2"/>
        <v>1</v>
      </c>
      <c r="H38" s="4">
        <f t="shared" ref="H38:H51" si="4">H37+1</f>
        <v>1</v>
      </c>
      <c r="I38" s="42">
        <f t="shared" ca="1" si="3"/>
        <v>2</v>
      </c>
      <c r="K38" s="61"/>
      <c r="L38" s="59"/>
      <c r="M38" s="59"/>
      <c r="N38" s="59"/>
      <c r="O38" s="59"/>
      <c r="P38" s="59"/>
      <c r="Q38" s="59"/>
      <c r="R38" s="59"/>
      <c r="S38" s="59"/>
      <c r="T38" s="59"/>
      <c r="U38" s="60"/>
    </row>
    <row r="39" spans="1:21">
      <c r="A39" s="3" t="s">
        <v>246</v>
      </c>
      <c r="B39" s="3">
        <v>94.732521474393806</v>
      </c>
      <c r="C39" s="40">
        <f t="shared" ca="1" si="2"/>
        <v>0</v>
      </c>
      <c r="D39" s="40">
        <f t="shared" ca="1" si="2"/>
        <v>0</v>
      </c>
      <c r="E39" s="40">
        <f t="shared" ca="1" si="2"/>
        <v>0</v>
      </c>
      <c r="F39" s="40">
        <f t="shared" ca="1" si="2"/>
        <v>1</v>
      </c>
      <c r="G39" s="40">
        <f t="shared" ca="1" si="2"/>
        <v>1</v>
      </c>
      <c r="H39" s="4">
        <f t="shared" si="4"/>
        <v>2</v>
      </c>
      <c r="I39" s="42">
        <f t="shared" ca="1" si="3"/>
        <v>2</v>
      </c>
      <c r="K39" s="61"/>
      <c r="L39" s="59"/>
      <c r="M39" s="59"/>
      <c r="N39" s="59"/>
      <c r="O39" s="59"/>
      <c r="P39" s="59"/>
      <c r="Q39" s="59"/>
      <c r="R39" s="59"/>
      <c r="S39" s="59"/>
      <c r="T39" s="59"/>
      <c r="U39" s="60"/>
    </row>
    <row r="40" spans="1:21">
      <c r="A40" s="3" t="s">
        <v>247</v>
      </c>
      <c r="B40" s="3">
        <v>86.814913844325602</v>
      </c>
      <c r="C40" s="40">
        <f t="shared" ca="1" si="2"/>
        <v>0</v>
      </c>
      <c r="D40" s="40">
        <f t="shared" ca="1" si="2"/>
        <v>0</v>
      </c>
      <c r="E40" s="40">
        <f t="shared" ca="1" si="2"/>
        <v>0</v>
      </c>
      <c r="F40" s="40">
        <f t="shared" ca="1" si="2"/>
        <v>1</v>
      </c>
      <c r="G40" s="40">
        <f t="shared" ca="1" si="2"/>
        <v>1</v>
      </c>
      <c r="H40" s="4">
        <f t="shared" si="4"/>
        <v>3</v>
      </c>
      <c r="I40" s="42">
        <f t="shared" ca="1" si="3"/>
        <v>2</v>
      </c>
      <c r="K40" s="61"/>
      <c r="L40" s="59"/>
      <c r="M40" s="59"/>
      <c r="N40" s="59"/>
      <c r="O40" s="59"/>
      <c r="P40" s="59"/>
      <c r="Q40" s="59"/>
      <c r="R40" s="59"/>
      <c r="S40" s="59"/>
      <c r="T40" s="59"/>
      <c r="U40" s="60"/>
    </row>
    <row r="41" spans="1:21">
      <c r="A41" s="3" t="s">
        <v>241</v>
      </c>
      <c r="B41" s="3">
        <v>69.738002204187893</v>
      </c>
      <c r="C41" s="40">
        <f t="shared" ca="1" si="2"/>
        <v>0</v>
      </c>
      <c r="D41" s="40">
        <f t="shared" ca="1" si="2"/>
        <v>0</v>
      </c>
      <c r="E41" s="40">
        <f t="shared" ca="1" si="2"/>
        <v>0</v>
      </c>
      <c r="F41" s="40">
        <f t="shared" ca="1" si="2"/>
        <v>1</v>
      </c>
      <c r="G41" s="40">
        <f t="shared" ca="1" si="2"/>
        <v>1</v>
      </c>
      <c r="H41" s="4">
        <f t="shared" si="4"/>
        <v>4</v>
      </c>
      <c r="I41" s="42">
        <f t="shared" ca="1" si="3"/>
        <v>2</v>
      </c>
      <c r="K41" s="61"/>
      <c r="L41" s="59"/>
      <c r="M41" s="59"/>
      <c r="N41" s="59"/>
      <c r="O41" s="59"/>
      <c r="P41" s="59"/>
      <c r="Q41" s="59"/>
      <c r="R41" s="59"/>
      <c r="S41" s="59"/>
      <c r="T41" s="59"/>
      <c r="U41" s="60"/>
    </row>
    <row r="42" spans="1:21">
      <c r="A42" s="3" t="s">
        <v>240</v>
      </c>
      <c r="B42" s="3">
        <v>67.267217146872795</v>
      </c>
      <c r="C42" s="40">
        <f t="shared" ca="1" si="2"/>
        <v>0</v>
      </c>
      <c r="D42" s="40">
        <f t="shared" ca="1" si="2"/>
        <v>0</v>
      </c>
      <c r="E42" s="40">
        <f t="shared" ca="1" si="2"/>
        <v>0</v>
      </c>
      <c r="F42" s="40">
        <f t="shared" ca="1" si="2"/>
        <v>1</v>
      </c>
      <c r="G42" s="40">
        <f t="shared" ca="1" si="2"/>
        <v>1</v>
      </c>
      <c r="H42" s="4">
        <f t="shared" si="4"/>
        <v>5</v>
      </c>
      <c r="I42" s="42">
        <f t="shared" ca="1" si="3"/>
        <v>2</v>
      </c>
      <c r="K42" s="61"/>
      <c r="L42" s="59"/>
      <c r="M42" s="59"/>
      <c r="N42" s="59"/>
      <c r="O42" s="59"/>
      <c r="P42" s="59"/>
      <c r="Q42" s="59"/>
      <c r="R42" s="59"/>
      <c r="S42" s="59"/>
      <c r="T42" s="59"/>
      <c r="U42" s="60"/>
    </row>
    <row r="43" spans="1:21">
      <c r="A43" s="3" t="s">
        <v>245</v>
      </c>
      <c r="B43" s="3">
        <v>59.476974369660297</v>
      </c>
      <c r="C43" s="40">
        <f t="shared" ca="1" si="2"/>
        <v>0</v>
      </c>
      <c r="D43" s="40">
        <f t="shared" ca="1" si="2"/>
        <v>0</v>
      </c>
      <c r="E43" s="40">
        <f t="shared" ca="1" si="2"/>
        <v>1</v>
      </c>
      <c r="F43" s="40">
        <f t="shared" ca="1" si="2"/>
        <v>1</v>
      </c>
      <c r="G43" s="40">
        <f t="shared" ca="1" si="2"/>
        <v>1</v>
      </c>
      <c r="H43" s="4">
        <f t="shared" si="4"/>
        <v>6</v>
      </c>
      <c r="I43" s="42">
        <f t="shared" ca="1" si="3"/>
        <v>3</v>
      </c>
      <c r="K43" s="61"/>
      <c r="L43" s="59"/>
      <c r="M43" s="59"/>
      <c r="N43" s="59"/>
      <c r="O43" s="59"/>
      <c r="P43" s="59"/>
      <c r="Q43" s="59"/>
      <c r="R43" s="59"/>
      <c r="S43" s="59"/>
      <c r="T43" s="59"/>
      <c r="U43" s="60"/>
    </row>
    <row r="44" spans="1:21">
      <c r="A44" s="3" t="s">
        <v>243</v>
      </c>
      <c r="B44" s="3">
        <v>46.073013863687699</v>
      </c>
      <c r="C44" s="40">
        <f t="shared" ca="1" si="2"/>
        <v>0</v>
      </c>
      <c r="D44" s="40">
        <f t="shared" ca="1" si="2"/>
        <v>0</v>
      </c>
      <c r="E44" s="40">
        <f t="shared" ca="1" si="2"/>
        <v>1</v>
      </c>
      <c r="F44" s="40">
        <f t="shared" ca="1" si="2"/>
        <v>1</v>
      </c>
      <c r="G44" s="40">
        <f t="shared" ca="1" si="2"/>
        <v>1</v>
      </c>
      <c r="H44" s="4">
        <f t="shared" si="4"/>
        <v>7</v>
      </c>
      <c r="I44" s="42">
        <f t="shared" ca="1" si="3"/>
        <v>3</v>
      </c>
      <c r="K44" s="61"/>
      <c r="L44" s="59"/>
      <c r="M44" s="59"/>
      <c r="N44" s="59"/>
      <c r="O44" s="59"/>
      <c r="P44" s="59"/>
      <c r="Q44" s="59"/>
      <c r="R44" s="59"/>
      <c r="S44" s="59"/>
      <c r="T44" s="59"/>
      <c r="U44" s="60"/>
    </row>
    <row r="45" spans="1:21">
      <c r="A45" s="3" t="s">
        <v>137</v>
      </c>
      <c r="B45" s="3">
        <v>39.302933066689</v>
      </c>
      <c r="C45" s="40">
        <f t="shared" ca="1" si="2"/>
        <v>0</v>
      </c>
      <c r="D45" s="40">
        <f t="shared" ca="1" si="2"/>
        <v>0</v>
      </c>
      <c r="E45" s="40">
        <f t="shared" ca="1" si="2"/>
        <v>1</v>
      </c>
      <c r="F45" s="40">
        <f t="shared" ca="1" si="2"/>
        <v>1</v>
      </c>
      <c r="G45" s="40">
        <f t="shared" ca="1" si="2"/>
        <v>1</v>
      </c>
      <c r="H45" s="4">
        <f t="shared" si="4"/>
        <v>8</v>
      </c>
      <c r="I45" s="42">
        <f t="shared" ca="1" si="3"/>
        <v>3</v>
      </c>
      <c r="K45" s="61"/>
      <c r="L45" s="59"/>
      <c r="M45" s="59"/>
      <c r="N45" s="59"/>
      <c r="O45" s="59"/>
      <c r="P45" s="59"/>
      <c r="Q45" s="59"/>
      <c r="R45" s="59"/>
      <c r="S45" s="59"/>
      <c r="T45" s="59"/>
      <c r="U45" s="60"/>
    </row>
    <row r="46" spans="1:21">
      <c r="A46" s="3" t="s">
        <v>244</v>
      </c>
      <c r="B46" s="3">
        <v>33.692791582032498</v>
      </c>
      <c r="C46" s="40">
        <f t="shared" ca="1" si="2"/>
        <v>1</v>
      </c>
      <c r="D46" s="40">
        <f t="shared" ca="1" si="2"/>
        <v>1</v>
      </c>
      <c r="E46" s="40">
        <f t="shared" ca="1" si="2"/>
        <v>1</v>
      </c>
      <c r="F46" s="40">
        <f t="shared" ca="1" si="2"/>
        <v>1</v>
      </c>
      <c r="G46" s="40">
        <f t="shared" ca="1" si="2"/>
        <v>1</v>
      </c>
      <c r="H46" s="4">
        <f t="shared" si="4"/>
        <v>9</v>
      </c>
      <c r="I46" s="42">
        <f t="shared" ca="1" si="3"/>
        <v>5</v>
      </c>
      <c r="K46" s="61"/>
      <c r="L46" s="59"/>
      <c r="M46" s="59"/>
      <c r="N46" s="59"/>
      <c r="O46" s="59"/>
      <c r="P46" s="59"/>
      <c r="Q46" s="59"/>
      <c r="R46" s="59"/>
      <c r="S46" s="59"/>
      <c r="T46" s="59"/>
      <c r="U46" s="60"/>
    </row>
    <row r="47" spans="1:21">
      <c r="A47" s="3" t="s">
        <v>249</v>
      </c>
      <c r="B47" s="3">
        <v>18.8050718240912</v>
      </c>
      <c r="C47" s="40">
        <f t="shared" ca="1" si="2"/>
        <v>1</v>
      </c>
      <c r="D47" s="40">
        <f t="shared" ca="1" si="2"/>
        <v>1</v>
      </c>
      <c r="E47" s="40">
        <f t="shared" ca="1" si="2"/>
        <v>1</v>
      </c>
      <c r="F47" s="40">
        <f t="shared" ca="1" si="2"/>
        <v>1</v>
      </c>
      <c r="G47" s="40">
        <f t="shared" ca="1" si="2"/>
        <v>1</v>
      </c>
      <c r="H47" s="4">
        <f t="shared" si="4"/>
        <v>10</v>
      </c>
      <c r="I47" s="42">
        <f t="shared" ca="1" si="3"/>
        <v>5</v>
      </c>
      <c r="K47" s="61"/>
      <c r="L47" s="59"/>
      <c r="M47" s="59"/>
      <c r="N47" s="59"/>
      <c r="O47" s="59"/>
      <c r="P47" s="59"/>
      <c r="Q47" s="59"/>
      <c r="R47" s="59"/>
      <c r="S47" s="59"/>
      <c r="T47" s="59"/>
      <c r="U47" s="60"/>
    </row>
    <row r="48" spans="1:21" ht="11.25" customHeight="1">
      <c r="B48"/>
      <c r="C48" s="40">
        <f t="shared" ca="1" si="2"/>
        <v>1</v>
      </c>
      <c r="D48" s="40">
        <f t="shared" ca="1" si="2"/>
        <v>1</v>
      </c>
      <c r="E48" s="40">
        <f t="shared" ca="1" si="2"/>
        <v>1</v>
      </c>
      <c r="F48" s="40">
        <f t="shared" ca="1" si="2"/>
        <v>1</v>
      </c>
      <c r="G48" s="40">
        <f t="shared" ca="1" si="2"/>
        <v>1</v>
      </c>
      <c r="H48" s="4">
        <f t="shared" si="4"/>
        <v>11</v>
      </c>
      <c r="I48" s="42">
        <f t="shared" ca="1" si="3"/>
        <v>5</v>
      </c>
      <c r="K48" s="61"/>
      <c r="L48" s="59"/>
      <c r="M48" s="59"/>
      <c r="N48" s="59"/>
      <c r="O48" s="59"/>
      <c r="P48" s="59"/>
      <c r="Q48" s="59"/>
      <c r="R48" s="59"/>
      <c r="S48" s="59"/>
      <c r="T48" s="59"/>
      <c r="U48" s="60"/>
    </row>
    <row r="49" spans="1:21" ht="11.25" customHeight="1">
      <c r="A49"/>
      <c r="B49"/>
      <c r="C49" s="40">
        <f t="shared" ca="1" si="2"/>
        <v>1</v>
      </c>
      <c r="D49" s="40">
        <f t="shared" ca="1" si="2"/>
        <v>1</v>
      </c>
      <c r="E49" s="40">
        <f t="shared" ca="1" si="2"/>
        <v>1</v>
      </c>
      <c r="F49" s="40">
        <f t="shared" ca="1" si="2"/>
        <v>1</v>
      </c>
      <c r="G49" s="40">
        <f t="shared" ca="1" si="2"/>
        <v>1</v>
      </c>
      <c r="H49" s="4">
        <f t="shared" si="4"/>
        <v>12</v>
      </c>
      <c r="I49" s="42">
        <f t="shared" ca="1" si="3"/>
        <v>5</v>
      </c>
      <c r="K49" s="61"/>
      <c r="L49" s="59"/>
      <c r="M49" s="59"/>
      <c r="N49" s="59"/>
      <c r="O49" s="59"/>
      <c r="P49" s="59"/>
      <c r="Q49" s="59"/>
      <c r="R49" s="59"/>
      <c r="S49" s="59"/>
      <c r="T49" s="59"/>
      <c r="U49" s="60"/>
    </row>
    <row r="50" spans="1:21" ht="11.25" customHeight="1">
      <c r="A50"/>
      <c r="B50"/>
      <c r="C50" s="40">
        <f t="shared" ca="1" si="2"/>
        <v>1</v>
      </c>
      <c r="D50" s="40">
        <f t="shared" ca="1" si="2"/>
        <v>1</v>
      </c>
      <c r="E50" s="40">
        <f t="shared" ca="1" si="2"/>
        <v>1</v>
      </c>
      <c r="F50" s="40">
        <f t="shared" ca="1" si="2"/>
        <v>1</v>
      </c>
      <c r="G50" s="40">
        <f t="shared" ca="1" si="2"/>
        <v>1</v>
      </c>
      <c r="H50" s="4">
        <f t="shared" si="4"/>
        <v>13</v>
      </c>
      <c r="I50" s="42">
        <f t="shared" ca="1" si="3"/>
        <v>5</v>
      </c>
      <c r="K50" s="61"/>
      <c r="L50" s="59"/>
      <c r="M50" s="59"/>
      <c r="N50" s="59"/>
      <c r="O50" s="59"/>
      <c r="P50" s="59"/>
      <c r="Q50" s="59"/>
      <c r="R50" s="59"/>
      <c r="S50" s="59"/>
      <c r="T50" s="59"/>
      <c r="U50" s="60"/>
    </row>
    <row r="51" spans="1:21" ht="11.25" customHeight="1">
      <c r="A51"/>
      <c r="B51"/>
      <c r="C51" s="40">
        <f t="shared" ca="1" si="2"/>
        <v>1</v>
      </c>
      <c r="D51" s="40">
        <f t="shared" ca="1" si="2"/>
        <v>1</v>
      </c>
      <c r="E51" s="40">
        <f t="shared" ca="1" si="2"/>
        <v>1</v>
      </c>
      <c r="F51" s="40">
        <f t="shared" ca="1" si="2"/>
        <v>1</v>
      </c>
      <c r="G51" s="40">
        <f t="shared" ca="1" si="2"/>
        <v>1</v>
      </c>
      <c r="H51" s="4">
        <f t="shared" si="4"/>
        <v>14</v>
      </c>
      <c r="I51" s="42">
        <f t="shared" ca="1" si="3"/>
        <v>5</v>
      </c>
      <c r="K51" s="61"/>
      <c r="L51" s="59"/>
      <c r="M51" s="59"/>
      <c r="N51" s="59"/>
      <c r="O51" s="59"/>
      <c r="P51" s="59"/>
      <c r="Q51" s="59"/>
      <c r="R51" s="59"/>
      <c r="S51" s="59"/>
      <c r="T51" s="59"/>
      <c r="U51" s="60"/>
    </row>
    <row r="52" spans="1:21" ht="11.25" customHeight="1">
      <c r="A52"/>
      <c r="B52"/>
      <c r="C52"/>
      <c r="D52"/>
      <c r="E52"/>
      <c r="F52"/>
      <c r="G52"/>
      <c r="H52"/>
      <c r="I52"/>
      <c r="K52" s="61"/>
      <c r="L52" s="59"/>
      <c r="M52" s="59"/>
      <c r="N52" s="59"/>
      <c r="O52" s="59"/>
      <c r="P52" s="59"/>
      <c r="Q52" s="59"/>
      <c r="R52" s="59"/>
      <c r="S52" s="59"/>
      <c r="T52" s="59"/>
      <c r="U52" s="60"/>
    </row>
    <row r="53" spans="1:21" ht="11.25" customHeight="1">
      <c r="A53"/>
      <c r="B53"/>
      <c r="C53"/>
      <c r="D53"/>
      <c r="E53"/>
      <c r="F53"/>
      <c r="G53"/>
      <c r="H53"/>
      <c r="I53"/>
      <c r="K53" s="61"/>
      <c r="L53" s="59"/>
      <c r="M53" s="59"/>
      <c r="N53" s="59"/>
      <c r="O53" s="59"/>
      <c r="P53" s="59"/>
      <c r="Q53" s="59"/>
      <c r="R53" s="59"/>
      <c r="S53" s="59"/>
      <c r="T53" s="59"/>
      <c r="U53" s="60"/>
    </row>
    <row r="54" spans="1:21" ht="11.25" customHeight="1">
      <c r="A54"/>
      <c r="B54"/>
      <c r="K54" s="61"/>
      <c r="L54" s="59"/>
      <c r="M54" s="59"/>
      <c r="N54" s="59"/>
      <c r="O54" s="59"/>
      <c r="P54" s="59"/>
      <c r="Q54" s="59"/>
      <c r="R54" s="59"/>
      <c r="S54" s="59"/>
      <c r="T54" s="59"/>
      <c r="U54" s="60"/>
    </row>
    <row r="55" spans="1:21">
      <c r="B55" s="65" t="s">
        <v>201</v>
      </c>
      <c r="C55" s="43">
        <v>0.1</v>
      </c>
      <c r="D55" s="43">
        <v>0.25</v>
      </c>
      <c r="E55" s="43">
        <v>0.5</v>
      </c>
      <c r="F55" s="43">
        <v>0.75</v>
      </c>
      <c r="G55" s="43">
        <v>0.9</v>
      </c>
      <c r="H55" s="43" t="s">
        <v>202</v>
      </c>
      <c r="I55" s="43" t="s">
        <v>203</v>
      </c>
      <c r="J55" s="4"/>
      <c r="K55" s="61"/>
      <c r="L55" s="59"/>
      <c r="M55" s="59"/>
      <c r="N55" s="59"/>
      <c r="O55" s="59"/>
      <c r="P55" s="59"/>
      <c r="Q55" s="59"/>
      <c r="R55" s="59"/>
      <c r="S55" s="59"/>
      <c r="T55" s="59"/>
      <c r="U55" s="60"/>
    </row>
    <row r="56" spans="1:21">
      <c r="A56" s="3" t="str" cm="1">
        <f t="array" aca="1" ref="A56" ca="1">INDIRECT("DATA!" &amp; ADDRESS($B$34,1))</f>
        <v>DPO</v>
      </c>
      <c r="B56" s="3" cm="1">
        <f t="array" aca="1" ref="B56" ca="1">INDIRECT("DATA!" &amp; ADDRESS($B$34,4))</f>
        <v>20.041087777311649</v>
      </c>
      <c r="C56" s="3" cm="1">
        <f t="array" aca="1" ref="C56" ca="1">INDIRECT("DATA!" &amp; ADDRESS($B$34,5))</f>
        <v>34.451199076529342</v>
      </c>
      <c r="D56" s="3" cm="1">
        <f t="array" aca="1" ref="D56" ca="1">INDIRECT("DATA!" &amp; ADDRESS($B$34,6))</f>
        <v>39.118123131450155</v>
      </c>
      <c r="E56" s="3" cm="1">
        <f t="array" aca="1" ref="E56" ca="1">INDIRECT("DATA!" &amp; ADDRESS($B$34,7))</f>
        <v>63.372095758266582</v>
      </c>
      <c r="F56" s="3" cm="1">
        <f t="array" aca="1" ref="F56" ca="1">INDIRECT("DATA!" &amp; ADDRESS($B$34,8))</f>
        <v>100.34916705811902</v>
      </c>
      <c r="G56" s="3" cm="1">
        <f t="array" aca="1" ref="G56" ca="1">INDIRECT("DATA!" &amp; ADDRESS($B$34,9))</f>
        <v>107.55366773418791</v>
      </c>
      <c r="H56" s="3" cm="1">
        <f t="array" aca="1" ref="H56" ca="1">INDIRECT("DATA!" &amp; ADDRESS($B$34,10))</f>
        <v>140.64181839001489</v>
      </c>
      <c r="I56" s="3" cm="1">
        <f t="array" aca="1" ref="I56" ca="1">INDIRECT("DATA!" &amp; ADDRESS($B$34,11))</f>
        <v>67.26721714687281</v>
      </c>
      <c r="K56" s="61"/>
      <c r="L56" s="59"/>
      <c r="M56" s="59"/>
      <c r="N56" s="59"/>
      <c r="O56" s="59"/>
      <c r="P56" s="59"/>
      <c r="Q56" s="59"/>
      <c r="R56" s="59"/>
      <c r="S56" s="59"/>
      <c r="T56" s="59"/>
      <c r="U56" s="60"/>
    </row>
    <row r="57" spans="1:21">
      <c r="B57" s="3">
        <f t="shared" ref="B57:I57" ca="1" si="5">ROUND(B56,0)</f>
        <v>20</v>
      </c>
      <c r="C57" s="3">
        <f t="shared" ca="1" si="5"/>
        <v>34</v>
      </c>
      <c r="D57" s="3">
        <f t="shared" ca="1" si="5"/>
        <v>39</v>
      </c>
      <c r="E57" s="3">
        <f t="shared" ca="1" si="5"/>
        <v>63</v>
      </c>
      <c r="F57" s="3">
        <f t="shared" ca="1" si="5"/>
        <v>100</v>
      </c>
      <c r="G57" s="3">
        <f t="shared" ca="1" si="5"/>
        <v>108</v>
      </c>
      <c r="H57" s="3">
        <f t="shared" ca="1" si="5"/>
        <v>141</v>
      </c>
      <c r="I57" s="3">
        <f t="shared" ca="1" si="5"/>
        <v>67</v>
      </c>
      <c r="K57" s="61"/>
      <c r="L57" s="59"/>
      <c r="M57" s="59"/>
      <c r="N57" s="59"/>
      <c r="O57" s="59"/>
      <c r="P57" s="59"/>
      <c r="Q57" s="59"/>
      <c r="R57" s="59"/>
      <c r="S57" s="59"/>
      <c r="T57" s="59"/>
      <c r="U57" s="60"/>
    </row>
    <row r="58" spans="1:21">
      <c r="K58" s="61"/>
      <c r="L58" s="59"/>
      <c r="M58" s="59"/>
      <c r="N58" s="59"/>
      <c r="O58" s="59"/>
      <c r="P58" s="59"/>
      <c r="Q58" s="59"/>
      <c r="R58" s="59"/>
      <c r="S58" s="59"/>
      <c r="T58" s="59"/>
      <c r="U58" s="60"/>
    </row>
    <row r="59" spans="1:21">
      <c r="K59" s="62"/>
      <c r="L59" s="63"/>
      <c r="M59" s="63"/>
      <c r="N59" s="63"/>
      <c r="O59" s="63"/>
      <c r="P59" s="63"/>
      <c r="Q59" s="63"/>
      <c r="R59" s="63"/>
      <c r="S59" s="63"/>
      <c r="T59" s="63"/>
      <c r="U59" s="64"/>
    </row>
    <row r="61" spans="1:21">
      <c r="A61" s="3" t="s">
        <v>486</v>
      </c>
      <c r="B61" s="3" cm="1">
        <f t="array" aca="1" ref="B61" ca="1">INDIRECT("DATA!" &amp; ADDRESS($B$34,16))</f>
        <v>0.5</v>
      </c>
    </row>
    <row r="65" spans="1:5">
      <c r="A65" s="31" t="s">
        <v>652</v>
      </c>
      <c r="B65" s="31" t="s">
        <v>651</v>
      </c>
      <c r="C65" s="31"/>
      <c r="D65" s="31" t="s">
        <v>633</v>
      </c>
      <c r="E65" s="31"/>
    </row>
    <row r="66" spans="1:5">
      <c r="A66" s="144">
        <v>0</v>
      </c>
      <c r="B66" s="7" t="str" cm="1">
        <f t="array" ref="B66">DATA(A66+2,139)</f>
        <v>Brf Sa</v>
      </c>
      <c r="C66" s="7"/>
      <c r="D66" s="7" t="b" cm="1">
        <f t="array" aca="1" ref="D66" ca="1">_xlfn.IFNA(DATA($B$34,40+$A66),FALSE)</f>
        <v>0</v>
      </c>
      <c r="E66" s="7" t="str">
        <f ca="1">IF(D66,B66,"")</f>
        <v/>
      </c>
    </row>
    <row r="67" spans="1:5">
      <c r="A67" s="144">
        <f t="shared" ref="A67:A81" si="6">A66+1</f>
        <v>1</v>
      </c>
      <c r="B67" s="7" t="str" cm="1">
        <f t="array" ref="B67">DATA(A67+2,139)</f>
        <v>Campbell Soup Co</v>
      </c>
      <c r="C67" s="7"/>
      <c r="D67" s="7" t="b" cm="1">
        <f t="array" aca="1" ref="D67" ca="1">_xlfn.IFNA(DATA($B$34,40+$A67),FALSE)</f>
        <v>0</v>
      </c>
      <c r="E67" s="7" t="str">
        <f t="shared" ref="E67:E82" ca="1" si="7">IF(D67,B67,"")</f>
        <v/>
      </c>
    </row>
    <row r="68" spans="1:5">
      <c r="A68" s="144">
        <f t="shared" si="6"/>
        <v>2</v>
      </c>
      <c r="B68" s="7" t="str" cm="1">
        <f t="array" ref="B68">DATA(A68+2,139)</f>
        <v>Conagra Brands Inc</v>
      </c>
      <c r="C68" s="7"/>
      <c r="D68" s="7" t="b" cm="1">
        <f t="array" aca="1" ref="D68" ca="1">_xlfn.IFNA(DATA($B$34,40+$A68),FALSE)</f>
        <v>0</v>
      </c>
      <c r="E68" s="7" t="str">
        <f t="shared" ca="1" si="7"/>
        <v/>
      </c>
    </row>
    <row r="69" spans="1:5">
      <c r="A69" s="144">
        <f t="shared" si="6"/>
        <v>3</v>
      </c>
      <c r="B69" s="7" t="str" cm="1">
        <f t="array" ref="B69">DATA(A69+2,139)</f>
        <v>Danone S.A.</v>
      </c>
      <c r="C69" s="7"/>
      <c r="D69" s="7" t="b" cm="1">
        <f t="array" aca="1" ref="D69" ca="1">_xlfn.IFNA(DATA($B$34,40+$A69),FALSE)</f>
        <v>0</v>
      </c>
      <c r="E69" s="7" t="str">
        <f t="shared" ca="1" si="7"/>
        <v/>
      </c>
    </row>
    <row r="70" spans="1:5">
      <c r="A70" s="144">
        <f t="shared" si="6"/>
        <v>4</v>
      </c>
      <c r="B70" s="7" t="str" cm="1">
        <f t="array" ref="B70">DATA(A70+2,139)</f>
        <v>General Mills Inc</v>
      </c>
      <c r="C70" s="7"/>
      <c r="D70" s="7" t="b" cm="1">
        <f t="array" aca="1" ref="D70" ca="1">_xlfn.IFNA(DATA($B$34,40+$A70),FALSE)</f>
        <v>0</v>
      </c>
      <c r="E70" s="7" t="str">
        <f t="shared" ca="1" si="7"/>
        <v/>
      </c>
    </row>
    <row r="71" spans="1:5">
      <c r="A71" s="144">
        <f t="shared" si="6"/>
        <v>5</v>
      </c>
      <c r="B71" s="7" t="str" cm="1">
        <f t="array" ref="B71">DATA(A71+2,139)</f>
        <v>Hain Celestial</v>
      </c>
      <c r="C71" s="7"/>
      <c r="D71" s="7" t="b" cm="1">
        <f t="array" aca="1" ref="D71" ca="1">_xlfn.IFNA(DATA($B$34,40+$A71),FALSE)</f>
        <v>0</v>
      </c>
      <c r="E71" s="7" t="str">
        <f t="shared" ca="1" si="7"/>
        <v/>
      </c>
    </row>
    <row r="72" spans="1:5">
      <c r="A72" s="144">
        <f t="shared" si="6"/>
        <v>6</v>
      </c>
      <c r="B72" s="7" t="str" cm="1">
        <f t="array" ref="B72">DATA(A72+2,139)</f>
        <v>Hershey Co</v>
      </c>
      <c r="C72" s="7"/>
      <c r="D72" s="7" t="b" cm="1">
        <f t="array" aca="1" ref="D72" ca="1">_xlfn.IFNA(DATA($B$34,40+$A72),FALSE)</f>
        <v>0</v>
      </c>
      <c r="E72" s="7" t="str">
        <f t="shared" ca="1" si="7"/>
        <v/>
      </c>
    </row>
    <row r="73" spans="1:5">
      <c r="A73" s="144">
        <f t="shared" si="6"/>
        <v>7</v>
      </c>
      <c r="B73" s="7" t="str" cm="1">
        <f t="array" ref="B73">DATA(A73+2,139)</f>
        <v>Hormel Foods Corp</v>
      </c>
      <c r="C73" s="7"/>
      <c r="D73" s="7" t="b" cm="1">
        <f t="array" aca="1" ref="D73" ca="1">_xlfn.IFNA(DATA($B$34,40+$A73),FALSE)</f>
        <v>0</v>
      </c>
      <c r="E73" s="7" t="str">
        <f t="shared" ca="1" si="7"/>
        <v/>
      </c>
    </row>
    <row r="74" spans="1:5">
      <c r="A74" s="144">
        <f t="shared" si="6"/>
        <v>8</v>
      </c>
      <c r="B74" s="7" t="str" cm="1">
        <f t="array" ref="B74">DATA(A74+2,139)</f>
        <v>J M Smucker Co</v>
      </c>
      <c r="C74" s="7"/>
      <c r="D74" s="7" t="b" cm="1">
        <f t="array" aca="1" ref="D74" ca="1">_xlfn.IFNA(DATA($B$34,40+$A74),FALSE)</f>
        <v>0</v>
      </c>
      <c r="E74" s="7" t="str">
        <f t="shared" ca="1" si="7"/>
        <v/>
      </c>
    </row>
    <row r="75" spans="1:5">
      <c r="A75" s="144">
        <f t="shared" si="6"/>
        <v>9</v>
      </c>
      <c r="B75" s="7" t="str" cm="1">
        <f t="array" ref="B75">DATA(A75+2,139)</f>
        <v>Kellogg Co</v>
      </c>
      <c r="C75" s="7"/>
      <c r="D75" s="7" t="b" cm="1">
        <f t="array" aca="1" ref="D75" ca="1">_xlfn.IFNA(DATA($B$34,40+$A75),FALSE)</f>
        <v>0</v>
      </c>
      <c r="E75" s="7" t="str">
        <f t="shared" ca="1" si="7"/>
        <v/>
      </c>
    </row>
    <row r="76" spans="1:5">
      <c r="A76" s="144">
        <f t="shared" si="6"/>
        <v>10</v>
      </c>
      <c r="B76" s="7" t="str" cm="1">
        <f t="array" ref="B76">DATA(A76+2,139)</f>
        <v>Kraft Heinz Co</v>
      </c>
      <c r="C76" s="7"/>
      <c r="D76" s="7" t="b" cm="1">
        <f t="array" aca="1" ref="D76" ca="1">_xlfn.IFNA(DATA($B$34,40+$A76),FALSE)</f>
        <v>0</v>
      </c>
      <c r="E76" s="7" t="str">
        <f t="shared" ca="1" si="7"/>
        <v/>
      </c>
    </row>
    <row r="77" spans="1:5">
      <c r="A77" s="144">
        <f t="shared" si="6"/>
        <v>11</v>
      </c>
      <c r="B77" s="7" t="str" cm="1">
        <f t="array" ref="B77">DATA(A77+2,139)</f>
        <v>Lamb Weston</v>
      </c>
      <c r="C77" s="7"/>
      <c r="D77" s="7" t="b" cm="1">
        <f t="array" aca="1" ref="D77" ca="1">_xlfn.IFNA(DATA($B$34,40+$A77),FALSE)</f>
        <v>0</v>
      </c>
      <c r="E77" s="7" t="str">
        <f t="shared" ca="1" si="7"/>
        <v/>
      </c>
    </row>
    <row r="78" spans="1:5">
      <c r="A78" s="144">
        <f t="shared" si="6"/>
        <v>12</v>
      </c>
      <c r="B78" s="7" t="str" cm="1">
        <f t="array" ref="B78">DATA(A78+2,139)</f>
        <v>Mccormick &amp; Co Inc</v>
      </c>
      <c r="C78" s="7"/>
      <c r="D78" s="7" t="b" cm="1">
        <f t="array" aca="1" ref="D78" ca="1">_xlfn.IFNA(DATA($B$34,40+$A78),FALSE)</f>
        <v>0</v>
      </c>
      <c r="E78" s="7" t="str">
        <f t="shared" ca="1" si="7"/>
        <v/>
      </c>
    </row>
    <row r="79" spans="1:5">
      <c r="A79" s="144">
        <f t="shared" si="6"/>
        <v>13</v>
      </c>
      <c r="B79" s="7" t="str" cm="1">
        <f t="array" ref="B79">DATA(A79+2,139)</f>
        <v>Mondelez</v>
      </c>
      <c r="C79" s="7"/>
      <c r="D79" s="7" t="b" cm="1">
        <f t="array" aca="1" ref="D79" ca="1">_xlfn.IFNA(DATA($B$34,40+$A79),FALSE)</f>
        <v>0</v>
      </c>
      <c r="E79" s="7" t="str">
        <f t="shared" ca="1" si="7"/>
        <v/>
      </c>
    </row>
    <row r="80" spans="1:5">
      <c r="A80" s="144">
        <f t="shared" si="6"/>
        <v>14</v>
      </c>
      <c r="B80" s="7" t="str" cm="1">
        <f t="array" ref="B80">DATA(A80+2,139)</f>
        <v>Pilgrims Pride Corp</v>
      </c>
      <c r="C80" s="7"/>
      <c r="D80" s="7" t="b" cm="1">
        <f t="array" aca="1" ref="D80" ca="1">_xlfn.IFNA(DATA($B$34,40+$A80),FALSE)</f>
        <v>0</v>
      </c>
      <c r="E80" s="7" t="str">
        <f t="shared" ca="1" si="7"/>
        <v/>
      </c>
    </row>
    <row r="81" spans="1:5">
      <c r="A81" s="144">
        <f t="shared" si="6"/>
        <v>15</v>
      </c>
      <c r="B81" s="7" t="str" cm="1">
        <f t="array" ref="B81">DATA(A81+2,139)</f>
        <v>Tyson Foods Inc</v>
      </c>
      <c r="C81" s="7"/>
      <c r="D81" s="7" t="b" cm="1">
        <f t="array" aca="1" ref="D81" ca="1">_xlfn.IFNA(DATA($B$34,40+$A81),FALSE)</f>
        <v>0</v>
      </c>
      <c r="E81" s="7" t="str">
        <f t="shared" ca="1" si="7"/>
        <v/>
      </c>
    </row>
    <row r="82" spans="1:5">
      <c r="A82" s="144"/>
      <c r="B82" s="7"/>
      <c r="C82" s="7"/>
      <c r="D82" s="7"/>
      <c r="E82" s="7" t="str">
        <f t="shared" si="7"/>
        <v/>
      </c>
    </row>
    <row r="83" spans="1:5">
      <c r="A83" s="7"/>
      <c r="B83" s="7"/>
      <c r="C83" s="7"/>
      <c r="D83" s="7">
        <f ca="1">COUNTIF(D66:D82,TRUE)</f>
        <v>0</v>
      </c>
      <c r="E83" s="7" t="str" cm="1">
        <f t="array" aca="1" ref="E83" ca="1">IF(D83=0, "", "* " &amp; JoinStrings(E66:E82) &amp; IF((D83=1), " is an outlier", " are outliers") &amp; ".  Users are advised to omit outliers, as there may be issues with reported data.")</f>
        <v/>
      </c>
    </row>
    <row r="87" spans="1:5">
      <c r="A87" s="3" t="s">
        <v>803</v>
      </c>
    </row>
    <row r="88" spans="1:5" ht="11.25" customHeight="1">
      <c r="A88" s="3">
        <v>3</v>
      </c>
      <c r="B88" s="3" t="s">
        <v>804</v>
      </c>
      <c r="C88"/>
      <c r="D88"/>
    </row>
    <row r="89" spans="1:5">
      <c r="A89" s="3">
        <v>500</v>
      </c>
      <c r="B89" s="3">
        <v>150</v>
      </c>
      <c r="C89" s="3">
        <v>300</v>
      </c>
      <c r="D89" s="3">
        <v>520</v>
      </c>
      <c r="E89" s="3">
        <v>0.75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FormatPeerCashConversionCyclePage">
                <anchor moveWithCells="1" sizeWithCells="1">
                  <from>
                    <xdr:col>13</xdr:col>
                    <xdr:colOff>523875</xdr:colOff>
                    <xdr:row>3</xdr:row>
                    <xdr:rowOff>76200</xdr:rowOff>
                  </from>
                  <to>
                    <xdr:col>15</xdr:col>
                    <xdr:colOff>600075</xdr:colOff>
                    <xdr:row>5</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DB201-5DA3-4ABB-949A-D548B1D0AE20}">
  <sheetPr codeName="Sheet20"/>
  <dimension ref="A1:G48"/>
  <sheetViews>
    <sheetView topLeftCell="A16" workbookViewId="0">
      <selection activeCell="K32" sqref="K32"/>
    </sheetView>
  </sheetViews>
  <sheetFormatPr defaultRowHeight="11.25"/>
  <cols>
    <col min="1" max="1" width="11.85546875" style="3" customWidth="1"/>
    <col min="2" max="2" width="9.140625" style="3"/>
    <col min="3" max="3" width="18.5703125" style="3" customWidth="1"/>
    <col min="4" max="6" width="9.140625" style="3"/>
    <col min="7" max="7" width="27" style="3" customWidth="1"/>
    <col min="8" max="16384" width="9.140625" style="3"/>
  </cols>
  <sheetData>
    <row r="1" spans="1:5">
      <c r="A1" s="3" t="s">
        <v>336</v>
      </c>
      <c r="B1" s="3">
        <v>30</v>
      </c>
    </row>
    <row r="2" spans="1:5">
      <c r="A2" s="3" t="s">
        <v>337</v>
      </c>
      <c r="B2" s="3">
        <v>180</v>
      </c>
    </row>
    <row r="3" spans="1:5">
      <c r="A3" s="3" t="s">
        <v>338</v>
      </c>
      <c r="B3" s="3">
        <v>0.75</v>
      </c>
    </row>
    <row r="4" spans="1:5">
      <c r="A4" s="3" t="s">
        <v>339</v>
      </c>
      <c r="B4" s="3">
        <v>360</v>
      </c>
    </row>
    <row r="5" spans="1:5">
      <c r="A5" s="3" t="s">
        <v>340</v>
      </c>
      <c r="B5" s="3">
        <v>350</v>
      </c>
    </row>
    <row r="6" spans="1:5">
      <c r="A6" s="3" t="s">
        <v>341</v>
      </c>
      <c r="B6" s="3">
        <v>1</v>
      </c>
    </row>
    <row r="7" spans="1:5">
      <c r="A7" s="3" t="s">
        <v>307</v>
      </c>
      <c r="B7" s="3">
        <v>12</v>
      </c>
    </row>
    <row r="8" spans="1:5">
      <c r="A8" s="3" t="s">
        <v>137</v>
      </c>
      <c r="B8" s="3">
        <v>48.116858848984009</v>
      </c>
      <c r="C8" s="3">
        <v>0</v>
      </c>
      <c r="D8" s="107"/>
      <c r="E8" s="107"/>
    </row>
    <row r="9" spans="1:5">
      <c r="A9" s="3" t="s">
        <v>243</v>
      </c>
      <c r="B9" s="3">
        <v>48.100059269800141</v>
      </c>
      <c r="C9" s="3">
        <v>0</v>
      </c>
      <c r="D9" s="108"/>
      <c r="E9" s="108"/>
    </row>
    <row r="10" spans="1:5">
      <c r="A10" s="3" t="s">
        <v>249</v>
      </c>
      <c r="B10" s="3">
        <v>40.008648031262062</v>
      </c>
      <c r="C10" s="3">
        <v>0</v>
      </c>
      <c r="D10" s="109"/>
      <c r="E10" s="109"/>
    </row>
    <row r="11" spans="1:5">
      <c r="A11" s="3" t="s">
        <v>244</v>
      </c>
      <c r="B11" s="3">
        <v>38.359837257053385</v>
      </c>
      <c r="C11" s="3">
        <v>0</v>
      </c>
      <c r="D11" s="109"/>
      <c r="E11" s="108"/>
    </row>
    <row r="12" spans="1:5">
      <c r="A12" s="3" t="s">
        <v>245</v>
      </c>
      <c r="B12" s="3">
        <v>34.416700801792395</v>
      </c>
      <c r="C12" s="3">
        <v>0</v>
      </c>
    </row>
    <row r="13" spans="1:5">
      <c r="A13" s="3" t="s">
        <v>248</v>
      </c>
      <c r="B13" s="3">
        <v>29.117444438125602</v>
      </c>
      <c r="C13" s="3">
        <v>1</v>
      </c>
    </row>
    <row r="14" spans="1:5">
      <c r="A14" s="3" t="s">
        <v>241</v>
      </c>
      <c r="B14" s="3">
        <v>21.611281637020852</v>
      </c>
      <c r="C14" s="3">
        <v>1</v>
      </c>
    </row>
    <row r="15" spans="1:5">
      <c r="A15" s="3" t="s">
        <v>240</v>
      </c>
      <c r="B15" s="3">
        <v>12.73427883531177</v>
      </c>
      <c r="C15" s="3">
        <v>2</v>
      </c>
    </row>
    <row r="16" spans="1:5">
      <c r="A16" s="3" t="s">
        <v>247</v>
      </c>
      <c r="B16" s="3">
        <v>1.028998348117824</v>
      </c>
      <c r="C16" s="3">
        <v>0</v>
      </c>
    </row>
    <row r="17" spans="1:7">
      <c r="A17" s="3" t="s">
        <v>246</v>
      </c>
      <c r="B17" s="3">
        <v>-3.7108465710533949</v>
      </c>
      <c r="C17" s="3">
        <v>0</v>
      </c>
    </row>
    <row r="18" spans="1:7">
      <c r="A18" s="3" t="s">
        <v>242</v>
      </c>
      <c r="B18" s="3">
        <v>-24.381820888999613</v>
      </c>
      <c r="C18" s="3">
        <v>0</v>
      </c>
    </row>
    <row r="19" spans="1:7">
      <c r="A19" s="3" t="s">
        <v>138</v>
      </c>
      <c r="B19" s="3">
        <v>-36.418822831598504</v>
      </c>
      <c r="C19" s="3">
        <v>0</v>
      </c>
    </row>
    <row r="23" spans="1:7">
      <c r="A23" s="4" t="s">
        <v>342</v>
      </c>
      <c r="B23" s="4" t="s">
        <v>343</v>
      </c>
      <c r="C23" s="4" t="s">
        <v>344</v>
      </c>
    </row>
    <row r="24" spans="1:7">
      <c r="A24" s="12">
        <v>1</v>
      </c>
      <c r="B24" s="12">
        <v>2</v>
      </c>
      <c r="C24" s="114" t="str" cm="1">
        <f t="array" aca="1" ref="C24" ca="1">INDIRECT("Data!"&amp;ADDRESS(Data!$B$22,E24))</f>
        <v>CAMPBELL SOUP CO</v>
      </c>
      <c r="D24" s="3" t="s">
        <v>165</v>
      </c>
      <c r="E24" s="3">
        <f>MATCH(D24,SKCOLNAMES,0)</f>
        <v>3</v>
      </c>
      <c r="G24" s="108" t="s">
        <v>419</v>
      </c>
    </row>
    <row r="25" spans="1:7">
      <c r="A25" s="12">
        <v>3</v>
      </c>
      <c r="B25" s="12">
        <v>2</v>
      </c>
      <c r="C25" s="114" t="str" cm="1">
        <f t="array" aca="1" ref="C25" ca="1">TEXT(VALUE(INDIRECT("Data!"&amp;ADDRESS(Data!$B$22,E25))), "0.00%")</f>
        <v>-7.94%</v>
      </c>
      <c r="D25" s="3" t="s">
        <v>114</v>
      </c>
      <c r="E25" s="3">
        <f>MATCH(D25,SKCOLNAMES,0)</f>
        <v>79</v>
      </c>
      <c r="G25" s="115" t="s">
        <v>421</v>
      </c>
    </row>
    <row r="26" spans="1:7">
      <c r="A26" s="12">
        <v>6</v>
      </c>
      <c r="B26" s="12">
        <v>2</v>
      </c>
      <c r="C26" s="12" t="str">
        <f ca="1">ExecutiveSummaryFirstPage!F17</f>
        <v>$0M - $0M</v>
      </c>
      <c r="G26" s="13" t="s">
        <v>422</v>
      </c>
    </row>
    <row r="27" spans="1:7">
      <c r="A27" s="12">
        <v>7</v>
      </c>
      <c r="B27" s="12">
        <v>2</v>
      </c>
      <c r="C27" s="12" t="str">
        <f ca="1">ExecutiveSummaryFirstPage!F18</f>
        <v>$61M - $92M</v>
      </c>
      <c r="G27" s="13" t="s">
        <v>423</v>
      </c>
    </row>
    <row r="28" spans="1:7">
      <c r="A28" s="12">
        <v>8</v>
      </c>
      <c r="B28" s="12">
        <v>2</v>
      </c>
      <c r="C28" s="12" t="str">
        <f ca="1">ExecutiveSummaryFirstPage!F19</f>
        <v>$413M - $619M</v>
      </c>
      <c r="G28" s="13" t="s">
        <v>424</v>
      </c>
    </row>
    <row r="29" spans="1:7">
      <c r="A29" s="12"/>
      <c r="B29" s="12">
        <v>2</v>
      </c>
      <c r="C29" s="12" t="str">
        <f ca="1">ExecutiveSummaryFirstPage!F20</f>
        <v>$474M - $711M</v>
      </c>
      <c r="G29" s="115" t="s">
        <v>425</v>
      </c>
    </row>
    <row r="30" spans="1:7">
      <c r="A30" s="12">
        <v>13</v>
      </c>
      <c r="B30" s="12">
        <v>2</v>
      </c>
      <c r="C30" s="113" t="str">
        <f>TEXT(0%,"0.00%")</f>
        <v>0.00%</v>
      </c>
      <c r="G30" s="13" t="s">
        <v>426</v>
      </c>
    </row>
    <row r="31" spans="1:7">
      <c r="A31" s="12">
        <v>15</v>
      </c>
      <c r="B31" s="12">
        <v>2</v>
      </c>
      <c r="C31" s="12" t="s">
        <v>420</v>
      </c>
      <c r="G31" s="115" t="s">
        <v>427</v>
      </c>
    </row>
    <row r="32" spans="1:7">
      <c r="A32" s="12">
        <v>16</v>
      </c>
      <c r="B32" s="12">
        <v>2</v>
      </c>
      <c r="C32" s="12" t="s">
        <v>420</v>
      </c>
      <c r="G32" s="13" t="s">
        <v>428</v>
      </c>
    </row>
    <row r="33" spans="1:7">
      <c r="A33" s="12">
        <v>17</v>
      </c>
      <c r="B33" s="12">
        <v>2</v>
      </c>
      <c r="C33" s="12" t="s">
        <v>420</v>
      </c>
      <c r="G33" s="13" t="s">
        <v>429</v>
      </c>
    </row>
    <row r="34" spans="1:7">
      <c r="A34" s="12">
        <v>18</v>
      </c>
      <c r="B34" s="12">
        <v>2</v>
      </c>
      <c r="C34" s="114" t="str" cm="1">
        <f t="array" aca="1" ref="C34" ca="1">TEXT(VALUE(INDIRECT("Data!"&amp;ADDRESS(Data!$B$22,E34))), "0.00%")</f>
        <v>23.09%</v>
      </c>
      <c r="D34" s="3" t="s">
        <v>191</v>
      </c>
      <c r="E34" s="3">
        <f t="shared" ref="E34:E39" si="0">MATCH(D34,SKCOLNAMES,0)</f>
        <v>127</v>
      </c>
      <c r="G34" s="13" t="s">
        <v>430</v>
      </c>
    </row>
    <row r="35" spans="1:7">
      <c r="A35" s="12">
        <v>19</v>
      </c>
      <c r="B35" s="12">
        <v>2</v>
      </c>
      <c r="C35" s="12" cm="1">
        <f t="array" aca="1" ref="C35" ca="1">VALUE(INDIRECT("Data!"&amp;ADDRESS(Data!$B$22,E35)))</f>
        <v>2147</v>
      </c>
      <c r="D35" s="3" t="s">
        <v>104</v>
      </c>
      <c r="E35" s="3">
        <f t="shared" si="0"/>
        <v>59</v>
      </c>
      <c r="G35" s="13" t="s">
        <v>104</v>
      </c>
    </row>
    <row r="36" spans="1:7">
      <c r="A36" s="12">
        <v>20</v>
      </c>
      <c r="B36" s="12">
        <v>2</v>
      </c>
      <c r="C36" s="12" cm="1">
        <f t="array" aca="1" ref="C36" ca="1">VALUE(INDIRECT("Data!"&amp;ADDRESS(Data!$B$22,E36)))</f>
        <v>9297</v>
      </c>
      <c r="D36" s="3" t="s">
        <v>192</v>
      </c>
      <c r="E36" s="3">
        <f t="shared" si="0"/>
        <v>128</v>
      </c>
      <c r="G36" s="13" t="s">
        <v>431</v>
      </c>
    </row>
    <row r="37" spans="1:7">
      <c r="A37" s="12">
        <v>21</v>
      </c>
      <c r="B37" s="12">
        <v>2</v>
      </c>
      <c r="C37" s="114" t="str" cm="1">
        <f t="array" aca="1" ref="C37" ca="1">TEXT(VALUE(INDIRECT("Data!"&amp;ADDRESS(Data!$B$22,E37))), "0.00%")</f>
        <v>30.03%</v>
      </c>
      <c r="D37" s="3" t="s">
        <v>196</v>
      </c>
      <c r="E37" s="3">
        <f t="shared" si="0"/>
        <v>129</v>
      </c>
      <c r="G37" s="115" t="s">
        <v>432</v>
      </c>
    </row>
    <row r="38" spans="1:7">
      <c r="A38" s="12">
        <v>23</v>
      </c>
      <c r="B38" s="12">
        <v>2</v>
      </c>
      <c r="C38" s="114" t="str" cm="1">
        <f t="array" aca="1" ref="C38" ca="1">TEXT(VALUE(INDIRECT("Data!"&amp;ADDRESS(Data!$B$22,E38))), "0.00%")</f>
        <v>23.09%</v>
      </c>
      <c r="D38" s="3" t="s">
        <v>191</v>
      </c>
      <c r="E38" s="3">
        <f t="shared" si="0"/>
        <v>127</v>
      </c>
      <c r="G38" s="13" t="s">
        <v>433</v>
      </c>
    </row>
    <row r="39" spans="1:7">
      <c r="A39" s="12">
        <v>24</v>
      </c>
      <c r="B39" s="12">
        <v>2</v>
      </c>
      <c r="C39" s="114" t="str">
        <f ca="1">C37</f>
        <v>30.03%</v>
      </c>
      <c r="D39" s="3" t="s">
        <v>196</v>
      </c>
      <c r="E39" s="3">
        <f t="shared" si="0"/>
        <v>129</v>
      </c>
      <c r="G39" s="13" t="s">
        <v>434</v>
      </c>
    </row>
    <row r="40" spans="1:7">
      <c r="A40" s="12"/>
      <c r="B40" s="12"/>
    </row>
    <row r="41" spans="1:7">
      <c r="A41" s="12" t="s">
        <v>460</v>
      </c>
      <c r="B41" s="12">
        <f ca="1">CccPage_CCC</f>
        <v>0.5</v>
      </c>
    </row>
    <row r="42" spans="1:7">
      <c r="A42" s="12"/>
      <c r="B42" s="12"/>
    </row>
    <row r="43" spans="1:7">
      <c r="A43" s="12"/>
      <c r="B43" s="12"/>
    </row>
    <row r="44" spans="1:7">
      <c r="A44" s="12"/>
      <c r="B44" s="12"/>
    </row>
    <row r="45" spans="1:7">
      <c r="A45" s="3" t="s">
        <v>809</v>
      </c>
      <c r="B45" s="3" t="s">
        <v>803</v>
      </c>
    </row>
    <row r="46" spans="1:7">
      <c r="A46" s="12" t="s">
        <v>810</v>
      </c>
      <c r="B46" s="12">
        <v>350</v>
      </c>
    </row>
    <row r="47" spans="1:7">
      <c r="A47" s="12" t="s">
        <v>154</v>
      </c>
      <c r="B47" s="12">
        <v>400</v>
      </c>
    </row>
    <row r="48" spans="1:7">
      <c r="A48" s="12"/>
      <c r="B48" s="12"/>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FormatBenefitSummaryPage2">
                <anchor moveWithCells="1" sizeWithCells="1">
                  <from>
                    <xdr:col>12</xdr:col>
                    <xdr:colOff>114300</xdr:colOff>
                    <xdr:row>0</xdr:row>
                    <xdr:rowOff>123825</xdr:rowOff>
                  </from>
                  <to>
                    <xdr:col>13</xdr:col>
                    <xdr:colOff>561975</xdr:colOff>
                    <xdr:row>2</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49FB-4405-40AF-BB87-EBE090843577}">
  <sheetPr codeName="Sheet21"/>
  <dimension ref="A1:F46"/>
  <sheetViews>
    <sheetView workbookViewId="0">
      <selection activeCell="Q26" sqref="Q26"/>
    </sheetView>
  </sheetViews>
  <sheetFormatPr defaultRowHeight="11.25"/>
  <cols>
    <col min="1" max="1" width="20.85546875" style="3" customWidth="1"/>
    <col min="2" max="3" width="9.140625" style="3"/>
    <col min="4" max="4" width="15.28515625" style="3" customWidth="1"/>
    <col min="5" max="16384" width="9.140625" style="3"/>
  </cols>
  <sheetData>
    <row r="1" spans="1:4">
      <c r="B1" s="4" t="s">
        <v>435</v>
      </c>
      <c r="C1" s="4" t="s">
        <v>436</v>
      </c>
      <c r="D1" s="4" t="s">
        <v>40</v>
      </c>
    </row>
    <row r="2" spans="1:4">
      <c r="B2" s="4" t="s">
        <v>181</v>
      </c>
      <c r="C2" s="4" t="s">
        <v>414</v>
      </c>
      <c r="D2" s="4" t="s">
        <v>367</v>
      </c>
    </row>
    <row r="3" spans="1:4">
      <c r="B3" s="116">
        <f>MATCH(B2,SKCOLNAMES,0)</f>
        <v>132</v>
      </c>
      <c r="C3" s="116">
        <f>MATCH(C2,SKCOLNAMES,0)</f>
        <v>111</v>
      </c>
      <c r="D3" s="116">
        <f>MATCH(D2,SKCOLNAMES,0)</f>
        <v>56</v>
      </c>
    </row>
    <row r="4" spans="1:4">
      <c r="A4" s="117">
        <v>1</v>
      </c>
      <c r="B4" s="3" t="str" cm="1">
        <f t="array" aca="1" ref="B4" ca="1">INDIRECT("Data!" &amp; ADDRESS($A4+1,B$3))</f>
        <v>BRF SA</v>
      </c>
      <c r="C4" s="3" cm="1">
        <f t="array" aca="1" ref="C4" ca="1">INDIRECT("Data!" &amp; ADDRESS($A4+1,C$3))</f>
        <v>0.54320105820105824</v>
      </c>
      <c r="D4" s="3" cm="1">
        <f t="array" aca="1" ref="D4" ca="1">INDIRECT("Data!" &amp; ADDRESS($A4+1,D$3))</f>
        <v>0.73333333333333328</v>
      </c>
    </row>
    <row r="5" spans="1:4">
      <c r="A5" s="117">
        <f t="shared" ref="A5:A23" si="0">A4+1</f>
        <v>2</v>
      </c>
      <c r="B5" s="3" t="str" cm="1">
        <f t="array" aca="1" ref="B5" ca="1">INDIRECT("Data!" &amp; ADDRESS($A5+1,B$3))</f>
        <v>CAMPBELL SOUP CO</v>
      </c>
      <c r="C5" s="3" cm="1">
        <f t="array" aca="1" ref="C5" ca="1">INDIRECT("Data!" &amp; ADDRESS($A5+1,C$3))</f>
        <v>0.51645502645502639</v>
      </c>
      <c r="D5" s="3" cm="1">
        <f t="array" aca="1" ref="D5" ca="1">INDIRECT("Data!" &amp; ADDRESS($A5+1,D$3))</f>
        <v>0</v>
      </c>
    </row>
    <row r="6" spans="1:4">
      <c r="A6" s="117">
        <f t="shared" si="0"/>
        <v>3</v>
      </c>
      <c r="B6" s="3" t="str" cm="1">
        <f t="array" aca="1" ref="B6" ca="1">INDIRECT("Data!" &amp; ADDRESS($A6+1,B$3))</f>
        <v>CONAGRA BRANDS INC</v>
      </c>
      <c r="C6" s="3" cm="1">
        <f t="array" aca="1" ref="C6" ca="1">INDIRECT("Data!" &amp; ADDRESS($A6+1,C$3))</f>
        <v>0.65425925925925932</v>
      </c>
      <c r="D6" s="3" cm="1">
        <f t="array" aca="1" ref="D6" ca="1">INDIRECT("Data!" &amp; ADDRESS($A6+1,D$3))</f>
        <v>0.26666666666666666</v>
      </c>
    </row>
    <row r="7" spans="1:4">
      <c r="A7" s="117">
        <f t="shared" si="0"/>
        <v>4</v>
      </c>
      <c r="B7" s="3" t="str" cm="1">
        <f t="array" aca="1" ref="B7" ca="1">INDIRECT("Data!" &amp; ADDRESS($A7+1,B$3))</f>
        <v>DANONE S.A.</v>
      </c>
      <c r="C7" s="3" cm="1">
        <f t="array" aca="1" ref="C7" ca="1">INDIRECT("Data!" &amp; ADDRESS($A7+1,C$3))</f>
        <v>0.52232804232804242</v>
      </c>
      <c r="D7" s="3" cm="1">
        <f t="array" aca="1" ref="D7" ca="1">INDIRECT("Data!" &amp; ADDRESS($A7+1,D$3))</f>
        <v>0.8666666666666667</v>
      </c>
    </row>
    <row r="8" spans="1:4">
      <c r="A8" s="117">
        <f t="shared" si="0"/>
        <v>5</v>
      </c>
      <c r="B8" s="3" t="str" cm="1">
        <f t="array" aca="1" ref="B8" ca="1">INDIRECT("Data!" &amp; ADDRESS($A8+1,B$3))</f>
        <v>GENERAL MILLS INC</v>
      </c>
      <c r="C8" s="3" cm="1">
        <f t="array" aca="1" ref="C8" ca="1">INDIRECT("Data!" &amp; ADDRESS($A8+1,C$3))</f>
        <v>0.57280423280423276</v>
      </c>
      <c r="D8" s="3" cm="1">
        <f t="array" aca="1" ref="D8" ca="1">INDIRECT("Data!" &amp; ADDRESS($A8+1,D$3))</f>
        <v>0.66666666666666663</v>
      </c>
    </row>
    <row r="9" spans="1:4">
      <c r="A9" s="117">
        <f t="shared" si="0"/>
        <v>6</v>
      </c>
      <c r="B9" s="3" t="str" cm="1">
        <f t="array" aca="1" ref="B9" ca="1">INDIRECT("Data!" &amp; ADDRESS($A9+1,B$3))</f>
        <v>HAIN CELESTIAL</v>
      </c>
      <c r="C9" s="3" cm="1">
        <f t="array" aca="1" ref="C9" ca="1">INDIRECT("Data!" &amp; ADDRESS($A9+1,C$3))</f>
        <v>0.55939153439153433</v>
      </c>
      <c r="D9" s="3" cm="1">
        <f t="array" aca="1" ref="D9" ca="1">INDIRECT("Data!" &amp; ADDRESS($A9+1,D$3))</f>
        <v>0.13333333333333333</v>
      </c>
    </row>
    <row r="10" spans="1:4">
      <c r="A10" s="117">
        <f t="shared" si="0"/>
        <v>7</v>
      </c>
      <c r="B10" s="3" t="str" cm="1">
        <f t="array" aca="1" ref="B10" ca="1">IF(A10&lt;=$B$28,INDIRECT("Data!" &amp; ADDRESS($A10+1,B$3)),"")</f>
        <v>HERSHEY CO</v>
      </c>
      <c r="C10" s="3" cm="1">
        <f t="array" aca="1" ref="C10" ca="1">INDIRECT("Data!" &amp; ADDRESS($A10+1,C$3))</f>
        <v>0.56791005291005292</v>
      </c>
      <c r="D10" s="3" cm="1">
        <f t="array" aca="1" ref="D10" ca="1">INDIRECT("Data!" &amp; ADDRESS($A10+1,D$3))</f>
        <v>0.93333333333333335</v>
      </c>
    </row>
    <row r="11" spans="1:4">
      <c r="A11" s="117">
        <f t="shared" si="0"/>
        <v>8</v>
      </c>
      <c r="B11" s="3" t="str" cm="1">
        <f t="array" aca="1" ref="B11" ca="1">IF(A11&lt;=$B$28,INDIRECT("Data!" &amp; ADDRESS($A11+1,B$3)),"")</f>
        <v>HORMEL FOODS CORP</v>
      </c>
      <c r="C11" s="3" cm="1">
        <f t="array" aca="1" ref="C11" ca="1">INDIRECT("Data!" &amp; ADDRESS($A11+1,C$3))</f>
        <v>0.4766137566137566</v>
      </c>
      <c r="D11" s="3" cm="1">
        <f t="array" aca="1" ref="D11" ca="1">INDIRECT("Data!" &amp; ADDRESS($A11+1,D$3))</f>
        <v>0.8</v>
      </c>
    </row>
    <row r="12" spans="1:4">
      <c r="A12" s="117">
        <f t="shared" si="0"/>
        <v>9</v>
      </c>
      <c r="B12" s="3" t="str" cm="1">
        <f t="array" aca="1" ref="B12" ca="1">IF(A12&lt;=$B$28,INDIRECT("Data!" &amp; ADDRESS($A12+1,B$3)),"")</f>
        <v>J M SMUCKER CO</v>
      </c>
      <c r="C12" s="3" cm="1">
        <f t="array" aca="1" ref="C12" ca="1">INDIRECT("Data!" &amp; ADDRESS($A12+1,C$3))</f>
        <v>0.37989417989417984</v>
      </c>
      <c r="D12" s="3" cm="1">
        <f t="array" aca="1" ref="D12" ca="1">INDIRECT("Data!" &amp; ADDRESS($A12+1,D$3))</f>
        <v>0.46666666666666667</v>
      </c>
    </row>
    <row r="13" spans="1:4">
      <c r="A13" s="117">
        <f t="shared" si="0"/>
        <v>10</v>
      </c>
      <c r="B13" s="3" t="str" cm="1">
        <f t="array" aca="1" ref="B13" ca="1">IF(A13&lt;=$B$28,INDIRECT("Data!" &amp; ADDRESS($A13+1,B$3)),"")</f>
        <v>KELLOGG CO</v>
      </c>
      <c r="C13" s="3" cm="1">
        <f t="array" aca="1" ref="C13" ca="1">INDIRECT("Data!" &amp; ADDRESS($A13+1,C$3))</f>
        <v>0.44571428571428573</v>
      </c>
      <c r="D13" s="3" cm="1">
        <f t="array" aca="1" ref="D13" ca="1">INDIRECT("Data!" &amp; ADDRESS($A13+1,D$3))</f>
        <v>0.53333333333333333</v>
      </c>
    </row>
    <row r="14" spans="1:4">
      <c r="A14" s="117">
        <f t="shared" si="0"/>
        <v>11</v>
      </c>
      <c r="B14" s="3" t="str" cm="1">
        <f t="array" aca="1" ref="B14" ca="1">IF(A14&lt;=$B$28,INDIRECT("Data!" &amp; ADDRESS($A14+1,B$3)),"")</f>
        <v>KRAFT HEINZ CO</v>
      </c>
      <c r="C14" s="3" cm="1">
        <f t="array" aca="1" ref="C14" ca="1">INDIRECT("Data!" &amp; ADDRESS($A14+1,C$3))</f>
        <v>0.40597883597883599</v>
      </c>
      <c r="D14" s="3" cm="1">
        <f t="array" aca="1" ref="D14" ca="1">INDIRECT("Data!" &amp; ADDRESS($A14+1,D$3))</f>
        <v>0.6</v>
      </c>
    </row>
    <row r="15" spans="1:4">
      <c r="A15" s="117">
        <f t="shared" si="0"/>
        <v>12</v>
      </c>
      <c r="B15" s="3" t="str" cm="1">
        <f t="array" aca="1" ref="B15" ca="1">IF(A15&lt;=$B$28,INDIRECT("Data!" &amp; ADDRESS($A15+1,B$3)),"")</f>
        <v>LAMB WESTON</v>
      </c>
      <c r="C15" s="3" cm="1">
        <f t="array" aca="1" ref="C15" ca="1">INDIRECT("Data!" &amp; ADDRESS($A15+1,C$3))</f>
        <v>0.59193121693121697</v>
      </c>
      <c r="D15" s="3" cm="1">
        <f t="array" aca="1" ref="D15" ca="1">INDIRECT("Data!" &amp; ADDRESS($A15+1,D$3))</f>
        <v>1</v>
      </c>
    </row>
    <row r="16" spans="1:4">
      <c r="A16" s="117">
        <f t="shared" si="0"/>
        <v>13</v>
      </c>
      <c r="B16" s="3" t="str" cm="1">
        <f t="array" aca="1" ref="B16" ca="1">IF(A16&lt;=$B$28,INDIRECT("Data!" &amp; ADDRESS($A16+1,B$3)),"")</f>
        <v>MCCORMICK &amp; CO INC</v>
      </c>
      <c r="C16" s="3" cm="1">
        <f t="array" aca="1" ref="C16" ca="1">INDIRECT("Data!" &amp; ADDRESS($A16+1,C$3))</f>
        <v>0.39846560846560847</v>
      </c>
      <c r="D16" s="3" cm="1">
        <f t="array" aca="1" ref="D16" ca="1">INDIRECT("Data!" &amp; ADDRESS($A16+1,D$3))</f>
        <v>0.33333333333333331</v>
      </c>
    </row>
    <row r="17" spans="1:4">
      <c r="A17" s="117">
        <f t="shared" si="0"/>
        <v>14</v>
      </c>
      <c r="B17" s="3" t="str" cm="1">
        <f t="array" aca="1" ref="B17" ca="1">IF(A17&lt;=$B$28,INDIRECT("Data!" &amp; ADDRESS($A17+1,B$3)),"")</f>
        <v>MONDELEZ</v>
      </c>
      <c r="C17" s="3" cm="1">
        <f t="array" aca="1" ref="C17" ca="1">INDIRECT("Data!" &amp; ADDRESS($A17+1,C$3))</f>
        <v>0.53428571428571436</v>
      </c>
      <c r="D17" s="3" cm="1">
        <f t="array" aca="1" ref="D17" ca="1">INDIRECT("Data!" &amp; ADDRESS($A17+1,D$3))</f>
        <v>6.6666666666666666E-2</v>
      </c>
    </row>
    <row r="18" spans="1:4">
      <c r="A18" s="117">
        <f t="shared" si="0"/>
        <v>15</v>
      </c>
      <c r="B18" s="3" t="str" cm="1">
        <f t="array" aca="1" ref="B18" ca="1">IF(A18&lt;=$B$28,INDIRECT("Data!" &amp; ADDRESS($A18+1,B$3)),"")</f>
        <v>PILGRIMS PRIDE CORP</v>
      </c>
      <c r="C18" s="3" cm="1">
        <f t="array" aca="1" ref="C18" ca="1">INDIRECT("Data!" &amp; ADDRESS($A18+1,C$3))</f>
        <v>0.46759259259259262</v>
      </c>
      <c r="D18" s="3" cm="1">
        <f t="array" aca="1" ref="D18" ca="1">INDIRECT("Data!" &amp; ADDRESS($A18+1,D$3))</f>
        <v>0.4</v>
      </c>
    </row>
    <row r="19" spans="1:4">
      <c r="A19" s="117">
        <f t="shared" si="0"/>
        <v>16</v>
      </c>
      <c r="B19" s="3" t="str" cm="1">
        <f t="array" aca="1" ref="B19" ca="1">IF(A19&lt;=$B$28,INDIRECT("Data!" &amp; ADDRESS($A19+1,B$3)),"")</f>
        <v>TYSON FOODS INC</v>
      </c>
      <c r="C19" s="3" cm="1">
        <f t="array" aca="1" ref="C19" ca="1">INDIRECT("Data!" &amp; ADDRESS($A19+1,C$3))</f>
        <v>0.64888888888888885</v>
      </c>
      <c r="D19" s="3" cm="1">
        <f t="array" aca="1" ref="D19" ca="1">INDIRECT("Data!" &amp; ADDRESS($A19+1,D$3))</f>
        <v>0.2</v>
      </c>
    </row>
    <row r="20" spans="1:4">
      <c r="A20" s="117">
        <f t="shared" si="0"/>
        <v>17</v>
      </c>
      <c r="B20" s="3" t="str" cm="1">
        <f t="array" aca="1" ref="B20" ca="1">IF(A20&lt;=$B$28,INDIRECT("Data!" &amp; ADDRESS($A20+1,B$3)),"")</f>
        <v/>
      </c>
      <c r="C20" s="3" cm="1">
        <f t="array" aca="1" ref="C20" ca="1">INDIRECT("Data!" &amp; ADDRESS($A20+1,C$3))</f>
        <v>0</v>
      </c>
      <c r="D20" s="3" cm="1">
        <f t="array" aca="1" ref="D20" ca="1">INDIRECT("Data!" &amp; ADDRESS($A20+1,D$3))</f>
        <v>0</v>
      </c>
    </row>
    <row r="21" spans="1:4">
      <c r="A21" s="117">
        <f t="shared" si="0"/>
        <v>18</v>
      </c>
      <c r="B21" s="3" t="str" cm="1">
        <f t="array" aca="1" ref="B21" ca="1">IF(A21&lt;=$B$28,INDIRECT("Data!" &amp; ADDRESS($A21+1,B$3)),"")</f>
        <v/>
      </c>
      <c r="C21" s="3" cm="1">
        <f t="array" aca="1" ref="C21" ca="1">INDIRECT("Data!" &amp; ADDRESS($A21+1,C$3))</f>
        <v>0</v>
      </c>
      <c r="D21" s="3" cm="1">
        <f t="array" aca="1" ref="D21" ca="1">INDIRECT("Data!" &amp; ADDRESS($A21+1,D$3))</f>
        <v>0</v>
      </c>
    </row>
    <row r="22" spans="1:4">
      <c r="A22" s="117">
        <f t="shared" si="0"/>
        <v>19</v>
      </c>
      <c r="B22" s="3" t="str" cm="1">
        <f t="array" aca="1" ref="B22" ca="1">IF(A22&lt;=$B$28,INDIRECT("Data!" &amp; ADDRESS($A22+1,B$3)),"")</f>
        <v/>
      </c>
      <c r="C22" s="3" cm="1">
        <f t="array" aca="1" ref="C22" ca="1">INDIRECT("Data!" &amp; ADDRESS($A22+1,C$3))</f>
        <v>0</v>
      </c>
      <c r="D22" s="3" cm="1">
        <f t="array" aca="1" ref="D22" ca="1">INDIRECT("Data!" &amp; ADDRESS($A22+1,D$3))</f>
        <v>0</v>
      </c>
    </row>
    <row r="23" spans="1:4">
      <c r="A23" s="117">
        <f t="shared" si="0"/>
        <v>20</v>
      </c>
      <c r="B23" s="3" t="str" cm="1">
        <f t="array" aca="1" ref="B23" ca="1">IF(A23&lt;=$B$28,INDIRECT("Data!" &amp; ADDRESS($A23+1,B$3)),"")</f>
        <v/>
      </c>
      <c r="C23" s="3" cm="1">
        <f t="array" aca="1" ref="C23" ca="1">INDIRECT("Data!" &amp; ADDRESS($A23+1,C$3))</f>
        <v>0</v>
      </c>
      <c r="D23" s="3" cm="1">
        <f t="array" aca="1" ref="D23" ca="1">INDIRECT("Data!" &amp; ADDRESS($A23+1,D$3))</f>
        <v>0</v>
      </c>
    </row>
    <row r="25" spans="1:4">
      <c r="A25" s="3" t="s">
        <v>12</v>
      </c>
      <c r="B25" s="3">
        <v>220</v>
      </c>
    </row>
    <row r="26" spans="1:4">
      <c r="A26" s="3" t="s">
        <v>13</v>
      </c>
      <c r="B26" s="3">
        <v>165</v>
      </c>
      <c r="C26" s="3">
        <v>160</v>
      </c>
    </row>
    <row r="27" spans="1:4">
      <c r="A27" s="3" t="s">
        <v>41</v>
      </c>
      <c r="B27" s="3">
        <v>0.6</v>
      </c>
    </row>
    <row r="28" spans="1:4">
      <c r="A28" s="3" t="s">
        <v>239</v>
      </c>
      <c r="B28" s="3">
        <f>Data!B21</f>
        <v>16</v>
      </c>
    </row>
    <row r="38" spans="1:6">
      <c r="C38" s="4" t="s">
        <v>1</v>
      </c>
      <c r="D38" s="4" t="s">
        <v>0</v>
      </c>
    </row>
    <row r="39" spans="1:6">
      <c r="A39" s="120" t="str">
        <f>C2</f>
        <v>COMPOSITESCORE</v>
      </c>
      <c r="B39" s="3">
        <f>37 + MATCH(A39,BDNAMES2,0) - 1</f>
        <v>86</v>
      </c>
      <c r="C39" s="3" cm="1">
        <f t="array" aca="1" ref="C39" ca="1">VALUE(INDIRECT("Data!" &amp; ADDRESS($B39,7)))</f>
        <v>0.52830687830687839</v>
      </c>
      <c r="D39" s="3" cm="1">
        <f t="array" aca="1" ref="D39" ca="1">VALUE(INDIRECT("Data!" &amp; ADDRESS($B39,8)))</f>
        <v>0.56913359788359785</v>
      </c>
    </row>
    <row r="40" spans="1:6">
      <c r="A40" s="120" t="s">
        <v>367</v>
      </c>
      <c r="B40" s="3">
        <f>37 + MATCH(A40,BDNAMES2,0) - 1</f>
        <v>87</v>
      </c>
      <c r="C40" s="3" cm="1">
        <f t="array" aca="1" ref="C40" ca="1">VALUE(INDIRECT("Data!" &amp; ADDRESS($B40,7)))</f>
        <v>0.5</v>
      </c>
      <c r="D40" s="3" cm="1">
        <f t="array" aca="1" ref="D40" ca="1">VALUE(INDIRECT("Data!" &amp; ADDRESS($B40,8)))</f>
        <v>0.75</v>
      </c>
    </row>
    <row r="42" spans="1:6">
      <c r="C42" s="4" t="s">
        <v>447</v>
      </c>
      <c r="D42" s="4" t="s">
        <v>448</v>
      </c>
      <c r="E42" s="4" t="s">
        <v>449</v>
      </c>
      <c r="F42" s="4" t="s">
        <v>450</v>
      </c>
    </row>
    <row r="43" spans="1:6">
      <c r="A43" s="3" t="s">
        <v>451</v>
      </c>
      <c r="C43" s="3">
        <f ca="1">C39</f>
        <v>0.52830687830687839</v>
      </c>
      <c r="D43" s="3">
        <f ca="1">C43</f>
        <v>0.52830687830687839</v>
      </c>
      <c r="E43" s="3">
        <v>0</v>
      </c>
      <c r="F43" s="3">
        <v>1</v>
      </c>
    </row>
    <row r="44" spans="1:6">
      <c r="A44" s="3" t="s">
        <v>452</v>
      </c>
      <c r="C44" s="3">
        <f ca="1">D39</f>
        <v>0.56913359788359785</v>
      </c>
      <c r="D44" s="3">
        <f ca="1">C44</f>
        <v>0.56913359788359785</v>
      </c>
      <c r="E44" s="3">
        <v>0</v>
      </c>
      <c r="F44" s="3">
        <v>1</v>
      </c>
    </row>
    <row r="45" spans="1:6">
      <c r="A45" s="3" t="s">
        <v>453</v>
      </c>
      <c r="C45" s="3">
        <v>0</v>
      </c>
      <c r="D45" s="3">
        <v>1</v>
      </c>
      <c r="E45" s="3">
        <f ca="1">C40</f>
        <v>0.5</v>
      </c>
      <c r="F45" s="3">
        <f ca="1">E45</f>
        <v>0.5</v>
      </c>
    </row>
    <row r="46" spans="1:6">
      <c r="A46" s="3" t="s">
        <v>454</v>
      </c>
      <c r="C46" s="3">
        <v>0</v>
      </c>
      <c r="D46" s="3">
        <v>1</v>
      </c>
      <c r="E46" s="3">
        <f ca="1">D40</f>
        <v>0.75</v>
      </c>
      <c r="F46" s="3">
        <f ca="1">E46</f>
        <v>0.75</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ProcessTwoArrowPageDev">
                <anchor moveWithCells="1" sizeWithCells="1">
                  <from>
                    <xdr:col>17</xdr:col>
                    <xdr:colOff>485775</xdr:colOff>
                    <xdr:row>7</xdr:row>
                    <xdr:rowOff>123825</xdr:rowOff>
                  </from>
                  <to>
                    <xdr:col>19</xdr:col>
                    <xdr:colOff>323850</xdr:colOff>
                    <xdr:row>9</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ABCB4-FFAF-4F9A-BE20-B1752F278901}">
  <sheetPr codeName="Sheet6"/>
  <dimension ref="A1:K54"/>
  <sheetViews>
    <sheetView topLeftCell="D1" workbookViewId="0">
      <selection activeCell="H13" sqref="H13"/>
    </sheetView>
  </sheetViews>
  <sheetFormatPr defaultRowHeight="15"/>
  <cols>
    <col min="1" max="1" width="27" customWidth="1"/>
    <col min="2" max="2" width="18.28515625" customWidth="1"/>
    <col min="3" max="3" width="17.85546875" customWidth="1"/>
    <col min="4" max="4" width="16.140625" customWidth="1"/>
    <col min="5" max="5" width="18" customWidth="1"/>
    <col min="6" max="6" width="10.28515625" customWidth="1"/>
    <col min="7" max="7" width="10.85546875" customWidth="1"/>
  </cols>
  <sheetData>
    <row r="1" spans="1:11" s="3" customFormat="1" ht="11.25">
      <c r="A1" s="3" t="s">
        <v>64</v>
      </c>
      <c r="B1" s="12" t="s">
        <v>63</v>
      </c>
      <c r="C1" s="12" t="s">
        <v>66</v>
      </c>
      <c r="D1" s="12" t="s">
        <v>67</v>
      </c>
      <c r="E1" s="12" t="str">
        <f ca="1">Data!B25</f>
        <v>CAMPBELL SOUP CO</v>
      </c>
      <c r="F1" s="12" t="s">
        <v>2</v>
      </c>
      <c r="G1" s="12" t="s">
        <v>62</v>
      </c>
      <c r="H1" s="12" t="s">
        <v>0</v>
      </c>
      <c r="I1" s="12" t="s">
        <v>89</v>
      </c>
      <c r="J1" s="12" t="s">
        <v>90</v>
      </c>
      <c r="K1" s="12" t="s">
        <v>91</v>
      </c>
    </row>
    <row r="2" spans="1:11" s="3" customFormat="1" ht="11.25">
      <c r="A2" s="3" t="s">
        <v>65</v>
      </c>
      <c r="B2" s="3">
        <v>175</v>
      </c>
      <c r="C2" s="3">
        <v>125</v>
      </c>
      <c r="D2" s="3">
        <v>80</v>
      </c>
      <c r="E2" s="3">
        <v>80</v>
      </c>
      <c r="F2" s="3">
        <v>80</v>
      </c>
      <c r="G2" s="3">
        <v>80</v>
      </c>
      <c r="H2" s="3">
        <v>80</v>
      </c>
    </row>
    <row r="3" spans="1:11" s="3" customFormat="1" ht="11.25">
      <c r="A3" s="3" t="s">
        <v>51</v>
      </c>
      <c r="B3" s="3" t="s">
        <v>256</v>
      </c>
      <c r="C3" s="6" t="s">
        <v>74</v>
      </c>
      <c r="E3" s="98" cm="1">
        <f t="array" aca="1" ref="E3" ca="1">ROUND(VALUE(INDIRECT("Data!"&amp;ADDRESS($B20,E$14))),4)</f>
        <v>-5.5800000000000002E-2</v>
      </c>
      <c r="F3" s="98" cm="1">
        <f t="array" aca="1" ref="F3" ca="1">ROUND(VALUE(INDIRECT("Data!"&amp;ADDRESS($B20,F$14))),4)</f>
        <v>-5.5199999999999999E-2</v>
      </c>
      <c r="G3" s="98" cm="1">
        <f t="array" aca="1" ref="G3" ca="1">ROUND(VALUE(INDIRECT("Data!"&amp;ADDRESS($B20,G$14))),4)</f>
        <v>-6.9999999999999999E-4</v>
      </c>
      <c r="H3" s="98" cm="1">
        <f t="array" aca="1" ref="H3" ca="1">ROUND(VALUE(INDIRECT("Data!"&amp;ADDRESS($B20,H$14))),4)</f>
        <v>9.9500000000000005E-2</v>
      </c>
      <c r="I3" s="3" t="b">
        <v>0</v>
      </c>
      <c r="J3" s="12">
        <f t="shared" ref="J3:J13" ca="1" si="0">IF(E3&gt;=H3, 0, IF(E3&gt;G3, 1, IF(E3&gt;F3, 2, 3)))</f>
        <v>3</v>
      </c>
      <c r="K3" s="99">
        <f t="shared" ref="K3:K13" ca="1" si="1">IF(I3,3-J3,J3)</f>
        <v>3</v>
      </c>
    </row>
    <row r="4" spans="1:11" s="3" customFormat="1" ht="11.25">
      <c r="A4" s="3" t="s">
        <v>52</v>
      </c>
      <c r="B4" s="3" t="s">
        <v>68</v>
      </c>
      <c r="C4" s="6" t="s">
        <v>69</v>
      </c>
      <c r="E4" s="90" cm="1">
        <f t="array" aca="1" ref="E4" ca="1">ROUND(VALUE(INDIRECT("Data!"&amp;ADDRESS($B21,E$14)))*100,2)</f>
        <v>27.93</v>
      </c>
      <c r="F4" s="90" cm="1">
        <f t="array" aca="1" ref="F4" ca="1">ROUND(VALUE(INDIRECT("Data!"&amp;IF($I4, ADDRESS($B21,H$14),ADDRESS($B21,F$14)))) * 100,2)</f>
        <v>15.02</v>
      </c>
      <c r="G4" s="90" cm="1">
        <f t="array" aca="1" ref="G4" ca="1">ROUND(VALUE(INDIRECT("Data!"&amp;ADDRESS($B21,G$14))) * 100,2)</f>
        <v>24.64</v>
      </c>
      <c r="H4" s="90" cm="1">
        <f t="array" aca="1" ref="H4" ca="1">ROUND(VALUE(INDIRECT("Data!"&amp;IF($I4, ADDRESS($B21,F$14),ADDRESS($B21,H$14)))) * 100,2)</f>
        <v>36.799999999999997</v>
      </c>
      <c r="I4" s="3" t="b">
        <v>0</v>
      </c>
      <c r="J4" s="12">
        <f t="shared" ca="1" si="0"/>
        <v>1</v>
      </c>
      <c r="K4" s="99">
        <f t="shared" ca="1" si="1"/>
        <v>1</v>
      </c>
    </row>
    <row r="5" spans="1:11" s="3" customFormat="1" ht="11.25">
      <c r="A5" s="3" t="s">
        <v>53</v>
      </c>
      <c r="B5" s="3" t="s">
        <v>70</v>
      </c>
      <c r="C5" s="6" t="s">
        <v>71</v>
      </c>
      <c r="E5" s="90" cm="1">
        <f t="array" aca="1" ref="E5" ca="1">ROUND(VALUE(INDIRECT("Data!"&amp;ADDRESS($B22,E$14)))*100,4)</f>
        <v>6.9431000000000003</v>
      </c>
      <c r="F5" s="90" cm="1">
        <f t="array" aca="1" ref="F5" ca="1">ROUND(VALUE(INDIRECT("Data!"&amp;ADDRESS($B22,F$14)))*100,4)</f>
        <v>2.6029</v>
      </c>
      <c r="G5" s="90" cm="1">
        <f t="array" aca="1" ref="G5" ca="1">ROUND(VALUE(INDIRECT("Data!"&amp;ADDRESS($B22,G$14)))*100,4)</f>
        <v>4.8323</v>
      </c>
      <c r="H5" s="90" cm="1">
        <f t="array" aca="1" ref="H5" ca="1">ROUND(VALUE(INDIRECT("Data!"&amp;ADDRESS($B22,H$14)))*100,4)</f>
        <v>6.1753999999999998</v>
      </c>
      <c r="I5" s="3" t="b">
        <v>0</v>
      </c>
      <c r="J5" s="12">
        <f t="shared" ca="1" si="0"/>
        <v>0</v>
      </c>
      <c r="K5" s="99">
        <f t="shared" ca="1" si="1"/>
        <v>0</v>
      </c>
    </row>
    <row r="6" spans="1:11" s="3" customFormat="1" ht="11.25">
      <c r="A6" s="3" t="s">
        <v>54</v>
      </c>
      <c r="B6" s="3" t="s">
        <v>72</v>
      </c>
      <c r="C6" s="6" t="s">
        <v>73</v>
      </c>
      <c r="E6" s="98" cm="1">
        <f t="array" aca="1" ref="E6" ca="1">ROUND(VALUE(INDIRECT("Data!"&amp;ADDRESS($B23,E$14))),4)</f>
        <v>9.8799999999999999E-2</v>
      </c>
      <c r="F6" s="98" cm="1">
        <f t="array" aca="1" ref="F6" ca="1">ROUND(VALUE(INDIRECT("Data!"&amp;ADDRESS($B23,F$14))),4)</f>
        <v>3.5099999999999999E-2</v>
      </c>
      <c r="G6" s="98" cm="1">
        <f t="array" aca="1" ref="G6" ca="1">ROUND(VALUE(INDIRECT("Data!"&amp;ADDRESS($B23,G$14))),4)</f>
        <v>5.3600000000000002E-2</v>
      </c>
      <c r="H6" s="98" cm="1">
        <f t="array" aca="1" ref="H6" ca="1">ROUND(VALUE(INDIRECT("Data!"&amp;ADDRESS($B23,H$14))),4)</f>
        <v>0.105</v>
      </c>
      <c r="I6" s="3" t="b">
        <v>0</v>
      </c>
      <c r="J6" s="12">
        <f t="shared" ca="1" si="0"/>
        <v>1</v>
      </c>
      <c r="K6" s="99">
        <f t="shared" ca="1" si="1"/>
        <v>1</v>
      </c>
    </row>
    <row r="7" spans="1:11" s="3" customFormat="1" ht="11.25">
      <c r="A7" s="3" t="s">
        <v>55</v>
      </c>
      <c r="B7" s="3" t="s">
        <v>87</v>
      </c>
      <c r="C7" s="6" t="s">
        <v>78</v>
      </c>
      <c r="E7" s="90" cm="1">
        <f t="array" aca="1" ref="E7" ca="1">ROUND(VALUE(INDIRECT("Data!"&amp;ADDRESS($B24,E$14))),2)</f>
        <v>0.78</v>
      </c>
      <c r="F7" s="90" cm="1">
        <f t="array" aca="1" ref="F7" ca="1">ROUND(VALUE(INDIRECT("Data!"&amp;IF($I7, ADDRESS($B24,H$14),ADDRESS($B24,F$14)))),2)</f>
        <v>0.76</v>
      </c>
      <c r="G7" s="90" cm="1">
        <f t="array" aca="1" ref="G7" ca="1">ROUND(VALUE(INDIRECT("Data!"&amp;ADDRESS($B24,G$14))),2)</f>
        <v>0.99</v>
      </c>
      <c r="H7" s="90" cm="1">
        <f t="array" aca="1" ref="H7" ca="1">ROUND(VALUE(INDIRECT("Data!"&amp;IF($I7, ADDRESS($B24,F$14),ADDRESS($B24,H$14)))),2)</f>
        <v>1.47</v>
      </c>
      <c r="I7" s="3" t="b">
        <v>0</v>
      </c>
      <c r="J7" s="12">
        <f t="shared" ca="1" si="0"/>
        <v>2</v>
      </c>
      <c r="K7" s="99">
        <f t="shared" ca="1" si="1"/>
        <v>2</v>
      </c>
    </row>
    <row r="8" spans="1:11" s="3" customFormat="1" ht="11.25">
      <c r="A8" s="3" t="s">
        <v>56</v>
      </c>
      <c r="B8" s="3" t="s">
        <v>75</v>
      </c>
      <c r="C8" s="6" t="s">
        <v>81</v>
      </c>
      <c r="E8" s="118" cm="1">
        <f t="array" aca="1" ref="E8" ca="1">ROUND(VALUE(INDIRECT("Data!"&amp;ADDRESS($B25,E$14))),4)</f>
        <v>0.1928</v>
      </c>
      <c r="F8" s="118" cm="1">
        <f t="array" aca="1" ref="F8" ca="1">ROUND(VALUE(INDIRECT("Data!"&amp;ADDRESS($B25,F$14))),4)</f>
        <v>0.16020000000000001</v>
      </c>
      <c r="G8" s="118" cm="1">
        <f t="array" aca="1" ref="G8" ca="1">ROUND(VALUE(INDIRECT("Data!"&amp;ADDRESS($B25,G$14))),4)</f>
        <v>0.1928</v>
      </c>
      <c r="H8" s="118" cm="1">
        <f t="array" aca="1" ref="H8" ca="1">ROUND(VALUE(INDIRECT("Data!"&amp;ADDRESS($B25,H$14))),4)</f>
        <v>0.26340000000000002</v>
      </c>
      <c r="I8" s="3" t="b">
        <v>0</v>
      </c>
      <c r="J8" s="12">
        <f t="shared" ca="1" si="0"/>
        <v>2</v>
      </c>
      <c r="K8" s="99">
        <f t="shared" ca="1" si="1"/>
        <v>2</v>
      </c>
    </row>
    <row r="9" spans="1:11" s="3" customFormat="1" ht="11.25">
      <c r="A9" s="3" t="s">
        <v>57</v>
      </c>
      <c r="B9" s="3" t="s">
        <v>76</v>
      </c>
      <c r="C9" s="6" t="s">
        <v>79</v>
      </c>
      <c r="E9" s="90" cm="1">
        <f t="array" aca="1" ref="E9" ca="1">ROUND(VALUE(INDIRECT("Data!"&amp;ADDRESS($B26,E$14))),2)</f>
        <v>1.2</v>
      </c>
      <c r="F9" s="90" cm="1">
        <f t="array" aca="1" ref="F9" ca="1">ROUND(VALUE(INDIRECT("Data!"&amp;IF($I9, ADDRESS($B26,H$14),ADDRESS($B26,F$14)))),2)</f>
        <v>1.06</v>
      </c>
      <c r="G9" s="90" cm="1">
        <f t="array" aca="1" ref="G9" ca="1">ROUND(VALUE(INDIRECT("Data!"&amp;ADDRESS($B26,G$14))),2)</f>
        <v>0.73</v>
      </c>
      <c r="H9" s="90" cm="1">
        <f t="array" aca="1" ref="H9" ca="1">ROUND(VALUE(INDIRECT("Data!"&amp;IF($I9, ADDRESS($B26,F$14),ADDRESS($B26,H$14)))),2)</f>
        <v>0.28000000000000003</v>
      </c>
      <c r="I9" s="3" t="b">
        <v>1</v>
      </c>
      <c r="J9" s="12">
        <f t="shared" ca="1" si="0"/>
        <v>0</v>
      </c>
      <c r="K9" s="99">
        <f t="shared" ca="1" si="1"/>
        <v>3</v>
      </c>
    </row>
    <row r="10" spans="1:11" s="3" customFormat="1" ht="11.25">
      <c r="A10" s="3" t="s">
        <v>58</v>
      </c>
      <c r="B10" s="3" t="s">
        <v>77</v>
      </c>
      <c r="C10" s="6" t="s">
        <v>80</v>
      </c>
      <c r="E10" s="90" cm="1">
        <f t="array" aca="1" ref="E10" ca="1">ROUND(VALUE(INDIRECT("Data!"&amp;ADDRESS($B27,E$14))),2)</f>
        <v>0.49</v>
      </c>
      <c r="F10" s="90" cm="1">
        <f t="array" aca="1" ref="F10" ca="1">ROUND(VALUE(INDIRECT("Data!"&amp;IF($I10, ADDRESS($B27,H$14),ADDRESS($B27,F$14)))),2)</f>
        <v>0.49</v>
      </c>
      <c r="G10" s="90" cm="1">
        <f t="array" aca="1" ref="G10" ca="1">ROUND(VALUE(INDIRECT("Data!"&amp;ADDRESS($B27,G$14))),2)</f>
        <v>0.68</v>
      </c>
      <c r="H10" s="90" cm="1">
        <f t="array" aca="1" ref="H10" ca="1">ROUND(VALUE(INDIRECT("Data!"&amp;IF($I10, ADDRESS($B27,F$14),ADDRESS($B27,H$14)))),2)</f>
        <v>0.82</v>
      </c>
      <c r="I10" s="3" t="b">
        <v>0</v>
      </c>
      <c r="J10" s="12">
        <f t="shared" ca="1" si="0"/>
        <v>3</v>
      </c>
      <c r="K10" s="99">
        <f t="shared" ca="1" si="1"/>
        <v>3</v>
      </c>
    </row>
    <row r="11" spans="1:11" s="3" customFormat="1" ht="11.25">
      <c r="A11" s="3" t="s">
        <v>59</v>
      </c>
      <c r="B11" s="3" t="s">
        <v>82</v>
      </c>
      <c r="C11" s="6" t="s">
        <v>83</v>
      </c>
      <c r="D11" s="4"/>
      <c r="E11" s="118" cm="1">
        <f t="array" aca="1" ref="E11" ca="1">ROUND(VALUE(INDIRECT("Data!"&amp;ADDRESS($B28,E$14))),4)</f>
        <v>0.12239999999999999</v>
      </c>
      <c r="F11" s="118" cm="1">
        <f t="array" aca="1" ref="F11" ca="1">ROUND(VALUE(INDIRECT("Data!"&amp;ADDRESS($B28,F$14))),4)</f>
        <v>9.4200000000000006E-2</v>
      </c>
      <c r="G11" s="118" cm="1">
        <f t="array" aca="1" ref="G11" ca="1">ROUND(VALUE(INDIRECT("Data!"&amp;ADDRESS($B28,G$14))),4)</f>
        <v>0.1208</v>
      </c>
      <c r="H11" s="118" cm="1">
        <f t="array" aca="1" ref="H11" ca="1">ROUND(VALUE(INDIRECT("Data!"&amp;ADDRESS($B28,H$14))),4)</f>
        <v>0.1464</v>
      </c>
      <c r="I11" s="3" t="b">
        <v>0</v>
      </c>
      <c r="J11" s="12">
        <f t="shared" ca="1" si="0"/>
        <v>1</v>
      </c>
      <c r="K11" s="99">
        <f t="shared" ca="1" si="1"/>
        <v>1</v>
      </c>
    </row>
    <row r="12" spans="1:11" s="3" customFormat="1" ht="11.25">
      <c r="A12" s="3" t="s">
        <v>60</v>
      </c>
      <c r="B12" s="3" t="s">
        <v>84</v>
      </c>
      <c r="C12" s="6" t="s">
        <v>85</v>
      </c>
      <c r="D12" s="98"/>
      <c r="E12" s="118" cm="1">
        <f t="array" aca="1" ref="E12" ca="1">ROUND(VALUE(INDIRECT("Data!"&amp;ADDRESS($B29,E$14))),4)</f>
        <v>0.36520000000000002</v>
      </c>
      <c r="F12" s="118" cm="1">
        <f t="array" aca="1" ref="F12" ca="1">ROUND(VALUE(INDIRECT("Data!"&amp;ADDRESS($B29,F$14))),4)</f>
        <v>0.33429999999999999</v>
      </c>
      <c r="G12" s="118" cm="1">
        <f t="array" aca="1" ref="G12" ca="1">ROUND(VALUE(INDIRECT("Data!"&amp;ADDRESS($B29,G$14))),4)</f>
        <v>0.44009999999999999</v>
      </c>
      <c r="H12" s="118" cm="1">
        <f t="array" aca="1" ref="H12" ca="1">ROUND(VALUE(INDIRECT("Data!"&amp;ADDRESS($B29,H$14))),4)</f>
        <v>0.4592</v>
      </c>
      <c r="I12" s="3" t="b">
        <v>1</v>
      </c>
      <c r="J12" s="12">
        <f t="shared" ca="1" si="0"/>
        <v>2</v>
      </c>
      <c r="K12" s="99">
        <f t="shared" ca="1" si="1"/>
        <v>1</v>
      </c>
    </row>
    <row r="13" spans="1:11" s="3" customFormat="1" ht="11.25">
      <c r="A13" s="3" t="s">
        <v>366</v>
      </c>
      <c r="B13" s="3" t="s">
        <v>86</v>
      </c>
      <c r="C13" s="6"/>
      <c r="D13" s="90"/>
      <c r="E13" s="118" cm="1">
        <f t="array" aca="1" ref="E13" ca="1">ROUND(VALUE(INDIRECT("Data!"&amp;ADDRESS($B30,E$14))),4)</f>
        <v>0.56000000000000005</v>
      </c>
      <c r="F13" s="118" cm="1">
        <f t="array" aca="1" ref="F13" ca="1">ROUND(VALUE(INDIRECT("Data!"&amp;ADDRESS($B30,F$14))),4)</f>
        <v>0.39169999999999999</v>
      </c>
      <c r="G13" s="118" cm="1">
        <f t="array" aca="1" ref="G13" ca="1">ROUND(VALUE(INDIRECT("Data!"&amp;ADDRESS($B30,G$14))),4)</f>
        <v>0.51670000000000005</v>
      </c>
      <c r="H13" s="118" cm="1">
        <f t="array" aca="1" ref="H13" ca="1">ROUND(VALUE(INDIRECT("Data!"&amp;ADDRESS($B30,H$14))),4)</f>
        <v>0.60170000000000001</v>
      </c>
      <c r="I13" s="3" t="b">
        <v>0</v>
      </c>
      <c r="J13" s="12">
        <f t="shared" ca="1" si="0"/>
        <v>1</v>
      </c>
      <c r="K13" s="99">
        <f t="shared" ca="1" si="1"/>
        <v>1</v>
      </c>
    </row>
    <row r="14" spans="1:11" s="3" customFormat="1" ht="11.25">
      <c r="A14" s="3" t="s">
        <v>12</v>
      </c>
      <c r="B14" s="41">
        <v>40</v>
      </c>
      <c r="C14" s="98"/>
      <c r="D14" s="98"/>
      <c r="E14" s="41">
        <v>11</v>
      </c>
      <c r="F14" s="3">
        <v>6</v>
      </c>
      <c r="G14" s="3">
        <v>7</v>
      </c>
      <c r="H14" s="3">
        <v>8</v>
      </c>
    </row>
    <row r="15" spans="1:11" s="3" customFormat="1" ht="11.25">
      <c r="A15" s="3" t="s">
        <v>13</v>
      </c>
      <c r="B15" s="41">
        <v>175</v>
      </c>
      <c r="C15" s="98" t="s">
        <v>799</v>
      </c>
      <c r="D15" s="98"/>
      <c r="E15" s="98"/>
    </row>
    <row r="16" spans="1:11" s="3" customFormat="1" ht="11.25">
      <c r="A16" s="3" t="s">
        <v>14</v>
      </c>
      <c r="B16" s="98">
        <v>1</v>
      </c>
      <c r="C16" s="98"/>
      <c r="D16" s="98"/>
      <c r="E16" s="98"/>
    </row>
    <row r="17" spans="1:5" s="3" customFormat="1" ht="11.25">
      <c r="A17" s="3" t="s">
        <v>15</v>
      </c>
      <c r="B17" s="98">
        <v>1</v>
      </c>
      <c r="C17" s="98"/>
      <c r="D17" s="98"/>
      <c r="E17" s="98"/>
    </row>
    <row r="18" spans="1:5" s="3" customFormat="1" ht="11.25">
      <c r="B18" s="98"/>
      <c r="C18" s="98"/>
      <c r="D18" s="98"/>
      <c r="E18" s="98"/>
    </row>
    <row r="19" spans="1:5" s="3" customFormat="1" ht="11.25">
      <c r="B19" s="98"/>
    </row>
    <row r="20" spans="1:5" s="3" customFormat="1" ht="11.25">
      <c r="A20" s="3" t="str">
        <f t="shared" ref="A20:A25" si="2">A3</f>
        <v>WCTA</v>
      </c>
      <c r="B20" s="12">
        <f t="shared" ref="B20:B30" si="3">37+MATCH(A20, BDNAMES2,0)-1</f>
        <v>48</v>
      </c>
    </row>
    <row r="21" spans="1:5" s="3" customFormat="1" ht="11.25">
      <c r="A21" s="3" t="str">
        <f t="shared" si="2"/>
        <v>CASHCL</v>
      </c>
      <c r="B21" s="12">
        <f t="shared" si="3"/>
        <v>49</v>
      </c>
    </row>
    <row r="22" spans="1:5" s="3" customFormat="1" ht="11.25">
      <c r="A22" s="3" t="str">
        <f t="shared" si="2"/>
        <v>CASHTA</v>
      </c>
      <c r="B22" s="12">
        <f t="shared" si="3"/>
        <v>50</v>
      </c>
    </row>
    <row r="23" spans="1:5" s="3" customFormat="1" ht="11.25">
      <c r="A23" s="3" t="str">
        <f t="shared" si="2"/>
        <v>CASHSALE</v>
      </c>
      <c r="B23" s="12">
        <f t="shared" si="3"/>
        <v>51</v>
      </c>
    </row>
    <row r="24" spans="1:5" s="3" customFormat="1" ht="11.25">
      <c r="A24" s="3" t="str">
        <f t="shared" si="2"/>
        <v>CCRatio</v>
      </c>
      <c r="B24" s="12">
        <f t="shared" si="3"/>
        <v>52</v>
      </c>
    </row>
    <row r="25" spans="1:5" s="3" customFormat="1" ht="11.25">
      <c r="A25" s="3" t="str">
        <f t="shared" si="2"/>
        <v>CATA</v>
      </c>
      <c r="B25" s="12">
        <f t="shared" si="3"/>
        <v>53</v>
      </c>
    </row>
    <row r="26" spans="1:5" s="3" customFormat="1" ht="11.25">
      <c r="A26" s="3" t="s">
        <v>164</v>
      </c>
      <c r="B26" s="12">
        <f t="shared" si="3"/>
        <v>54</v>
      </c>
    </row>
    <row r="27" spans="1:5" s="3" customFormat="1" ht="11.25">
      <c r="A27" s="3" t="str">
        <f>A10</f>
        <v>QRAT</v>
      </c>
      <c r="B27" s="12">
        <f t="shared" si="3"/>
        <v>55</v>
      </c>
    </row>
    <row r="28" spans="1:5" s="3" customFormat="1" ht="11.25">
      <c r="A28" s="3" t="str">
        <f>A11</f>
        <v>QTA</v>
      </c>
      <c r="B28" s="12">
        <f t="shared" si="3"/>
        <v>56</v>
      </c>
    </row>
    <row r="29" spans="1:5" s="3" customFormat="1" ht="11.25">
      <c r="A29" s="3" t="str">
        <f>A12</f>
        <v>INVCA</v>
      </c>
      <c r="B29" s="12">
        <f t="shared" si="3"/>
        <v>57</v>
      </c>
    </row>
    <row r="30" spans="1:5" s="3" customFormat="1" ht="11.25">
      <c r="A30" s="3" t="s">
        <v>366</v>
      </c>
      <c r="B30" s="12">
        <f t="shared" si="3"/>
        <v>78</v>
      </c>
    </row>
    <row r="31" spans="1:5" s="3" customFormat="1" ht="11.25"/>
    <row r="32" spans="1:5" s="3" customFormat="1" ht="11.25"/>
    <row r="33" spans="1:3" s="3" customFormat="1" ht="11.25"/>
    <row r="34" spans="1:3" s="3" customFormat="1" ht="11.25"/>
    <row r="35" spans="1:3" s="3" customFormat="1" ht="11.25"/>
    <row r="36" spans="1:3" s="3" customFormat="1" ht="11.25">
      <c r="A36" s="3" t="s">
        <v>471</v>
      </c>
      <c r="B36" s="90" cm="1">
        <f t="array" aca="1" ref="B36" ca="1">INDIRECT("DATA!" &amp; ADDRESS($B20,16))</f>
        <v>0.25</v>
      </c>
      <c r="C36" s="3" t="s">
        <v>504</v>
      </c>
    </row>
    <row r="37" spans="1:3" s="3" customFormat="1" ht="11.25">
      <c r="A37" s="3" t="s">
        <v>472</v>
      </c>
      <c r="B37" s="90" cm="1">
        <f t="array" aca="1" ref="B37" ca="1">INDIRECT("DATA!" &amp; ADDRESS($B21,16))</f>
        <v>0.5</v>
      </c>
      <c r="C37" s="3" t="s">
        <v>504</v>
      </c>
    </row>
    <row r="38" spans="1:3" s="3" customFormat="1" ht="11.25">
      <c r="A38" s="135" t="s">
        <v>53</v>
      </c>
      <c r="B38" s="90"/>
    </row>
    <row r="39" spans="1:3" s="3" customFormat="1" ht="11.25">
      <c r="A39" s="135" t="str">
        <f t="shared" ref="A39" si="4">A23</f>
        <v>CASHSALE</v>
      </c>
      <c r="B39" s="136"/>
    </row>
    <row r="40" spans="1:3" s="3" customFormat="1" ht="11.25">
      <c r="A40" s="3" t="s">
        <v>473</v>
      </c>
      <c r="B40" s="90" cm="1">
        <f t="array" aca="1" ref="B40" ca="1">INDIRECT("DATA!" &amp; ADDRESS($B24,16))</f>
        <v>0.5</v>
      </c>
      <c r="C40" s="3" t="s">
        <v>504</v>
      </c>
    </row>
    <row r="41" spans="1:3" s="3" customFormat="1" ht="11.25">
      <c r="A41" s="135" t="str">
        <f t="shared" ref="A41" si="5">A25</f>
        <v>CATA</v>
      </c>
      <c r="B41" s="136"/>
    </row>
    <row r="42" spans="1:3" s="3" customFormat="1" ht="11.25">
      <c r="A42" s="135" t="str">
        <f t="shared" ref="A42" si="6">A26</f>
        <v>CLEQ</v>
      </c>
      <c r="B42" s="136"/>
    </row>
    <row r="43" spans="1:3" s="3" customFormat="1" ht="11.25">
      <c r="A43" s="135" t="str">
        <f t="shared" ref="A43" si="7">A27</f>
        <v>QRAT</v>
      </c>
      <c r="B43" s="136"/>
    </row>
    <row r="44" spans="1:3" s="3" customFormat="1" ht="11.25">
      <c r="A44" s="135" t="str">
        <f t="shared" ref="A44" si="8">A28</f>
        <v>QTA</v>
      </c>
      <c r="B44" s="136"/>
    </row>
    <row r="45" spans="1:3" s="3" customFormat="1" ht="11.25">
      <c r="A45" s="135" t="str">
        <f t="shared" ref="A45" si="9">A29</f>
        <v>INVCA</v>
      </c>
      <c r="B45" s="136"/>
    </row>
    <row r="46" spans="1:3" s="3" customFormat="1" ht="11.25">
      <c r="A46" s="3" t="s">
        <v>470</v>
      </c>
      <c r="B46" s="90" cm="1">
        <f t="array" aca="1" ref="B46" ca="1">INDIRECT("DATA!" &amp; ADDRESS($B30,16))</f>
        <v>0.5</v>
      </c>
      <c r="C46" s="3" t="s">
        <v>504</v>
      </c>
    </row>
    <row r="47" spans="1:3" s="3" customFormat="1" ht="11.25"/>
    <row r="48" spans="1:3" s="3" customFormat="1" ht="11.25"/>
    <row r="49" s="3" customFormat="1" ht="11.25"/>
    <row r="50" s="3" customFormat="1" ht="11.25"/>
    <row r="51" s="3" customFormat="1" ht="11.25"/>
    <row r="52" s="3" customFormat="1" ht="11.25"/>
    <row r="53" s="3" customFormat="1" ht="11.25"/>
    <row r="54" s="3" customFormat="1" ht="11.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FormatLiquidityDriversPage">
                <anchor moveWithCells="1" sizeWithCells="1">
                  <from>
                    <xdr:col>8</xdr:col>
                    <xdr:colOff>438150</xdr:colOff>
                    <xdr:row>15</xdr:row>
                    <xdr:rowOff>38100</xdr:rowOff>
                  </from>
                  <to>
                    <xdr:col>10</xdr:col>
                    <xdr:colOff>514350</xdr:colOff>
                    <xdr:row>16</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77382-D0DC-49B2-B221-128E0D14C5E4}">
  <sheetPr codeName="Sheet22"/>
  <dimension ref="A1:F46"/>
  <sheetViews>
    <sheetView workbookViewId="0">
      <selection activeCell="T22" sqref="T22"/>
    </sheetView>
  </sheetViews>
  <sheetFormatPr defaultRowHeight="11.25"/>
  <cols>
    <col min="1" max="1" width="20.85546875" style="3" customWidth="1"/>
    <col min="2" max="3" width="9.140625" style="3"/>
    <col min="4" max="4" width="15.28515625" style="3" customWidth="1"/>
    <col min="5" max="16384" width="9.140625" style="3"/>
  </cols>
  <sheetData>
    <row r="1" spans="1:4">
      <c r="B1" s="4" t="s">
        <v>435</v>
      </c>
      <c r="C1" s="4" t="s">
        <v>436</v>
      </c>
      <c r="D1" s="4" t="s">
        <v>40</v>
      </c>
    </row>
    <row r="2" spans="1:4">
      <c r="B2" s="4" t="s">
        <v>181</v>
      </c>
      <c r="C2" s="4" t="s">
        <v>366</v>
      </c>
      <c r="D2" s="4" t="s">
        <v>367</v>
      </c>
    </row>
    <row r="3" spans="1:4">
      <c r="B3" s="116">
        <f>MATCH(B2,SKCOLNAMES,0)</f>
        <v>132</v>
      </c>
      <c r="C3" s="116">
        <f>MATCH(C2,SKCOLNAMES,0)</f>
        <v>49</v>
      </c>
      <c r="D3" s="116">
        <f>MATCH(D2,SKCOLNAMES,0)</f>
        <v>56</v>
      </c>
    </row>
    <row r="4" spans="1:4">
      <c r="A4" s="117">
        <v>1</v>
      </c>
      <c r="B4" s="3" t="str" cm="1">
        <f t="array" aca="1" ref="B4" ca="1">INDIRECT("Data!" &amp; ADDRESS($A4+1,B$3))</f>
        <v>BRF SA</v>
      </c>
      <c r="C4" s="3" cm="1">
        <f t="array" aca="1" ref="C4" ca="1">INDIRECT("Data!" &amp; ADDRESS($A4+1,C$3))</f>
        <v>0.44666666666666666</v>
      </c>
      <c r="D4" s="3" cm="1">
        <f t="array" aca="1" ref="D4" ca="1">INDIRECT("Data!" &amp; ADDRESS($A4+1,D$3))</f>
        <v>0.73333333333333328</v>
      </c>
    </row>
    <row r="5" spans="1:4">
      <c r="A5" s="117">
        <f t="shared" ref="A5:A23" si="0">A4+1</f>
        <v>2</v>
      </c>
      <c r="B5" s="3" t="str" cm="1">
        <f t="array" aca="1" ref="B5" ca="1">INDIRECT("Data!" &amp; ADDRESS($A5+1,B$3))</f>
        <v>CAMPBELL SOUP CO</v>
      </c>
      <c r="C5" s="3" cm="1">
        <f t="array" aca="1" ref="C5" ca="1">INDIRECT("Data!" &amp; ADDRESS($A5+1,C$3))</f>
        <v>0.56000000000000005</v>
      </c>
      <c r="D5" s="3" cm="1">
        <f t="array" aca="1" ref="D5" ca="1">INDIRECT("Data!" &amp; ADDRESS($A5+1,D$3))</f>
        <v>0</v>
      </c>
    </row>
    <row r="6" spans="1:4">
      <c r="A6" s="117">
        <f t="shared" si="0"/>
        <v>3</v>
      </c>
      <c r="B6" s="3" t="str" cm="1">
        <f t="array" aca="1" ref="B6" ca="1">INDIRECT("Data!" &amp; ADDRESS($A6+1,B$3))</f>
        <v>CONAGRA BRANDS INC</v>
      </c>
      <c r="C6" s="3" cm="1">
        <f t="array" aca="1" ref="C6" ca="1">INDIRECT("Data!" &amp; ADDRESS($A6+1,C$3))</f>
        <v>0.71333333333333337</v>
      </c>
      <c r="D6" s="3" cm="1">
        <f t="array" aca="1" ref="D6" ca="1">INDIRECT("Data!" &amp; ADDRESS($A6+1,D$3))</f>
        <v>0.26666666666666666</v>
      </c>
    </row>
    <row r="7" spans="1:4">
      <c r="A7" s="117">
        <f t="shared" si="0"/>
        <v>4</v>
      </c>
      <c r="B7" s="3" t="str" cm="1">
        <f t="array" aca="1" ref="B7" ca="1">INDIRECT("Data!" &amp; ADDRESS($A7+1,B$3))</f>
        <v>DANONE S.A.</v>
      </c>
      <c r="C7" s="3" cm="1">
        <f t="array" aca="1" ref="C7" ca="1">INDIRECT("Data!" &amp; ADDRESS($A7+1,C$3))</f>
        <v>0.52000000000000013</v>
      </c>
      <c r="D7" s="3" cm="1">
        <f t="array" aca="1" ref="D7" ca="1">INDIRECT("Data!" &amp; ADDRESS($A7+1,D$3))</f>
        <v>0.8666666666666667</v>
      </c>
    </row>
    <row r="8" spans="1:4">
      <c r="A8" s="117">
        <f t="shared" si="0"/>
        <v>5</v>
      </c>
      <c r="B8" s="3" t="str" cm="1">
        <f t="array" aca="1" ref="B8" ca="1">INDIRECT("Data!" &amp; ADDRESS($A8+1,B$3))</f>
        <v>GENERAL MILLS INC</v>
      </c>
      <c r="C8" s="3" cm="1">
        <f t="array" aca="1" ref="C8" ca="1">INDIRECT("Data!" &amp; ADDRESS($A8+1,C$3))</f>
        <v>0.89333333333333331</v>
      </c>
      <c r="D8" s="3" cm="1">
        <f t="array" aca="1" ref="D8" ca="1">INDIRECT("Data!" &amp; ADDRESS($A8+1,D$3))</f>
        <v>0.66666666666666663</v>
      </c>
    </row>
    <row r="9" spans="1:4">
      <c r="A9" s="117">
        <f t="shared" si="0"/>
        <v>6</v>
      </c>
      <c r="B9" s="3" t="str" cm="1">
        <f t="array" aca="1" ref="B9" ca="1">INDIRECT("Data!" &amp; ADDRESS($A9+1,B$3))</f>
        <v>HAIN CELESTIAL</v>
      </c>
      <c r="C9" s="3" cm="1">
        <f t="array" aca="1" ref="C9" ca="1">INDIRECT("Data!" &amp; ADDRESS($A9+1,C$3))</f>
        <v>0.71333333333333326</v>
      </c>
      <c r="D9" s="3" cm="1">
        <f t="array" aca="1" ref="D9" ca="1">INDIRECT("Data!" &amp; ADDRESS($A9+1,D$3))</f>
        <v>0.13333333333333333</v>
      </c>
    </row>
    <row r="10" spans="1:4">
      <c r="A10" s="117">
        <f t="shared" si="0"/>
        <v>7</v>
      </c>
      <c r="B10" s="3" t="str" cm="1">
        <f t="array" aca="1" ref="B10" ca="1">IF(A10&lt;=$B$28,INDIRECT("Data!" &amp; ADDRESS($A10+1,B$3)),"")</f>
        <v>HERSHEY CO</v>
      </c>
      <c r="C10" s="3" cm="1">
        <f t="array" aca="1" ref="C10" ca="1">INDIRECT("Data!" &amp; ADDRESS($A10+1,C$3))</f>
        <v>0.42000000000000004</v>
      </c>
      <c r="D10" s="3" cm="1">
        <f t="array" aca="1" ref="D10" ca="1">INDIRECT("Data!" &amp; ADDRESS($A10+1,D$3))</f>
        <v>0.93333333333333335</v>
      </c>
    </row>
    <row r="11" spans="1:4">
      <c r="A11" s="117">
        <f t="shared" si="0"/>
        <v>8</v>
      </c>
      <c r="B11" s="3" t="str" cm="1">
        <f t="array" aca="1" ref="B11" ca="1">IF(A11&lt;=$B$28,INDIRECT("Data!" &amp; ADDRESS($A11+1,B$3)),"")</f>
        <v>HORMEL FOODS CORP</v>
      </c>
      <c r="C11" s="3" cm="1">
        <f t="array" aca="1" ref="C11" ca="1">INDIRECT("Data!" &amp; ADDRESS($A11+1,C$3))</f>
        <v>0.42666666666666664</v>
      </c>
      <c r="D11" s="3" cm="1">
        <f t="array" aca="1" ref="D11" ca="1">INDIRECT("Data!" &amp; ADDRESS($A11+1,D$3))</f>
        <v>0.8</v>
      </c>
    </row>
    <row r="12" spans="1:4">
      <c r="A12" s="117">
        <f t="shared" si="0"/>
        <v>9</v>
      </c>
      <c r="B12" s="3" t="str" cm="1">
        <f t="array" aca="1" ref="B12" ca="1">IF(A12&lt;=$B$28,INDIRECT("Data!" &amp; ADDRESS($A12+1,B$3)),"")</f>
        <v>J M SMUCKER CO</v>
      </c>
      <c r="C12" s="3" cm="1">
        <f t="array" aca="1" ref="C12" ca="1">INDIRECT("Data!" &amp; ADDRESS($A12+1,C$3))</f>
        <v>0.2</v>
      </c>
      <c r="D12" s="3" cm="1">
        <f t="array" aca="1" ref="D12" ca="1">INDIRECT("Data!" &amp; ADDRESS($A12+1,D$3))</f>
        <v>0.46666666666666667</v>
      </c>
    </row>
    <row r="13" spans="1:4">
      <c r="A13" s="117">
        <f t="shared" si="0"/>
        <v>10</v>
      </c>
      <c r="B13" s="3" t="str" cm="1">
        <f t="array" aca="1" ref="B13" ca="1">IF(A13&lt;=$B$28,INDIRECT("Data!" &amp; ADDRESS($A13+1,B$3)),"")</f>
        <v>KELLOGG CO</v>
      </c>
      <c r="C13" s="3" cm="1">
        <f t="array" aca="1" ref="C13" ca="1">INDIRECT("Data!" &amp; ADDRESS($A13+1,C$3))</f>
        <v>0.2</v>
      </c>
      <c r="D13" s="3" cm="1">
        <f t="array" aca="1" ref="D13" ca="1">INDIRECT("Data!" &amp; ADDRESS($A13+1,D$3))</f>
        <v>0.53333333333333333</v>
      </c>
    </row>
    <row r="14" spans="1:4">
      <c r="A14" s="117">
        <f t="shared" si="0"/>
        <v>11</v>
      </c>
      <c r="B14" s="3" t="str" cm="1">
        <f t="array" aca="1" ref="B14" ca="1">IF(A14&lt;=$B$28,INDIRECT("Data!" &amp; ADDRESS($A14+1,B$3)),"")</f>
        <v>KRAFT HEINZ CO</v>
      </c>
      <c r="C14" s="3" cm="1">
        <f t="array" aca="1" ref="C14" ca="1">INDIRECT("Data!" &amp; ADDRESS($A14+1,C$3))</f>
        <v>0.25333333333333335</v>
      </c>
      <c r="D14" s="3" cm="1">
        <f t="array" aca="1" ref="D14" ca="1">INDIRECT("Data!" &amp; ADDRESS($A14+1,D$3))</f>
        <v>0.6</v>
      </c>
    </row>
    <row r="15" spans="1:4">
      <c r="A15" s="117">
        <f t="shared" si="0"/>
        <v>12</v>
      </c>
      <c r="B15" s="3" t="str" cm="1">
        <f t="array" aca="1" ref="B15" ca="1">IF(A15&lt;=$B$28,INDIRECT("Data!" &amp; ADDRESS($A15+1,B$3)),"")</f>
        <v>LAMB WESTON</v>
      </c>
      <c r="C15" s="3" cm="1">
        <f t="array" aca="1" ref="C15" ca="1">INDIRECT("Data!" &amp; ADDRESS($A15+1,C$3))</f>
        <v>0.51333333333333331</v>
      </c>
      <c r="D15" s="3" cm="1">
        <f t="array" aca="1" ref="D15" ca="1">INDIRECT("Data!" &amp; ADDRESS($A15+1,D$3))</f>
        <v>1</v>
      </c>
    </row>
    <row r="16" spans="1:4">
      <c r="A16" s="117">
        <f t="shared" si="0"/>
        <v>13</v>
      </c>
      <c r="B16" s="3" t="str" cm="1">
        <f t="array" aca="1" ref="B16" ca="1">IF(A16&lt;=$B$28,INDIRECT("Data!" &amp; ADDRESS($A16+1,B$3)),"")</f>
        <v>MCCORMICK &amp; CO INC</v>
      </c>
      <c r="C16" s="3" cm="1">
        <f t="array" aca="1" ref="C16" ca="1">INDIRECT("Data!" &amp; ADDRESS($A16+1,C$3))</f>
        <v>0.30666666666666664</v>
      </c>
      <c r="D16" s="3" cm="1">
        <f t="array" aca="1" ref="D16" ca="1">INDIRECT("Data!" &amp; ADDRESS($A16+1,D$3))</f>
        <v>0.33333333333333331</v>
      </c>
    </row>
    <row r="17" spans="1:4">
      <c r="A17" s="117">
        <f t="shared" si="0"/>
        <v>14</v>
      </c>
      <c r="B17" s="3" t="str" cm="1">
        <f t="array" aca="1" ref="B17" ca="1">IF(A17&lt;=$B$28,INDIRECT("Data!" &amp; ADDRESS($A17+1,B$3)),"")</f>
        <v>MONDELEZ</v>
      </c>
      <c r="C17" s="3" cm="1">
        <f t="array" aca="1" ref="C17" ca="1">INDIRECT("Data!" &amp; ADDRESS($A17+1,C$3))</f>
        <v>0.55999999999999994</v>
      </c>
      <c r="D17" s="3" cm="1">
        <f t="array" aca="1" ref="D17" ca="1">INDIRECT("Data!" &amp; ADDRESS($A17+1,D$3))</f>
        <v>6.6666666666666666E-2</v>
      </c>
    </row>
    <row r="18" spans="1:4">
      <c r="A18" s="117">
        <f t="shared" si="0"/>
        <v>15</v>
      </c>
      <c r="B18" s="3" t="str" cm="1">
        <f t="array" aca="1" ref="B18" ca="1">IF(A18&lt;=$B$28,INDIRECT("Data!" &amp; ADDRESS($A18+1,B$3)),"")</f>
        <v>PILGRIMS PRIDE CORP</v>
      </c>
      <c r="C18" s="3" cm="1">
        <f t="array" aca="1" ref="C18" ca="1">INDIRECT("Data!" &amp; ADDRESS($A18+1,C$3))</f>
        <v>0.56666666666666665</v>
      </c>
      <c r="D18" s="3" cm="1">
        <f t="array" aca="1" ref="D18" ca="1">INDIRECT("Data!" &amp; ADDRESS($A18+1,D$3))</f>
        <v>0.4</v>
      </c>
    </row>
    <row r="19" spans="1:4">
      <c r="A19" s="117">
        <f t="shared" si="0"/>
        <v>16</v>
      </c>
      <c r="B19" s="3" t="str" cm="1">
        <f t="array" aca="1" ref="B19" ca="1">IF(A19&lt;=$B$28,INDIRECT("Data!" &amp; ADDRESS($A19+1,B$3)),"")</f>
        <v>TYSON FOODS INC</v>
      </c>
      <c r="C19" s="3" cm="1">
        <f t="array" aca="1" ref="C19" ca="1">INDIRECT("Data!" &amp; ADDRESS($A19+1,C$3))</f>
        <v>0.70666666666666667</v>
      </c>
      <c r="D19" s="3" cm="1">
        <f t="array" aca="1" ref="D19" ca="1">INDIRECT("Data!" &amp; ADDRESS($A19+1,D$3))</f>
        <v>0.2</v>
      </c>
    </row>
    <row r="20" spans="1:4">
      <c r="A20" s="117">
        <f t="shared" si="0"/>
        <v>17</v>
      </c>
      <c r="B20" s="3" t="str" cm="1">
        <f t="array" aca="1" ref="B20" ca="1">IF(A20&lt;=$B$28,INDIRECT("Data!" &amp; ADDRESS($A20+1,B$3)),"")</f>
        <v/>
      </c>
      <c r="C20" s="3" cm="1">
        <f t="array" aca="1" ref="C20" ca="1">INDIRECT("Data!" &amp; ADDRESS($A20+1,C$3))</f>
        <v>0</v>
      </c>
      <c r="D20" s="3" cm="1">
        <f t="array" aca="1" ref="D20" ca="1">INDIRECT("Data!" &amp; ADDRESS($A20+1,D$3))</f>
        <v>0</v>
      </c>
    </row>
    <row r="21" spans="1:4">
      <c r="A21" s="117">
        <f t="shared" si="0"/>
        <v>18</v>
      </c>
      <c r="B21" s="3" t="str" cm="1">
        <f t="array" aca="1" ref="B21" ca="1">IF(A21&lt;=$B$28,INDIRECT("Data!" &amp; ADDRESS($A21+1,B$3)),"")</f>
        <v/>
      </c>
      <c r="C21" s="3" cm="1">
        <f t="array" aca="1" ref="C21" ca="1">INDIRECT("Data!" &amp; ADDRESS($A21+1,C$3))</f>
        <v>0</v>
      </c>
      <c r="D21" s="3" cm="1">
        <f t="array" aca="1" ref="D21" ca="1">INDIRECT("Data!" &amp; ADDRESS($A21+1,D$3))</f>
        <v>0</v>
      </c>
    </row>
    <row r="22" spans="1:4">
      <c r="A22" s="117">
        <f t="shared" si="0"/>
        <v>19</v>
      </c>
      <c r="B22" s="3" t="str" cm="1">
        <f t="array" aca="1" ref="B22" ca="1">IF(A22&lt;=$B$28,INDIRECT("Data!" &amp; ADDRESS($A22+1,B$3)),"")</f>
        <v/>
      </c>
      <c r="C22" s="3" cm="1">
        <f t="array" aca="1" ref="C22" ca="1">INDIRECT("Data!" &amp; ADDRESS($A22+1,C$3))</f>
        <v>0</v>
      </c>
      <c r="D22" s="3" cm="1">
        <f t="array" aca="1" ref="D22" ca="1">INDIRECT("Data!" &amp; ADDRESS($A22+1,D$3))</f>
        <v>0</v>
      </c>
    </row>
    <row r="23" spans="1:4">
      <c r="A23" s="117">
        <f t="shared" si="0"/>
        <v>20</v>
      </c>
      <c r="B23" s="3" t="str" cm="1">
        <f t="array" aca="1" ref="B23" ca="1">IF(A23&lt;=$B$28,INDIRECT("Data!" &amp; ADDRESS($A23+1,B$3)),"")</f>
        <v/>
      </c>
      <c r="C23" s="3" cm="1">
        <f t="array" aca="1" ref="C23" ca="1">INDIRECT("Data!" &amp; ADDRESS($A23+1,C$3))</f>
        <v>0</v>
      </c>
      <c r="D23" s="3" cm="1">
        <f t="array" aca="1" ref="D23" ca="1">INDIRECT("Data!" &amp; ADDRESS($A23+1,D$3))</f>
        <v>0</v>
      </c>
    </row>
    <row r="25" spans="1:4">
      <c r="A25" s="3" t="s">
        <v>12</v>
      </c>
      <c r="B25" s="3">
        <v>220</v>
      </c>
    </row>
    <row r="26" spans="1:4">
      <c r="A26" s="3" t="s">
        <v>13</v>
      </c>
      <c r="B26" s="3">
        <v>165</v>
      </c>
      <c r="C26" s="3">
        <v>160</v>
      </c>
    </row>
    <row r="27" spans="1:4">
      <c r="A27" s="3" t="s">
        <v>41</v>
      </c>
      <c r="B27" s="3">
        <v>0.6</v>
      </c>
    </row>
    <row r="28" spans="1:4">
      <c r="A28" s="3" t="s">
        <v>239</v>
      </c>
      <c r="B28" s="3">
        <f>Data!B21</f>
        <v>16</v>
      </c>
    </row>
    <row r="38" spans="1:6">
      <c r="C38" s="4" t="s">
        <v>1</v>
      </c>
      <c r="D38" s="4" t="s">
        <v>0</v>
      </c>
    </row>
    <row r="39" spans="1:6">
      <c r="A39" s="120" t="str">
        <f>C2</f>
        <v>LIQUIDITYSCORE</v>
      </c>
      <c r="B39" s="3">
        <f>37 + MATCH(A39,BDNAMES2,0) - 1</f>
        <v>78</v>
      </c>
      <c r="C39" s="3" cm="1">
        <f t="array" aca="1" ref="C39" ca="1">VALUE(INDIRECT("Data!" &amp; ADDRESS($B39,7)))</f>
        <v>0.51666666666666672</v>
      </c>
      <c r="D39" s="3" cm="1">
        <f t="array" aca="1" ref="D39" ca="1">VALUE(INDIRECT("Data!" &amp; ADDRESS($B39,8)))</f>
        <v>0.60166666666666668</v>
      </c>
    </row>
    <row r="40" spans="1:6">
      <c r="A40" s="120" t="s">
        <v>367</v>
      </c>
      <c r="B40" s="3">
        <f>37 + MATCH(A40,BDNAMES2,0) - 1</f>
        <v>87</v>
      </c>
      <c r="C40" s="3" cm="1">
        <f t="array" aca="1" ref="C40" ca="1">VALUE(INDIRECT("Data!" &amp; ADDRESS($B40,7)))</f>
        <v>0.5</v>
      </c>
      <c r="D40" s="3" cm="1">
        <f t="array" aca="1" ref="D40" ca="1">VALUE(INDIRECT("Data!" &amp; ADDRESS($B40,8)))</f>
        <v>0.75</v>
      </c>
    </row>
    <row r="42" spans="1:6">
      <c r="C42" s="4" t="s">
        <v>447</v>
      </c>
      <c r="D42" s="4" t="s">
        <v>448</v>
      </c>
      <c r="E42" s="4" t="s">
        <v>449</v>
      </c>
      <c r="F42" s="4" t="s">
        <v>450</v>
      </c>
    </row>
    <row r="43" spans="1:6">
      <c r="A43" s="3" t="s">
        <v>451</v>
      </c>
      <c r="C43" s="3">
        <f ca="1">C39</f>
        <v>0.51666666666666672</v>
      </c>
      <c r="D43" s="3">
        <f ca="1">C43</f>
        <v>0.51666666666666672</v>
      </c>
      <c r="E43" s="3">
        <v>0</v>
      </c>
      <c r="F43" s="3">
        <v>1</v>
      </c>
    </row>
    <row r="44" spans="1:6">
      <c r="A44" s="3" t="s">
        <v>452</v>
      </c>
      <c r="C44" s="3">
        <f ca="1">D39</f>
        <v>0.60166666666666668</v>
      </c>
      <c r="D44" s="3">
        <f ca="1">C44</f>
        <v>0.60166666666666668</v>
      </c>
      <c r="E44" s="3">
        <v>0</v>
      </c>
      <c r="F44" s="3">
        <v>1</v>
      </c>
    </row>
    <row r="45" spans="1:6">
      <c r="A45" s="3" t="s">
        <v>453</v>
      </c>
      <c r="C45" s="3">
        <v>0</v>
      </c>
      <c r="D45" s="3">
        <v>1</v>
      </c>
      <c r="E45" s="3">
        <f ca="1">C40</f>
        <v>0.5</v>
      </c>
      <c r="F45" s="3">
        <f ca="1">E45</f>
        <v>0.5</v>
      </c>
    </row>
    <row r="46" spans="1:6">
      <c r="A46" s="3" t="s">
        <v>454</v>
      </c>
      <c r="C46" s="3">
        <v>0</v>
      </c>
      <c r="D46" s="3">
        <v>1</v>
      </c>
      <c r="E46" s="3">
        <f ca="1">D40</f>
        <v>0.75</v>
      </c>
      <c r="F46" s="3">
        <f ca="1">E46</f>
        <v>0.75</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ProcessTwoArrowPageDev">
                <anchor moveWithCells="1" sizeWithCells="1">
                  <from>
                    <xdr:col>17</xdr:col>
                    <xdr:colOff>485775</xdr:colOff>
                    <xdr:row>7</xdr:row>
                    <xdr:rowOff>123825</xdr:rowOff>
                  </from>
                  <to>
                    <xdr:col>19</xdr:col>
                    <xdr:colOff>323850</xdr:colOff>
                    <xdr:row>9</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3FDA3-04F6-4DBD-9BFB-96CE0B904F47}">
  <sheetPr codeName="Sheet12"/>
  <dimension ref="A1:K53"/>
  <sheetViews>
    <sheetView topLeftCell="G9" workbookViewId="0">
      <selection activeCell="N19" sqref="N19"/>
    </sheetView>
  </sheetViews>
  <sheetFormatPr defaultRowHeight="15"/>
  <cols>
    <col min="1" max="1" width="28" customWidth="1"/>
    <col min="2" max="2" width="18.28515625" customWidth="1"/>
    <col min="3" max="3" width="17.85546875" customWidth="1"/>
    <col min="4" max="4" width="16.140625" customWidth="1"/>
    <col min="5" max="5" width="18" customWidth="1"/>
    <col min="6" max="6" width="10.28515625" customWidth="1"/>
    <col min="7" max="7" width="10.85546875" customWidth="1"/>
  </cols>
  <sheetData>
    <row r="1" spans="1:11" s="3" customFormat="1" ht="11.25">
      <c r="A1" s="3" t="s">
        <v>64</v>
      </c>
      <c r="B1" s="12" t="s">
        <v>438</v>
      </c>
      <c r="C1" s="12" t="s">
        <v>66</v>
      </c>
      <c r="D1" s="12" t="s">
        <v>67</v>
      </c>
      <c r="E1" s="12" t="str">
        <f ca="1">Data!B25</f>
        <v>CAMPBELL SOUP CO</v>
      </c>
      <c r="F1" s="12" t="s">
        <v>2</v>
      </c>
      <c r="G1" s="12" t="s">
        <v>62</v>
      </c>
      <c r="H1" s="12" t="s">
        <v>0</v>
      </c>
      <c r="I1" s="12" t="s">
        <v>89</v>
      </c>
      <c r="J1" s="12" t="s">
        <v>90</v>
      </c>
      <c r="K1" s="12" t="s">
        <v>91</v>
      </c>
    </row>
    <row r="2" spans="1:11" s="3" customFormat="1" ht="11.25">
      <c r="A2" s="3" t="s">
        <v>65</v>
      </c>
      <c r="B2" s="3">
        <v>175</v>
      </c>
      <c r="C2" s="3">
        <v>125</v>
      </c>
      <c r="D2" s="3">
        <v>80</v>
      </c>
      <c r="E2" s="3">
        <v>80</v>
      </c>
      <c r="F2" s="3">
        <v>80</v>
      </c>
      <c r="G2" s="3">
        <v>80</v>
      </c>
      <c r="H2" s="3">
        <v>80</v>
      </c>
    </row>
    <row r="3" spans="1:11" s="3" customFormat="1" ht="11.25">
      <c r="A3" s="3" t="s">
        <v>107</v>
      </c>
      <c r="B3" s="3" t="s">
        <v>252</v>
      </c>
      <c r="C3" s="6" t="s">
        <v>253</v>
      </c>
      <c r="E3" s="118" cm="1">
        <f t="array" aca="1" ref="E3" ca="1">ROUND(VALUE(INDIRECT("Data!"&amp;ADDRESS($B19,E$13))),4)</f>
        <v>0.13159999999999999</v>
      </c>
      <c r="F3" s="118" cm="1">
        <f t="array" aca="1" ref="F3" ca="1">ROUND(VALUE(INDIRECT("Data!"&amp;ADDRESS($B19,F$13))),4)</f>
        <v>4.8500000000000001E-2</v>
      </c>
      <c r="G3" s="118" cm="1">
        <f t="array" aca="1" ref="G3" ca="1">ROUND(VALUE(INDIRECT("Data!"&amp;ADDRESS($B19,G$13))),4)</f>
        <v>5.57E-2</v>
      </c>
      <c r="H3" s="118" cm="1">
        <f t="array" aca="1" ref="H3" ca="1">ROUND(VALUE(INDIRECT("Data!"&amp;ADDRESS($B19,H$13))),4)</f>
        <v>7.7799999999999994E-2</v>
      </c>
      <c r="I3" s="3" t="b">
        <v>0</v>
      </c>
      <c r="J3" s="12">
        <f t="shared" ref="J3:J9" ca="1" si="0">IF(E3&gt;=H3, 0, IF(E3&gt;G3, 1, IF(E3&gt;F3, 2, 3)))</f>
        <v>0</v>
      </c>
      <c r="K3" s="99">
        <f t="shared" ref="K3:K10" ca="1" si="1">IF(I3,3-J3,J3)</f>
        <v>0</v>
      </c>
    </row>
    <row r="4" spans="1:11" s="3" customFormat="1" ht="11.25">
      <c r="A4" s="3" t="s">
        <v>108</v>
      </c>
      <c r="B4" s="3" t="s">
        <v>254</v>
      </c>
      <c r="C4" s="6" t="s">
        <v>255</v>
      </c>
      <c r="E4" s="118" cm="1">
        <f t="array" aca="1" ref="E4" ca="1">ROUND(VALUE(INDIRECT("Data!"&amp;ADDRESS($B20,E$13))),2)</f>
        <v>0.64</v>
      </c>
      <c r="F4" s="118" cm="1">
        <f t="array" aca="1" ref="F4" ca="1">ROUND(VALUE(INDIRECT("Data!"&amp;IF($I4, ADDRESS($B20,H$13),ADDRESS($B20,F$13)))),2)</f>
        <v>0.11</v>
      </c>
      <c r="G4" s="118" cm="1">
        <f t="array" aca="1" ref="G4" ca="1">ROUND(VALUE(INDIRECT("Data!"&amp;ADDRESS($B20,G$13))),2)</f>
        <v>0.15</v>
      </c>
      <c r="H4" s="118" cm="1">
        <f t="array" aca="1" ref="H4" ca="1">ROUND(VALUE(INDIRECT("Data!"&amp;IF($I4, ADDRESS($B20,F$13),ADDRESS($B20,H$13)))),2)</f>
        <v>0.34</v>
      </c>
      <c r="I4" s="3" t="b">
        <v>0</v>
      </c>
      <c r="J4" s="12">
        <f t="shared" ca="1" si="0"/>
        <v>0</v>
      </c>
      <c r="K4" s="99">
        <f t="shared" ca="1" si="1"/>
        <v>0</v>
      </c>
    </row>
    <row r="5" spans="1:11" s="3" customFormat="1" ht="11.25">
      <c r="A5" s="3" t="s">
        <v>109</v>
      </c>
      <c r="B5" s="3" t="s">
        <v>257</v>
      </c>
      <c r="C5" s="6" t="s">
        <v>258</v>
      </c>
      <c r="E5" s="118" cm="1">
        <f t="array" aca="1" ref="E5" ca="1">ROUND(VALUE(INDIRECT("Data!"&amp;ADDRESS($B21,E$13))),4)</f>
        <v>0.34510000000000002</v>
      </c>
      <c r="F5" s="118" cm="1">
        <f t="array" aca="1" ref="F5" ca="1">ROUND(VALUE(INDIRECT("Data!"&amp;ADDRESS($B21,F$13))),4)</f>
        <v>0.22270000000000001</v>
      </c>
      <c r="G5" s="118" cm="1">
        <f t="array" aca="1" ref="G5" ca="1">ROUND(VALUE(INDIRECT("Data!"&amp;ADDRESS($B21,G$13))),4)</f>
        <v>0.32750000000000001</v>
      </c>
      <c r="H5" s="118" cm="1">
        <f t="array" aca="1" ref="H5" ca="1">ROUND(VALUE(INDIRECT("Data!"&amp;ADDRESS($B21,H$13))),4)</f>
        <v>0.3866</v>
      </c>
      <c r="I5" s="3" t="b">
        <v>1</v>
      </c>
      <c r="J5" s="12">
        <f t="shared" ca="1" si="0"/>
        <v>1</v>
      </c>
      <c r="K5" s="99">
        <f t="shared" ca="1" si="1"/>
        <v>2</v>
      </c>
    </row>
    <row r="6" spans="1:11" s="3" customFormat="1" ht="11.25">
      <c r="A6" s="3" t="s">
        <v>110</v>
      </c>
      <c r="B6" s="3" t="s">
        <v>259</v>
      </c>
      <c r="C6" s="6" t="s">
        <v>260</v>
      </c>
      <c r="E6" s="118" cm="1">
        <f t="array" aca="1" ref="E6" ca="1">ROUND(VALUE(INDIRECT("Data!"&amp;ADDRESS($B22,E$13))),4)</f>
        <v>0.18729999999999999</v>
      </c>
      <c r="F6" s="118" cm="1">
        <f t="array" aca="1" ref="F6" ca="1">ROUND(VALUE(INDIRECT("Data!"&amp;ADDRESS($B22,F$13))),4)</f>
        <v>6.1499999999999999E-2</v>
      </c>
      <c r="G6" s="118" cm="1">
        <f t="array" aca="1" ref="G6" ca="1">ROUND(VALUE(INDIRECT("Data!"&amp;ADDRESS($B22,G$13))),4)</f>
        <v>9.1200000000000003E-2</v>
      </c>
      <c r="H6" s="118" cm="1">
        <f t="array" aca="1" ref="H6" ca="1">ROUND(VALUE(INDIRECT("Data!"&amp;ADDRESS($B22,H$13))),4)</f>
        <v>0.1232</v>
      </c>
      <c r="I6" s="3" t="b">
        <v>0</v>
      </c>
      <c r="J6" s="12">
        <f t="shared" ca="1" si="0"/>
        <v>0</v>
      </c>
      <c r="K6" s="99">
        <f t="shared" ca="1" si="1"/>
        <v>0</v>
      </c>
    </row>
    <row r="7" spans="1:11" s="3" customFormat="1" ht="11.25">
      <c r="A7" s="3" t="s">
        <v>251</v>
      </c>
      <c r="B7" s="3" t="s">
        <v>261</v>
      </c>
      <c r="C7" s="6" t="s">
        <v>262</v>
      </c>
      <c r="E7" s="118" cm="1">
        <f t="array" aca="1" ref="E7" ca="1">ROUND(VALUE(INDIRECT("Data!"&amp;ADDRESS($B23,E$13))),2)</f>
        <v>0.25</v>
      </c>
      <c r="F7" s="118" cm="1">
        <f t="array" aca="1" ref="F7" ca="1">ROUND(VALUE(INDIRECT("Data!"&amp;IF($I7, ADDRESS($B23,H$13),ADDRESS($B23,F$13)))),2)</f>
        <v>0.1</v>
      </c>
      <c r="G7" s="118" cm="1">
        <f t="array" aca="1" ref="G7" ca="1">ROUND(VALUE(INDIRECT("Data!"&amp;ADDRESS($B23,G$13))),2)</f>
        <v>0.15</v>
      </c>
      <c r="H7" s="118" cm="1">
        <f t="array" aca="1" ref="H7" ca="1">ROUND(VALUE(INDIRECT("Data!"&amp;IF($I7, ADDRESS($B23,F$13),ADDRESS($B23,H$13)))),2)</f>
        <v>0.16</v>
      </c>
      <c r="I7" s="3" t="b">
        <v>0</v>
      </c>
      <c r="J7" s="12">
        <f t="shared" ca="1" si="0"/>
        <v>0</v>
      </c>
      <c r="K7" s="99">
        <f t="shared" ca="1" si="1"/>
        <v>0</v>
      </c>
    </row>
    <row r="8" spans="1:11" s="3" customFormat="1" ht="11.25">
      <c r="A8" s="3" t="s">
        <v>111</v>
      </c>
      <c r="B8" s="3" t="s">
        <v>263</v>
      </c>
      <c r="C8" s="6" t="s">
        <v>264</v>
      </c>
      <c r="E8" s="98" cm="1">
        <f t="array" aca="1" ref="E8" ca="1">ROUND(VALUE(INDIRECT("Data!"&amp;ADDRESS($B24,E$13))),4)</f>
        <v>0.17349999999999999</v>
      </c>
      <c r="F8" s="98" cm="1">
        <f t="array" aca="1" ref="F8" ca="1">ROUND(VALUE(INDIRECT("Data!"&amp;ADDRESS($B24,F$13))),4)</f>
        <v>7.0099999999999996E-2</v>
      </c>
      <c r="G8" s="98" cm="1">
        <f t="array" aca="1" ref="G8" ca="1">ROUND(VALUE(INDIRECT("Data!"&amp;ADDRESS($B24,G$13))),4)</f>
        <v>8.4099999999999994E-2</v>
      </c>
      <c r="H8" s="98" cm="1">
        <f t="array" aca="1" ref="H8" ca="1">ROUND(VALUE(INDIRECT("Data!"&amp;ADDRESS($B24,H$13))),4)</f>
        <v>0.11360000000000001</v>
      </c>
      <c r="I8" s="3" t="b">
        <v>0</v>
      </c>
      <c r="J8" s="12">
        <f t="shared" ca="1" si="0"/>
        <v>0</v>
      </c>
      <c r="K8" s="99">
        <f t="shared" ca="1" si="1"/>
        <v>0</v>
      </c>
    </row>
    <row r="9" spans="1:11" s="3" customFormat="1" ht="11.25">
      <c r="A9" s="3" t="s">
        <v>180</v>
      </c>
      <c r="B9" s="3" t="s">
        <v>439</v>
      </c>
      <c r="C9" s="6" t="s">
        <v>265</v>
      </c>
      <c r="E9" s="118" cm="1">
        <f t="array" aca="1" ref="E9" ca="1">ROUND(VALUE(INDIRECT("Data!"&amp;ADDRESS($B25,E$13))),4)</f>
        <v>0.18049999999999999</v>
      </c>
      <c r="F9" s="118" cm="1">
        <f t="array" aca="1" ref="F9" ca="1">ROUND(VALUE(INDIRECT("Data!"&amp;ADDRESS($B25,F$13))),4)</f>
        <v>0.13239999999999999</v>
      </c>
      <c r="G9" s="118" cm="1">
        <f t="array" aca="1" ref="G9" ca="1">ROUND(VALUE(INDIRECT("Data!"&amp;ADDRESS($B25,G$13))),4)</f>
        <v>0.1797</v>
      </c>
      <c r="H9" s="118" cm="1">
        <f t="array" aca="1" ref="H9" ca="1">ROUND(VALUE(INDIRECT("Data!"&amp;ADDRESS($B25,H$13))),4)</f>
        <v>0.2049</v>
      </c>
      <c r="I9" s="3" t="b">
        <v>0</v>
      </c>
      <c r="J9" s="12">
        <f t="shared" ca="1" si="0"/>
        <v>1</v>
      </c>
      <c r="K9" s="99">
        <f t="shared" ca="1" si="1"/>
        <v>1</v>
      </c>
    </row>
    <row r="10" spans="1:11" s="3" customFormat="1" ht="11.25">
      <c r="A10" s="3" t="s">
        <v>61</v>
      </c>
      <c r="B10" s="3" t="s">
        <v>266</v>
      </c>
      <c r="C10" s="6"/>
      <c r="D10" s="90"/>
      <c r="E10" s="118" cm="1">
        <f t="array" aca="1" ref="E10" ca="1">ROUND(VALUE(INDIRECT("Data!"&amp;ADDRESS($B26,E$13))),4)</f>
        <v>0.20949999999999999</v>
      </c>
      <c r="F10" s="118" cm="1">
        <f t="array" aca="1" ref="F10" ca="1">ROUND(VALUE(INDIRECT("Data!"&amp;ADDRESS($B26,F$13))),4)</f>
        <v>0.4</v>
      </c>
      <c r="G10" s="118" cm="1">
        <f t="array" aca="1" ref="G10" ca="1">ROUND(VALUE(INDIRECT("Data!"&amp;ADDRESS($B26,G$13))),4)</f>
        <v>0.54759999999999998</v>
      </c>
      <c r="H10" s="118" cm="1">
        <f t="array" aca="1" ref="H10" ca="1">ROUND(VALUE(INDIRECT("Data!"&amp;ADDRESS($B26,H$13))),4)</f>
        <v>0.73809999999999998</v>
      </c>
      <c r="I10" s="3" t="b">
        <v>0</v>
      </c>
      <c r="J10" s="12">
        <f t="shared" ref="J10" ca="1" si="2">IF(E10&gt;=H10, 0, IF(E10&gt;G10, 1, IF(E10&gt;F10, 2, 3)))</f>
        <v>3</v>
      </c>
      <c r="K10" s="99">
        <f t="shared" ca="1" si="1"/>
        <v>3</v>
      </c>
    </row>
    <row r="11" spans="1:11" s="3" customFormat="1" ht="11.25">
      <c r="C11" s="6"/>
      <c r="D11" s="98"/>
      <c r="E11" s="100"/>
      <c r="F11" s="100"/>
      <c r="G11" s="100"/>
      <c r="H11" s="100"/>
      <c r="J11" s="12"/>
      <c r="K11" s="99"/>
    </row>
    <row r="12" spans="1:11" s="3" customFormat="1" ht="11.25">
      <c r="C12" s="6"/>
      <c r="D12" s="90"/>
      <c r="E12" s="101"/>
      <c r="F12" s="101"/>
      <c r="G12" s="101"/>
      <c r="H12" s="101"/>
      <c r="J12" s="12"/>
      <c r="K12" s="99"/>
    </row>
    <row r="13" spans="1:11" s="3" customFormat="1" ht="11.25">
      <c r="C13" s="98"/>
      <c r="D13" s="98"/>
      <c r="E13" s="41">
        <v>11</v>
      </c>
      <c r="F13" s="3">
        <v>6</v>
      </c>
      <c r="G13" s="3">
        <v>7</v>
      </c>
      <c r="H13" s="3">
        <v>8</v>
      </c>
    </row>
    <row r="14" spans="1:11" s="3" customFormat="1" ht="11.25">
      <c r="A14" s="3" t="s">
        <v>12</v>
      </c>
      <c r="B14" s="41">
        <v>50</v>
      </c>
      <c r="C14" s="98"/>
      <c r="D14" s="98"/>
      <c r="E14" s="98"/>
    </row>
    <row r="15" spans="1:11" s="3" customFormat="1" ht="11.25">
      <c r="A15" s="3" t="s">
        <v>13</v>
      </c>
      <c r="B15" s="41">
        <v>200</v>
      </c>
      <c r="C15" s="98" t="s">
        <v>800</v>
      </c>
      <c r="D15" s="98"/>
      <c r="E15" s="98"/>
    </row>
    <row r="16" spans="1:11" s="3" customFormat="1" ht="11.25">
      <c r="A16" s="3" t="s">
        <v>14</v>
      </c>
      <c r="B16" s="98">
        <v>1</v>
      </c>
      <c r="C16" s="98"/>
      <c r="D16" s="98"/>
      <c r="E16" s="98"/>
    </row>
    <row r="17" spans="1:10" s="3" customFormat="1" ht="11.25">
      <c r="A17" s="3" t="s">
        <v>15</v>
      </c>
      <c r="B17" s="98">
        <v>1</v>
      </c>
      <c r="C17" s="98"/>
      <c r="D17" s="98"/>
      <c r="E17" s="98"/>
    </row>
    <row r="18" spans="1:10" s="3" customFormat="1" ht="11.25">
      <c r="B18" s="98"/>
    </row>
    <row r="19" spans="1:10" s="3" customFormat="1" ht="11.25">
      <c r="A19" s="3" t="str">
        <f t="shared" ref="A19:A25" si="3">A3</f>
        <v>ROA</v>
      </c>
      <c r="B19" s="12">
        <f t="shared" ref="B19:B26" si="4">37+MATCH(A19,BDNAMES2,0)-1</f>
        <v>58</v>
      </c>
    </row>
    <row r="20" spans="1:10" s="3" customFormat="1" ht="11.25">
      <c r="A20" s="3" t="str">
        <f t="shared" si="3"/>
        <v>ROE</v>
      </c>
      <c r="B20" s="12">
        <f t="shared" si="4"/>
        <v>59</v>
      </c>
    </row>
    <row r="21" spans="1:10" s="3" customFormat="1" ht="11.25">
      <c r="A21" s="3" t="str">
        <f t="shared" si="3"/>
        <v>GM1</v>
      </c>
      <c r="B21" s="12">
        <f t="shared" si="4"/>
        <v>46</v>
      </c>
    </row>
    <row r="22" spans="1:10" s="3" customFormat="1" ht="11.25">
      <c r="A22" s="3" t="str">
        <f t="shared" si="3"/>
        <v>NP1</v>
      </c>
      <c r="B22" s="12">
        <f t="shared" si="4"/>
        <v>60</v>
      </c>
    </row>
    <row r="23" spans="1:10" s="3" customFormat="1" ht="11.25">
      <c r="A23" s="3" t="str">
        <f t="shared" si="3"/>
        <v>OP1</v>
      </c>
      <c r="B23" s="12">
        <f t="shared" si="4"/>
        <v>61</v>
      </c>
    </row>
    <row r="24" spans="1:10" s="3" customFormat="1" ht="11.25">
      <c r="A24" s="3" t="str">
        <f t="shared" si="3"/>
        <v>EBITTA</v>
      </c>
      <c r="B24" s="12">
        <f t="shared" si="4"/>
        <v>62</v>
      </c>
    </row>
    <row r="25" spans="1:10" s="3" customFormat="1" ht="11.25">
      <c r="A25" s="3" t="str">
        <f t="shared" si="3"/>
        <v>SGM1</v>
      </c>
      <c r="B25" s="12">
        <f t="shared" si="4"/>
        <v>63</v>
      </c>
    </row>
    <row r="26" spans="1:10" s="3" customFormat="1" ht="11.25">
      <c r="A26" s="3" t="s">
        <v>382</v>
      </c>
      <c r="B26" s="12">
        <f t="shared" si="4"/>
        <v>79</v>
      </c>
    </row>
    <row r="27" spans="1:10" s="3" customFormat="1" ht="11.25">
      <c r="B27" s="12"/>
    </row>
    <row r="28" spans="1:10" s="3" customFormat="1" ht="11.25">
      <c r="B28" s="12"/>
    </row>
    <row r="29" spans="1:10" s="3" customFormat="1" ht="11.25">
      <c r="B29" s="12"/>
    </row>
    <row r="30" spans="1:10" s="3" customFormat="1" ht="11.25">
      <c r="C30" s="126"/>
      <c r="D30" s="126"/>
      <c r="E30" s="126"/>
      <c r="F30" s="126"/>
      <c r="G30" s="126"/>
      <c r="H30" s="126"/>
      <c r="I30" s="126"/>
      <c r="J30" s="126"/>
    </row>
    <row r="31" spans="1:10" s="3" customFormat="1" ht="11.25"/>
    <row r="32" spans="1:10" s="3" customFormat="1" ht="11.25"/>
    <row r="33" spans="1:3" s="3" customFormat="1" ht="11.25"/>
    <row r="34" spans="1:3" s="3" customFormat="1" ht="11.25"/>
    <row r="35" spans="1:3" s="3" customFormat="1" ht="11.25">
      <c r="A35" s="3" t="s">
        <v>476</v>
      </c>
      <c r="B35" s="90" cm="1">
        <f t="array" aca="1" ref="B35" ca="1">INDIRECT("DATA!" &amp; ADDRESS($B19,16))</f>
        <v>1</v>
      </c>
      <c r="C35" s="3" t="s">
        <v>504</v>
      </c>
    </row>
    <row r="36" spans="1:3" s="3" customFormat="1" ht="11.25">
      <c r="A36" s="135" t="str">
        <f t="shared" ref="A36" si="5">A20</f>
        <v>ROE</v>
      </c>
      <c r="B36" s="12"/>
    </row>
    <row r="37" spans="1:3" s="3" customFormat="1" ht="11.25">
      <c r="A37" s="135" t="str">
        <f t="shared" ref="A37" si="6">A21</f>
        <v>GM1</v>
      </c>
      <c r="B37" s="12"/>
    </row>
    <row r="38" spans="1:3" s="3" customFormat="1" ht="11.25">
      <c r="A38" s="135" t="str">
        <f t="shared" ref="A38" si="7">A22</f>
        <v>NP1</v>
      </c>
      <c r="B38" s="12"/>
    </row>
    <row r="39" spans="1:3" s="3" customFormat="1" ht="11.25">
      <c r="A39" s="135" t="str">
        <f t="shared" ref="A39" si="8">A23</f>
        <v>OP1</v>
      </c>
      <c r="B39" s="12"/>
    </row>
    <row r="40" spans="1:3" s="3" customFormat="1" ht="11.25">
      <c r="A40" s="135" t="str">
        <f t="shared" ref="A40" si="9">A24</f>
        <v>EBITTA</v>
      </c>
      <c r="B40" s="12"/>
    </row>
    <row r="41" spans="1:3" s="3" customFormat="1" ht="11.25">
      <c r="A41" s="3" t="s">
        <v>475</v>
      </c>
      <c r="B41" s="90" cm="1">
        <f t="array" aca="1" ref="B41" ca="1">INDIRECT("DATA!" &amp; ADDRESS($B25,16))</f>
        <v>0.5</v>
      </c>
      <c r="C41" s="3" t="s">
        <v>504</v>
      </c>
    </row>
    <row r="42" spans="1:3" s="3" customFormat="1" ht="11.25">
      <c r="A42" s="3" t="s">
        <v>474</v>
      </c>
      <c r="B42" s="90" cm="1">
        <f t="array" aca="1" ref="B42" ca="1">INDIRECT("DATA!" &amp; ADDRESS($B26,16))</f>
        <v>0</v>
      </c>
      <c r="C42" s="3" t="s">
        <v>504</v>
      </c>
    </row>
    <row r="43" spans="1:3" s="3" customFormat="1" ht="11.25"/>
    <row r="44" spans="1:3" s="3" customFormat="1" ht="11.25"/>
    <row r="45" spans="1:3" s="3" customFormat="1" ht="11.25"/>
    <row r="46" spans="1:3" s="3" customFormat="1" ht="11.25"/>
    <row r="47" spans="1:3" s="3" customFormat="1" ht="11.25"/>
    <row r="48" spans="1:3" s="3" customFormat="1" ht="11.25"/>
    <row r="49" s="3" customFormat="1" ht="11.25"/>
    <row r="50" s="3" customFormat="1" ht="11.25"/>
    <row r="51" s="3" customFormat="1" ht="11.25"/>
    <row r="52" s="3" customFormat="1" ht="11.25"/>
    <row r="53" s="3" customFormat="1" ht="11.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FormatLiquidityDriversPage">
                <anchor moveWithCells="1" sizeWithCells="1">
                  <from>
                    <xdr:col>8</xdr:col>
                    <xdr:colOff>438150</xdr:colOff>
                    <xdr:row>14</xdr:row>
                    <xdr:rowOff>38100</xdr:rowOff>
                  </from>
                  <to>
                    <xdr:col>10</xdr:col>
                    <xdr:colOff>514350</xdr:colOff>
                    <xdr:row>15</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23BA-B147-4850-AF87-8A56DCCDE5F6}">
  <sheetPr codeName="Sheet23"/>
  <dimension ref="A1:F46"/>
  <sheetViews>
    <sheetView topLeftCell="D1" workbookViewId="0">
      <selection activeCell="T28" sqref="T28"/>
    </sheetView>
  </sheetViews>
  <sheetFormatPr defaultRowHeight="11.25"/>
  <cols>
    <col min="1" max="1" width="20.85546875" style="3" customWidth="1"/>
    <col min="2" max="3" width="9.140625" style="3"/>
    <col min="4" max="4" width="15.28515625" style="3" customWidth="1"/>
    <col min="5" max="16384" width="9.140625" style="3"/>
  </cols>
  <sheetData>
    <row r="1" spans="1:4">
      <c r="B1" s="4" t="s">
        <v>435</v>
      </c>
      <c r="C1" s="4" t="s">
        <v>436</v>
      </c>
      <c r="D1" s="4" t="s">
        <v>40</v>
      </c>
    </row>
    <row r="2" spans="1:4">
      <c r="B2" s="4" t="s">
        <v>181</v>
      </c>
      <c r="C2" s="4" t="s">
        <v>382</v>
      </c>
      <c r="D2" s="4" t="s">
        <v>367</v>
      </c>
    </row>
    <row r="3" spans="1:4">
      <c r="B3" s="116">
        <f>MATCH(B2,SKCOLNAMES,0)</f>
        <v>132</v>
      </c>
      <c r="C3" s="116">
        <f>MATCH(C2,SKCOLNAMES,0)</f>
        <v>76</v>
      </c>
      <c r="D3" s="116">
        <f>MATCH(D2,SKCOLNAMES,0)</f>
        <v>56</v>
      </c>
    </row>
    <row r="4" spans="1:4">
      <c r="A4" s="117">
        <v>1</v>
      </c>
      <c r="B4" s="3" t="str" cm="1">
        <f t="array" aca="1" ref="B4" ca="1">INDIRECT("Data!" &amp; ADDRESS($A4+1,B$3))</f>
        <v>BRF SA</v>
      </c>
      <c r="C4" s="3" cm="1">
        <f t="array" aca="1" ref="C4" ca="1">INDIRECT("Data!" &amp; ADDRESS($A4+1,C$3))</f>
        <v>0.78095238095238084</v>
      </c>
      <c r="D4" s="3" cm="1">
        <f t="array" aca="1" ref="D4" ca="1">INDIRECT("Data!" &amp; ADDRESS($A4+1,D$3))</f>
        <v>0.73333333333333328</v>
      </c>
    </row>
    <row r="5" spans="1:4">
      <c r="A5" s="117">
        <f t="shared" ref="A5:A23" si="0">A4+1</f>
        <v>2</v>
      </c>
      <c r="B5" s="3" t="str" cm="1">
        <f t="array" aca="1" ref="B5" ca="1">INDIRECT("Data!" &amp; ADDRESS($A5+1,B$3))</f>
        <v>CAMPBELL SOUP CO</v>
      </c>
      <c r="C5" s="3" cm="1">
        <f t="array" aca="1" ref="C5" ca="1">INDIRECT("Data!" &amp; ADDRESS($A5+1,C$3))</f>
        <v>0.2095238095238095</v>
      </c>
      <c r="D5" s="3" cm="1">
        <f t="array" aca="1" ref="D5" ca="1">INDIRECT("Data!" &amp; ADDRESS($A5+1,D$3))</f>
        <v>0</v>
      </c>
    </row>
    <row r="6" spans="1:4">
      <c r="A6" s="117">
        <f t="shared" si="0"/>
        <v>3</v>
      </c>
      <c r="B6" s="3" t="str" cm="1">
        <f t="array" aca="1" ref="B6" ca="1">INDIRECT("Data!" &amp; ADDRESS($A6+1,B$3))</f>
        <v>CONAGRA BRANDS INC</v>
      </c>
      <c r="C6" s="3" cm="1">
        <f t="array" aca="1" ref="C6" ca="1">INDIRECT("Data!" &amp; ADDRESS($A6+1,C$3))</f>
        <v>0.53333333333333333</v>
      </c>
      <c r="D6" s="3" cm="1">
        <f t="array" aca="1" ref="D6" ca="1">INDIRECT("Data!" &amp; ADDRESS($A6+1,D$3))</f>
        <v>0.26666666666666666</v>
      </c>
    </row>
    <row r="7" spans="1:4">
      <c r="A7" s="117">
        <f t="shared" si="0"/>
        <v>4</v>
      </c>
      <c r="B7" s="3" t="str" cm="1">
        <f t="array" aca="1" ref="B7" ca="1">INDIRECT("Data!" &amp; ADDRESS($A7+1,B$3))</f>
        <v>DANONE S.A.</v>
      </c>
      <c r="C7" s="3" cm="1">
        <f t="array" aca="1" ref="C7" ca="1">INDIRECT("Data!" &amp; ADDRESS($A7+1,C$3))</f>
        <v>0.62857142857142867</v>
      </c>
      <c r="D7" s="3" cm="1">
        <f t="array" aca="1" ref="D7" ca="1">INDIRECT("Data!" &amp; ADDRESS($A7+1,D$3))</f>
        <v>0.8666666666666667</v>
      </c>
    </row>
    <row r="8" spans="1:4">
      <c r="A8" s="117">
        <f t="shared" si="0"/>
        <v>5</v>
      </c>
      <c r="B8" s="3" t="str" cm="1">
        <f t="array" aca="1" ref="B8" ca="1">INDIRECT("Data!" &amp; ADDRESS($A8+1,B$3))</f>
        <v>GENERAL MILLS INC</v>
      </c>
      <c r="C8" s="3" cm="1">
        <f t="array" aca="1" ref="C8" ca="1">INDIRECT("Data!" &amp; ADDRESS($A8+1,C$3))</f>
        <v>0.72380952380952379</v>
      </c>
      <c r="D8" s="3" cm="1">
        <f t="array" aca="1" ref="D8" ca="1">INDIRECT("Data!" &amp; ADDRESS($A8+1,D$3))</f>
        <v>0.66666666666666663</v>
      </c>
    </row>
    <row r="9" spans="1:4">
      <c r="A9" s="117">
        <f t="shared" si="0"/>
        <v>6</v>
      </c>
      <c r="B9" s="3" t="str" cm="1">
        <f t="array" aca="1" ref="B9" ca="1">INDIRECT("Data!" &amp; ADDRESS($A9+1,B$3))</f>
        <v>HAIN CELESTIAL</v>
      </c>
      <c r="C9" s="3" cm="1">
        <f t="array" aca="1" ref="C9" ca="1">INDIRECT("Data!" &amp; ADDRESS($A9+1,C$3))</f>
        <v>0.81904761904761902</v>
      </c>
      <c r="D9" s="3" cm="1">
        <f t="array" aca="1" ref="D9" ca="1">INDIRECT("Data!" &amp; ADDRESS($A9+1,D$3))</f>
        <v>0.13333333333333333</v>
      </c>
    </row>
    <row r="10" spans="1:4">
      <c r="A10" s="117">
        <f t="shared" si="0"/>
        <v>7</v>
      </c>
      <c r="B10" s="3" t="str" cm="1">
        <f t="array" aca="1" ref="B10" ca="1">IF(A10&lt;=$B$28,INDIRECT("Data!" &amp; ADDRESS($A10+1,B$3)),"")</f>
        <v>HERSHEY CO</v>
      </c>
      <c r="C10" s="3" cm="1">
        <f t="array" aca="1" ref="C10" ca="1">INDIRECT("Data!" &amp; ADDRESS($A10+1,C$3))</f>
        <v>0.88571428571428557</v>
      </c>
      <c r="D10" s="3" cm="1">
        <f t="array" aca="1" ref="D10" ca="1">INDIRECT("Data!" &amp; ADDRESS($A10+1,D$3))</f>
        <v>0.93333333333333335</v>
      </c>
    </row>
    <row r="11" spans="1:4">
      <c r="A11" s="117">
        <f t="shared" si="0"/>
        <v>8</v>
      </c>
      <c r="B11" s="3" t="str" cm="1">
        <f t="array" aca="1" ref="B11" ca="1">IF(A11&lt;=$B$28,INDIRECT("Data!" &amp; ADDRESS($A11+1,B$3)),"")</f>
        <v>HORMEL FOODS CORP</v>
      </c>
      <c r="C11" s="3" cm="1">
        <f t="array" aca="1" ref="C11" ca="1">INDIRECT("Data!" &amp; ADDRESS($A11+1,C$3))</f>
        <v>0.55238095238095242</v>
      </c>
      <c r="D11" s="3" cm="1">
        <f t="array" aca="1" ref="D11" ca="1">INDIRECT("Data!" &amp; ADDRESS($A11+1,D$3))</f>
        <v>0.8</v>
      </c>
    </row>
    <row r="12" spans="1:4">
      <c r="A12" s="117">
        <f t="shared" si="0"/>
        <v>9</v>
      </c>
      <c r="B12" s="3" t="str" cm="1">
        <f t="array" aca="1" ref="B12" ca="1">IF(A12&lt;=$B$28,INDIRECT("Data!" &amp; ADDRESS($A12+1,B$3)),"")</f>
        <v>J M SMUCKER CO</v>
      </c>
      <c r="C12" s="3" cm="1">
        <f t="array" aca="1" ref="C12" ca="1">INDIRECT("Data!" &amp; ADDRESS($A12+1,C$3))</f>
        <v>0.30476190476190473</v>
      </c>
      <c r="D12" s="3" cm="1">
        <f t="array" aca="1" ref="D12" ca="1">INDIRECT("Data!" &amp; ADDRESS($A12+1,D$3))</f>
        <v>0.46666666666666667</v>
      </c>
    </row>
    <row r="13" spans="1:4">
      <c r="A13" s="117">
        <f t="shared" si="0"/>
        <v>10</v>
      </c>
      <c r="B13" s="3" t="str" cm="1">
        <f t="array" aca="1" ref="B13" ca="1">IF(A13&lt;=$B$28,INDIRECT("Data!" &amp; ADDRESS($A13+1,B$3)),"")</f>
        <v>KELLOGG CO</v>
      </c>
      <c r="C13" s="3" cm="1">
        <f t="array" aca="1" ref="C13" ca="1">INDIRECT("Data!" &amp; ADDRESS($A13+1,C$3))</f>
        <v>0.54285714285714293</v>
      </c>
      <c r="D13" s="3" cm="1">
        <f t="array" aca="1" ref="D13" ca="1">INDIRECT("Data!" &amp; ADDRESS($A13+1,D$3))</f>
        <v>0.53333333333333333</v>
      </c>
    </row>
    <row r="14" spans="1:4">
      <c r="A14" s="117">
        <f t="shared" si="0"/>
        <v>11</v>
      </c>
      <c r="B14" s="3" t="str" cm="1">
        <f t="array" aca="1" ref="B14" ca="1">IF(A14&lt;=$B$28,INDIRECT("Data!" &amp; ADDRESS($A14+1,B$3)),"")</f>
        <v>KRAFT HEINZ CO</v>
      </c>
      <c r="C14" s="3" cm="1">
        <f t="array" aca="1" ref="C14" ca="1">INDIRECT("Data!" &amp; ADDRESS($A14+1,C$3))</f>
        <v>0.64761904761904776</v>
      </c>
      <c r="D14" s="3" cm="1">
        <f t="array" aca="1" ref="D14" ca="1">INDIRECT("Data!" &amp; ADDRESS($A14+1,D$3))</f>
        <v>0.6</v>
      </c>
    </row>
    <row r="15" spans="1:4">
      <c r="A15" s="117">
        <f t="shared" si="0"/>
        <v>12</v>
      </c>
      <c r="B15" s="3" t="str" cm="1">
        <f t="array" aca="1" ref="B15" ca="1">IF(A15&lt;=$B$28,INDIRECT("Data!" &amp; ADDRESS($A15+1,B$3)),"")</f>
        <v>LAMB WESTON</v>
      </c>
      <c r="C15" s="3" cm="1">
        <f t="array" aca="1" ref="C15" ca="1">INDIRECT("Data!" &amp; ADDRESS($A15+1,C$3))</f>
        <v>0.90476190476190488</v>
      </c>
      <c r="D15" s="3" cm="1">
        <f t="array" aca="1" ref="D15" ca="1">INDIRECT("Data!" &amp; ADDRESS($A15+1,D$3))</f>
        <v>1</v>
      </c>
    </row>
    <row r="16" spans="1:4">
      <c r="A16" s="117">
        <f t="shared" si="0"/>
        <v>13</v>
      </c>
      <c r="B16" s="3" t="str" cm="1">
        <f t="array" aca="1" ref="B16" ca="1">IF(A16&lt;=$B$28,INDIRECT("Data!" &amp; ADDRESS($A16+1,B$3)),"")</f>
        <v>MCCORMICK &amp; CO INC</v>
      </c>
      <c r="C16" s="3" cm="1">
        <f t="array" aca="1" ref="C16" ca="1">INDIRECT("Data!" &amp; ADDRESS($A16+1,C$3))</f>
        <v>0.419047619047619</v>
      </c>
      <c r="D16" s="3" cm="1">
        <f t="array" aca="1" ref="D16" ca="1">INDIRECT("Data!" &amp; ADDRESS($A16+1,D$3))</f>
        <v>0.33333333333333331</v>
      </c>
    </row>
    <row r="17" spans="1:4">
      <c r="A17" s="117">
        <f t="shared" si="0"/>
        <v>14</v>
      </c>
      <c r="B17" s="3" t="str" cm="1">
        <f t="array" aca="1" ref="B17" ca="1">IF(A17&lt;=$B$28,INDIRECT("Data!" &amp; ADDRESS($A17+1,B$3)),"")</f>
        <v>MONDELEZ</v>
      </c>
      <c r="C17" s="3" cm="1">
        <f t="array" aca="1" ref="C17" ca="1">INDIRECT("Data!" &amp; ADDRESS($A17+1,C$3))</f>
        <v>0.39047619047619042</v>
      </c>
      <c r="D17" s="3" cm="1">
        <f t="array" aca="1" ref="D17" ca="1">INDIRECT("Data!" &amp; ADDRESS($A17+1,D$3))</f>
        <v>6.6666666666666666E-2</v>
      </c>
    </row>
    <row r="18" spans="1:4">
      <c r="A18" s="117">
        <f t="shared" si="0"/>
        <v>15</v>
      </c>
      <c r="B18" s="3" t="str" cm="1">
        <f t="array" aca="1" ref="B18" ca="1">IF(A18&lt;=$B$28,INDIRECT("Data!" &amp; ADDRESS($A18+1,B$3)),"")</f>
        <v>PILGRIMS PRIDE CORP</v>
      </c>
      <c r="C18" s="3" cm="1">
        <f t="array" aca="1" ref="C18" ca="1">INDIRECT("Data!" &amp; ADDRESS($A18+1,C$3))</f>
        <v>0.39999999999999997</v>
      </c>
      <c r="D18" s="3" cm="1">
        <f t="array" aca="1" ref="D18" ca="1">INDIRECT("Data!" &amp; ADDRESS($A18+1,D$3))</f>
        <v>0.4</v>
      </c>
    </row>
    <row r="19" spans="1:4">
      <c r="A19" s="117">
        <f t="shared" si="0"/>
        <v>16</v>
      </c>
      <c r="B19" s="3" t="str" cm="1">
        <f t="array" aca="1" ref="B19" ca="1">IF(A19&lt;=$B$28,INDIRECT("Data!" &amp; ADDRESS($A19+1,B$3)),"")</f>
        <v>TYSON FOODS INC</v>
      </c>
      <c r="C19" s="3" cm="1">
        <f t="array" aca="1" ref="C19" ca="1">INDIRECT("Data!" &amp; ADDRESS($A19+1,C$3))</f>
        <v>0.4</v>
      </c>
      <c r="D19" s="3" cm="1">
        <f t="array" aca="1" ref="D19" ca="1">INDIRECT("Data!" &amp; ADDRESS($A19+1,D$3))</f>
        <v>0.2</v>
      </c>
    </row>
    <row r="20" spans="1:4">
      <c r="A20" s="117">
        <f t="shared" si="0"/>
        <v>17</v>
      </c>
      <c r="B20" s="3" t="str" cm="1">
        <f t="array" aca="1" ref="B20" ca="1">IF(A20&lt;=$B$28,INDIRECT("Data!" &amp; ADDRESS($A20+1,B$3)),"")</f>
        <v/>
      </c>
      <c r="C20" s="3" cm="1">
        <f t="array" aca="1" ref="C20" ca="1">INDIRECT("Data!" &amp; ADDRESS($A20+1,C$3))</f>
        <v>0</v>
      </c>
      <c r="D20" s="3" cm="1">
        <f t="array" aca="1" ref="D20" ca="1">INDIRECT("Data!" &amp; ADDRESS($A20+1,D$3))</f>
        <v>0</v>
      </c>
    </row>
    <row r="21" spans="1:4">
      <c r="A21" s="117">
        <f t="shared" si="0"/>
        <v>18</v>
      </c>
      <c r="B21" s="3" t="str" cm="1">
        <f t="array" aca="1" ref="B21" ca="1">IF(A21&lt;=$B$28,INDIRECT("Data!" &amp; ADDRESS($A21+1,B$3)),"")</f>
        <v/>
      </c>
      <c r="C21" s="3" cm="1">
        <f t="array" aca="1" ref="C21" ca="1">INDIRECT("Data!" &amp; ADDRESS($A21+1,C$3))</f>
        <v>0</v>
      </c>
      <c r="D21" s="3" cm="1">
        <f t="array" aca="1" ref="D21" ca="1">INDIRECT("Data!" &amp; ADDRESS($A21+1,D$3))</f>
        <v>0</v>
      </c>
    </row>
    <row r="22" spans="1:4">
      <c r="A22" s="117">
        <f t="shared" si="0"/>
        <v>19</v>
      </c>
      <c r="B22" s="3" t="str" cm="1">
        <f t="array" aca="1" ref="B22" ca="1">IF(A22&lt;=$B$28,INDIRECT("Data!" &amp; ADDRESS($A22+1,B$3)),"")</f>
        <v/>
      </c>
      <c r="C22" s="3" cm="1">
        <f t="array" aca="1" ref="C22" ca="1">INDIRECT("Data!" &amp; ADDRESS($A22+1,C$3))</f>
        <v>0</v>
      </c>
      <c r="D22" s="3" cm="1">
        <f t="array" aca="1" ref="D22" ca="1">INDIRECT("Data!" &amp; ADDRESS($A22+1,D$3))</f>
        <v>0</v>
      </c>
    </row>
    <row r="23" spans="1:4">
      <c r="A23" s="117">
        <f t="shared" si="0"/>
        <v>20</v>
      </c>
      <c r="B23" s="3" t="str" cm="1">
        <f t="array" aca="1" ref="B23" ca="1">IF(A23&lt;=$B$28,INDIRECT("Data!" &amp; ADDRESS($A23+1,B$3)),"")</f>
        <v/>
      </c>
      <c r="C23" s="3" cm="1">
        <f t="array" aca="1" ref="C23" ca="1">INDIRECT("Data!" &amp; ADDRESS($A23+1,C$3))</f>
        <v>0</v>
      </c>
      <c r="D23" s="3" cm="1">
        <f t="array" aca="1" ref="D23" ca="1">INDIRECT("Data!" &amp; ADDRESS($A23+1,D$3))</f>
        <v>0</v>
      </c>
    </row>
    <row r="25" spans="1:4">
      <c r="A25" s="3" t="s">
        <v>12</v>
      </c>
      <c r="B25" s="3">
        <v>220</v>
      </c>
    </row>
    <row r="26" spans="1:4">
      <c r="A26" s="3" t="s">
        <v>13</v>
      </c>
      <c r="B26" s="3">
        <v>165</v>
      </c>
      <c r="C26" s="3">
        <v>160</v>
      </c>
    </row>
    <row r="27" spans="1:4">
      <c r="A27" s="3" t="s">
        <v>41</v>
      </c>
      <c r="B27" s="3">
        <v>0.6</v>
      </c>
    </row>
    <row r="28" spans="1:4">
      <c r="A28" s="3" t="s">
        <v>239</v>
      </c>
      <c r="B28" s="3">
        <f>Data!B21</f>
        <v>16</v>
      </c>
    </row>
    <row r="38" spans="1:6">
      <c r="C38" s="4" t="s">
        <v>1</v>
      </c>
      <c r="D38" s="4" t="s">
        <v>0</v>
      </c>
    </row>
    <row r="39" spans="1:6">
      <c r="A39" s="120" t="str">
        <f>C2</f>
        <v>PROFITABILITYSCORE</v>
      </c>
      <c r="B39" s="3">
        <f>37 + MATCH(A39,BDNAMES2,0) - 1</f>
        <v>79</v>
      </c>
      <c r="C39" s="3" cm="1">
        <f t="array" aca="1" ref="C39" ca="1">VALUE(INDIRECT("Data!" &amp; ADDRESS($B39,7)))</f>
        <v>0.54761904761904767</v>
      </c>
      <c r="D39" s="3" cm="1">
        <f t="array" aca="1" ref="D39" ca="1">VALUE(INDIRECT("Data!" &amp; ADDRESS($B39,8)))</f>
        <v>0.73809523809523803</v>
      </c>
    </row>
    <row r="40" spans="1:6">
      <c r="A40" s="120" t="s">
        <v>367</v>
      </c>
      <c r="B40" s="3">
        <f>37 + MATCH(A40,BDNAMES2,0) - 1</f>
        <v>87</v>
      </c>
      <c r="C40" s="3" cm="1">
        <f t="array" aca="1" ref="C40" ca="1">VALUE(INDIRECT("Data!" &amp; ADDRESS($B40,7)))</f>
        <v>0.5</v>
      </c>
      <c r="D40" s="3" cm="1">
        <f t="array" aca="1" ref="D40" ca="1">VALUE(INDIRECT("Data!" &amp; ADDRESS($B40,8)))</f>
        <v>0.75</v>
      </c>
    </row>
    <row r="42" spans="1:6">
      <c r="C42" s="4" t="s">
        <v>447</v>
      </c>
      <c r="D42" s="4" t="s">
        <v>448</v>
      </c>
      <c r="E42" s="4" t="s">
        <v>449</v>
      </c>
      <c r="F42" s="4" t="s">
        <v>450</v>
      </c>
    </row>
    <row r="43" spans="1:6">
      <c r="A43" s="3" t="s">
        <v>451</v>
      </c>
      <c r="C43" s="3">
        <f ca="1">C39</f>
        <v>0.54761904761904767</v>
      </c>
      <c r="D43" s="3">
        <f ca="1">C43</f>
        <v>0.54761904761904767</v>
      </c>
      <c r="E43" s="3">
        <v>0</v>
      </c>
      <c r="F43" s="3">
        <v>1</v>
      </c>
    </row>
    <row r="44" spans="1:6">
      <c r="A44" s="3" t="s">
        <v>452</v>
      </c>
      <c r="C44" s="3">
        <f ca="1">D39</f>
        <v>0.73809523809523803</v>
      </c>
      <c r="D44" s="3">
        <f ca="1">C44</f>
        <v>0.73809523809523803</v>
      </c>
      <c r="E44" s="3">
        <v>0</v>
      </c>
      <c r="F44" s="3">
        <v>1</v>
      </c>
    </row>
    <row r="45" spans="1:6">
      <c r="A45" s="3" t="s">
        <v>453</v>
      </c>
      <c r="C45" s="3">
        <v>0</v>
      </c>
      <c r="D45" s="3">
        <v>1</v>
      </c>
      <c r="E45" s="3">
        <f ca="1">C40</f>
        <v>0.5</v>
      </c>
      <c r="F45" s="3">
        <f ca="1">E45</f>
        <v>0.5</v>
      </c>
    </row>
    <row r="46" spans="1:6">
      <c r="A46" s="3" t="s">
        <v>454</v>
      </c>
      <c r="C46" s="3">
        <v>0</v>
      </c>
      <c r="D46" s="3">
        <v>1</v>
      </c>
      <c r="E46" s="3">
        <f ca="1">D40</f>
        <v>0.75</v>
      </c>
      <c r="F46" s="3">
        <f ca="1">E46</f>
        <v>0.75</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ProcessTwoArrowPageDev">
                <anchor moveWithCells="1" sizeWithCells="1">
                  <from>
                    <xdr:col>17</xdr:col>
                    <xdr:colOff>485775</xdr:colOff>
                    <xdr:row>7</xdr:row>
                    <xdr:rowOff>123825</xdr:rowOff>
                  </from>
                  <to>
                    <xdr:col>19</xdr:col>
                    <xdr:colOff>323850</xdr:colOff>
                    <xdr:row>9</xdr:row>
                    <xdr:rowOff>95250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E31F7-118B-4340-B48A-E3851BFBF8D8}">
  <sheetPr codeName="Sheet10"/>
  <dimension ref="A1:K53"/>
  <sheetViews>
    <sheetView workbookViewId="0">
      <selection activeCell="C15" sqref="C15"/>
    </sheetView>
  </sheetViews>
  <sheetFormatPr defaultRowHeight="15"/>
  <cols>
    <col min="1" max="1" width="27.42578125" customWidth="1"/>
    <col min="2" max="2" width="18.28515625" customWidth="1"/>
    <col min="3" max="3" width="17.85546875" customWidth="1"/>
    <col min="4" max="4" width="16.140625" customWidth="1"/>
    <col min="5" max="5" width="18" customWidth="1"/>
    <col min="6" max="6" width="10.28515625" customWidth="1"/>
    <col min="7" max="7" width="10.85546875" customWidth="1"/>
  </cols>
  <sheetData>
    <row r="1" spans="1:11" s="3" customFormat="1" ht="11.25">
      <c r="A1" s="3" t="s">
        <v>64</v>
      </c>
      <c r="B1" s="12" t="s">
        <v>440</v>
      </c>
      <c r="C1" s="12" t="s">
        <v>66</v>
      </c>
      <c r="D1" s="12" t="s">
        <v>67</v>
      </c>
      <c r="E1" s="12" t="str">
        <f ca="1">Data!B25</f>
        <v>CAMPBELL SOUP CO</v>
      </c>
      <c r="F1" s="12" t="s">
        <v>2</v>
      </c>
      <c r="G1" s="12" t="s">
        <v>62</v>
      </c>
      <c r="H1" s="12" t="s">
        <v>0</v>
      </c>
      <c r="I1" s="12" t="s">
        <v>89</v>
      </c>
      <c r="J1" s="12" t="s">
        <v>90</v>
      </c>
      <c r="K1" s="12" t="s">
        <v>91</v>
      </c>
    </row>
    <row r="2" spans="1:11" s="3" customFormat="1" ht="11.25">
      <c r="A2" s="3" t="s">
        <v>65</v>
      </c>
      <c r="B2" s="3">
        <v>175</v>
      </c>
      <c r="C2" s="3">
        <v>125</v>
      </c>
      <c r="D2" s="3">
        <v>80</v>
      </c>
      <c r="E2" s="3">
        <v>80</v>
      </c>
      <c r="F2" s="3">
        <v>80</v>
      </c>
      <c r="G2" s="3">
        <v>80</v>
      </c>
      <c r="H2" s="3">
        <v>80</v>
      </c>
    </row>
    <row r="3" spans="1:11" s="3" customFormat="1" ht="12">
      <c r="A3" s="45" t="s">
        <v>122</v>
      </c>
      <c r="B3" s="119" t="s">
        <v>267</v>
      </c>
      <c r="C3" s="119" t="s">
        <v>273</v>
      </c>
      <c r="E3" s="90">
        <f ca="1">E19</f>
        <v>3.8248000000000002</v>
      </c>
      <c r="F3" s="90">
        <f t="shared" ref="F3:H3" ca="1" si="0">F19</f>
        <v>1.0566</v>
      </c>
      <c r="G3" s="90">
        <f t="shared" ca="1" si="0"/>
        <v>1.9225000000000001</v>
      </c>
      <c r="H3" s="90">
        <f t="shared" ca="1" si="0"/>
        <v>3.2648999999999999</v>
      </c>
      <c r="I3" s="3" t="b">
        <v>1</v>
      </c>
      <c r="J3" s="12">
        <f ca="1">IF(E3="N/A", -1, IF(E3&gt;=H3, 0, IF(E3&gt;G3, 1, IF(E3&gt;F3, 2, 3))))</f>
        <v>0</v>
      </c>
      <c r="K3" s="99">
        <f t="shared" ref="K3:K8" ca="1" si="1">IF(I3,3-J3,J3)</f>
        <v>3</v>
      </c>
    </row>
    <row r="4" spans="1:11" s="3" customFormat="1" ht="12">
      <c r="A4" s="45" t="s">
        <v>123</v>
      </c>
      <c r="B4" s="119" t="s">
        <v>268</v>
      </c>
      <c r="C4" s="119" t="s">
        <v>274</v>
      </c>
      <c r="E4" s="90">
        <f t="shared" ref="E4:H4" ca="1" si="2">E20</f>
        <v>0.79239999999999999</v>
      </c>
      <c r="F4" s="90">
        <f t="shared" ca="1" si="2"/>
        <v>0.51280000000000003</v>
      </c>
      <c r="G4" s="90">
        <f t="shared" ca="1" si="2"/>
        <v>0.65710000000000002</v>
      </c>
      <c r="H4" s="90">
        <f t="shared" ca="1" si="2"/>
        <v>0.75170000000000003</v>
      </c>
      <c r="I4" s="3" t="b">
        <v>1</v>
      </c>
      <c r="J4" s="12">
        <f ca="1">IF(E4="N/A", -1, IF(E4&gt;=H4, 0, IF(E4&gt;G4, 1, IF(E4&gt;F4, 2, 3))))</f>
        <v>0</v>
      </c>
      <c r="K4" s="99">
        <f t="shared" ref="K4:K5" ca="1" si="3">IF(I4,3-J4,J4)</f>
        <v>3</v>
      </c>
    </row>
    <row r="5" spans="1:11" s="3" customFormat="1" ht="12">
      <c r="A5" s="45" t="s">
        <v>124</v>
      </c>
      <c r="B5" s="119" t="s">
        <v>269</v>
      </c>
      <c r="C5" s="119" t="s">
        <v>275</v>
      </c>
      <c r="E5" s="90">
        <f t="shared" ref="E5:H5" ca="1" si="4">E21</f>
        <v>4.8272000000000004</v>
      </c>
      <c r="F5" s="90">
        <f t="shared" ca="1" si="4"/>
        <v>2.0602999999999998</v>
      </c>
      <c r="G5" s="90">
        <f t="shared" ca="1" si="4"/>
        <v>2.9258000000000002</v>
      </c>
      <c r="H5" s="90">
        <f t="shared" ca="1" si="4"/>
        <v>4.3250000000000002</v>
      </c>
      <c r="I5" s="3" t="b">
        <v>1</v>
      </c>
      <c r="J5" s="12">
        <f ca="1">IF(E5="N/A", -1, IF(E5&gt;=H5, 0, IF(E5&gt;G5, 1, IF(E5&gt;F5, 2, 3))))</f>
        <v>0</v>
      </c>
      <c r="K5" s="99">
        <f t="shared" ca="1" si="3"/>
        <v>3</v>
      </c>
    </row>
    <row r="6" spans="1:11" s="3" customFormat="1" ht="12">
      <c r="A6" s="45" t="s">
        <v>125</v>
      </c>
      <c r="B6" s="119" t="s">
        <v>270</v>
      </c>
      <c r="C6" s="119" t="s">
        <v>441</v>
      </c>
      <c r="E6" s="118">
        <f t="shared" ref="E6:H6" ca="1" si="5">E22</f>
        <v>0.1915</v>
      </c>
      <c r="F6" s="118">
        <f t="shared" ca="1" si="5"/>
        <v>0.1221</v>
      </c>
      <c r="G6" s="118">
        <f t="shared" ca="1" si="5"/>
        <v>0.17249999999999999</v>
      </c>
      <c r="H6" s="118">
        <f t="shared" ca="1" si="5"/>
        <v>0.2208</v>
      </c>
      <c r="I6" s="3" t="b">
        <v>0</v>
      </c>
      <c r="J6" s="12">
        <f t="shared" ref="J6:J8" ca="1" si="6">IF(E6&gt;=H6, 0, IF(E6&gt;G6, 1, IF(E6&gt;F6, 2, 3)))</f>
        <v>1</v>
      </c>
      <c r="K6" s="99">
        <f t="shared" ca="1" si="1"/>
        <v>1</v>
      </c>
    </row>
    <row r="7" spans="1:11" s="3" customFormat="1" ht="12">
      <c r="A7" s="45" t="s">
        <v>126</v>
      </c>
      <c r="B7" s="119" t="s">
        <v>271</v>
      </c>
      <c r="C7" s="119" t="s">
        <v>276</v>
      </c>
      <c r="E7" s="98">
        <f t="shared" ref="E7:H7" ca="1" si="7">E23</f>
        <v>0.25779999999999997</v>
      </c>
      <c r="F7" s="98">
        <f t="shared" ca="1" si="7"/>
        <v>0.18870000000000001</v>
      </c>
      <c r="G7" s="98">
        <f t="shared" ca="1" si="7"/>
        <v>0.25779999999999997</v>
      </c>
      <c r="H7" s="98">
        <f t="shared" ca="1" si="7"/>
        <v>0.47060000000000002</v>
      </c>
      <c r="I7" s="3" t="b">
        <v>0</v>
      </c>
      <c r="J7" s="12">
        <f t="shared" ca="1" si="6"/>
        <v>2</v>
      </c>
      <c r="K7" s="99">
        <f t="shared" ca="1" si="1"/>
        <v>2</v>
      </c>
    </row>
    <row r="8" spans="1:11" s="3" customFormat="1" ht="12">
      <c r="A8" s="3" t="s">
        <v>413</v>
      </c>
      <c r="B8" s="119" t="s">
        <v>272</v>
      </c>
      <c r="C8" s="119"/>
      <c r="E8" s="118">
        <f t="shared" ref="E8:H8" ca="1" si="8">E24</f>
        <v>0.8</v>
      </c>
      <c r="F8" s="118">
        <f t="shared" ca="1" si="8"/>
        <v>0.41</v>
      </c>
      <c r="G8" s="118">
        <f t="shared" ca="1" si="8"/>
        <v>0.45329999999999998</v>
      </c>
      <c r="H8" s="118">
        <f t="shared" ca="1" si="8"/>
        <v>0.6</v>
      </c>
      <c r="I8" s="3" t="b">
        <v>0</v>
      </c>
      <c r="J8" s="12">
        <f t="shared" ca="1" si="6"/>
        <v>0</v>
      </c>
      <c r="K8" s="99">
        <f t="shared" ca="1" si="1"/>
        <v>0</v>
      </c>
    </row>
    <row r="9" spans="1:11" s="3" customFormat="1" ht="11.25">
      <c r="C9" s="6"/>
      <c r="E9" s="100"/>
      <c r="F9" s="100"/>
      <c r="G9" s="100"/>
      <c r="H9" s="100"/>
      <c r="J9" s="12"/>
      <c r="K9" s="99"/>
    </row>
    <row r="10" spans="1:11" s="3" customFormat="1" ht="11.25">
      <c r="A10" s="4"/>
      <c r="B10" s="4"/>
      <c r="C10" s="6"/>
      <c r="E10" s="100"/>
      <c r="F10" s="100"/>
      <c r="G10" s="100"/>
      <c r="H10" s="100"/>
      <c r="J10" s="12"/>
      <c r="K10" s="99"/>
    </row>
    <row r="11" spans="1:11" s="3" customFormat="1" ht="11.25">
      <c r="C11" s="6"/>
      <c r="D11" s="90"/>
      <c r="E11" s="101"/>
      <c r="F11" s="101"/>
      <c r="G11" s="101"/>
      <c r="H11" s="101"/>
      <c r="J11" s="12"/>
      <c r="K11" s="99"/>
    </row>
    <row r="12" spans="1:11" s="3" customFormat="1" ht="11.25">
      <c r="C12" s="6"/>
      <c r="D12" s="98"/>
      <c r="E12" s="100"/>
      <c r="F12" s="100"/>
      <c r="G12" s="100"/>
      <c r="H12" s="100"/>
      <c r="J12" s="12"/>
      <c r="K12" s="99"/>
    </row>
    <row r="13" spans="1:11" s="3" customFormat="1" ht="11.25">
      <c r="C13" s="6"/>
      <c r="D13" s="90"/>
      <c r="E13" s="101"/>
      <c r="F13" s="101"/>
      <c r="G13" s="101"/>
      <c r="H13" s="101"/>
      <c r="J13" s="12"/>
      <c r="K13" s="99"/>
    </row>
    <row r="14" spans="1:11" s="3" customFormat="1" ht="11.25">
      <c r="A14" s="3" t="s">
        <v>12</v>
      </c>
      <c r="B14" s="41">
        <v>40</v>
      </c>
      <c r="C14" s="98"/>
      <c r="D14" s="98"/>
      <c r="E14" s="41">
        <v>11</v>
      </c>
      <c r="F14" s="3">
        <v>6</v>
      </c>
      <c r="G14" s="3">
        <v>7</v>
      </c>
      <c r="H14" s="3">
        <v>8</v>
      </c>
    </row>
    <row r="15" spans="1:11" s="3" customFormat="1" ht="11.25">
      <c r="A15" s="3" t="s">
        <v>13</v>
      </c>
      <c r="B15" s="41">
        <v>200</v>
      </c>
      <c r="C15" s="98" t="s">
        <v>801</v>
      </c>
      <c r="D15" s="98"/>
      <c r="E15" s="98"/>
    </row>
    <row r="16" spans="1:11" s="3" customFormat="1" ht="11.25">
      <c r="A16" s="3" t="s">
        <v>14</v>
      </c>
      <c r="B16" s="98">
        <v>1</v>
      </c>
      <c r="C16" s="98"/>
      <c r="D16" s="98"/>
      <c r="E16" s="98"/>
    </row>
    <row r="17" spans="1:8" s="3" customFormat="1" ht="11.25">
      <c r="A17" s="3" t="s">
        <v>15</v>
      </c>
      <c r="B17" s="98">
        <v>1</v>
      </c>
      <c r="C17" s="98"/>
      <c r="D17" s="98"/>
      <c r="E17" s="98"/>
    </row>
    <row r="18" spans="1:8" s="3" customFormat="1" ht="11.25">
      <c r="B18" s="98"/>
      <c r="C18" s="98"/>
      <c r="D18" s="98"/>
      <c r="E18" s="124" t="s">
        <v>464</v>
      </c>
      <c r="F18" s="65" t="s">
        <v>463</v>
      </c>
      <c r="G18" s="65" t="s">
        <v>461</v>
      </c>
      <c r="H18" s="65" t="s">
        <v>462</v>
      </c>
    </row>
    <row r="19" spans="1:8" s="3" customFormat="1" ht="11.25">
      <c r="A19" s="3" t="str">
        <f t="shared" ref="A19:A24" si="9">A3</f>
        <v>DBTEQ</v>
      </c>
      <c r="B19" s="12">
        <f t="shared" ref="B19:B24" si="10">37+MATCH(A19,BDNAMES2,0)-1</f>
        <v>64</v>
      </c>
      <c r="C19" s="98"/>
      <c r="D19" s="98"/>
      <c r="E19" s="100" cm="1">
        <f t="array" aca="1" ref="E19" ca="1">ROUND(VALUE(INDIRECT("Data!"&amp;ADDRESS($B19,E$14))),4)</f>
        <v>3.8248000000000002</v>
      </c>
      <c r="F19" s="100" cm="1">
        <f t="array" aca="1" ref="F19" ca="1">ROUND(VALUE(INDIRECT("Data!"&amp;ADDRESS($B19,F$14))),4)</f>
        <v>1.0566</v>
      </c>
      <c r="G19" s="100" cm="1">
        <f t="array" aca="1" ref="G19" ca="1">ROUND(VALUE(INDIRECT("Data!"&amp;ADDRESS($B19,G$14))),4)</f>
        <v>1.9225000000000001</v>
      </c>
      <c r="H19" s="100" cm="1">
        <f t="array" aca="1" ref="H19" ca="1">ROUND(VALUE(INDIRECT("Data!"&amp;ADDRESS($B19,H$14))),4)</f>
        <v>3.2648999999999999</v>
      </c>
    </row>
    <row r="20" spans="1:8" s="3" customFormat="1" ht="11.25">
      <c r="A20" s="3" t="str">
        <f t="shared" si="9"/>
        <v>DBTTA</v>
      </c>
      <c r="B20" s="12">
        <f t="shared" si="10"/>
        <v>65</v>
      </c>
      <c r="C20" s="98"/>
      <c r="D20" s="98"/>
      <c r="E20" s="100" cm="1">
        <f t="array" aca="1" ref="E20" ca="1">ROUND(VALUE(INDIRECT("Data!"&amp;ADDRESS($B20,E$14))),4)</f>
        <v>0.79239999999999999</v>
      </c>
      <c r="F20" s="100" cm="1">
        <f t="array" aca="1" ref="F20" ca="1">ROUND(VALUE(INDIRECT("Data!"&amp;ADDRESS($B20,F$14))),4)</f>
        <v>0.51280000000000003</v>
      </c>
      <c r="G20" s="100" cm="1">
        <f t="array" aca="1" ref="G20" ca="1">ROUND(VALUE(INDIRECT("Data!"&amp;ADDRESS($B20,G$14))),4)</f>
        <v>0.65710000000000002</v>
      </c>
      <c r="H20" s="100" cm="1">
        <f t="array" aca="1" ref="H20" ca="1">ROUND(VALUE(INDIRECT("Data!"&amp;ADDRESS($B20,H$14))),4)</f>
        <v>0.75170000000000003</v>
      </c>
    </row>
    <row r="21" spans="1:8" s="3" customFormat="1" ht="11.25">
      <c r="A21" s="3" t="str">
        <f t="shared" si="9"/>
        <v>FNMULTI</v>
      </c>
      <c r="B21" s="12">
        <f t="shared" si="10"/>
        <v>66</v>
      </c>
      <c r="C21" s="98"/>
      <c r="D21" s="98"/>
      <c r="E21" s="100" cm="1">
        <f t="array" aca="1" ref="E21" ca="1">ROUND(VALUE(INDIRECT("Data!"&amp;ADDRESS($B21,E$14))),4)</f>
        <v>4.8272000000000004</v>
      </c>
      <c r="F21" s="100" cm="1">
        <f t="array" aca="1" ref="F21" ca="1">ROUND(VALUE(INDIRECT("Data!"&amp;ADDRESS($B21,F$14))),4)</f>
        <v>2.0602999999999998</v>
      </c>
      <c r="G21" s="100" cm="1">
        <f t="array" aca="1" ref="G21" ca="1">ROUND(VALUE(INDIRECT("Data!"&amp;ADDRESS($B21,G$14))),4)</f>
        <v>2.9258000000000002</v>
      </c>
      <c r="H21" s="100" cm="1">
        <f t="array" aca="1" ref="H21" ca="1">ROUND(VALUE(INDIRECT("Data!"&amp;ADDRESS($B21,H$14))),4)</f>
        <v>4.3250000000000002</v>
      </c>
    </row>
    <row r="22" spans="1:8" s="3" customFormat="1" ht="11.25">
      <c r="A22" s="3" t="str">
        <f t="shared" si="9"/>
        <v>FAEQLTL</v>
      </c>
      <c r="B22" s="12">
        <f t="shared" si="10"/>
        <v>67</v>
      </c>
      <c r="E22" s="100" cm="1">
        <f t="array" aca="1" ref="E22" ca="1">ROUND(VALUE(INDIRECT("Data!"&amp;ADDRESS($B22,E$14))),4)</f>
        <v>0.1915</v>
      </c>
      <c r="F22" s="100" cm="1">
        <f t="array" aca="1" ref="F22" ca="1">ROUND(VALUE(INDIRECT("Data!"&amp;ADDRESS($B22,F$14))),4)</f>
        <v>0.1221</v>
      </c>
      <c r="G22" s="100" cm="1">
        <f t="array" aca="1" ref="G22" ca="1">ROUND(VALUE(INDIRECT("Data!"&amp;ADDRESS($B22,G$14))),4)</f>
        <v>0.17249999999999999</v>
      </c>
      <c r="H22" s="100" cm="1">
        <f t="array" aca="1" ref="H22" ca="1">ROUND(VALUE(INDIRECT("Data!"&amp;ADDRESS($B22,H$14))),4)</f>
        <v>0.2208</v>
      </c>
    </row>
    <row r="23" spans="1:8" s="3" customFormat="1" ht="11.25">
      <c r="A23" s="3" t="str">
        <f t="shared" si="9"/>
        <v>RETA</v>
      </c>
      <c r="B23" s="12">
        <f t="shared" si="10"/>
        <v>68</v>
      </c>
      <c r="E23" s="100" cm="1">
        <f t="array" aca="1" ref="E23" ca="1">ROUND(VALUE(INDIRECT("Data!"&amp;ADDRESS($B23,E$14))),4)</f>
        <v>0.25779999999999997</v>
      </c>
      <c r="F23" s="100" cm="1">
        <f t="array" aca="1" ref="F23" ca="1">ROUND(VALUE(INDIRECT("Data!"&amp;ADDRESS($B23,F$14))),4)</f>
        <v>0.18870000000000001</v>
      </c>
      <c r="G23" s="100" cm="1">
        <f t="array" aca="1" ref="G23" ca="1">ROUND(VALUE(INDIRECT("Data!"&amp;ADDRESS($B23,G$14))),4)</f>
        <v>0.25779999999999997</v>
      </c>
      <c r="H23" s="100" cm="1">
        <f t="array" aca="1" ref="H23" ca="1">ROUND(VALUE(INDIRECT("Data!"&amp;ADDRESS($B23,H$14))),4)</f>
        <v>0.47060000000000002</v>
      </c>
    </row>
    <row r="24" spans="1:8" s="3" customFormat="1" ht="11.25">
      <c r="A24" s="3" t="str">
        <f t="shared" si="9"/>
        <v>LEVERAGESCORE</v>
      </c>
      <c r="B24" s="12">
        <f t="shared" si="10"/>
        <v>80</v>
      </c>
      <c r="E24" s="100" cm="1">
        <f t="array" aca="1" ref="E24" ca="1">ROUND(VALUE(INDIRECT("Data!"&amp;ADDRESS($B24,E$14))),4)</f>
        <v>0.8</v>
      </c>
      <c r="F24" s="100" cm="1">
        <f t="array" aca="1" ref="F24" ca="1">ROUND(VALUE(INDIRECT("Data!"&amp;ADDRESS($B24,F$14))),4)</f>
        <v>0.41</v>
      </c>
      <c r="G24" s="100" cm="1">
        <f t="array" aca="1" ref="G24" ca="1">ROUND(VALUE(INDIRECT("Data!"&amp;ADDRESS($B24,G$14))),4)</f>
        <v>0.45329999999999998</v>
      </c>
      <c r="H24" s="100" cm="1">
        <f t="array" aca="1" ref="H24" ca="1">ROUND(VALUE(INDIRECT("Data!"&amp;ADDRESS($B24,H$14))),4)</f>
        <v>0.6</v>
      </c>
    </row>
    <row r="25" spans="1:8" s="3" customFormat="1" ht="11.25">
      <c r="B25" s="12"/>
    </row>
    <row r="26" spans="1:8" s="3" customFormat="1" ht="11.25">
      <c r="B26" s="12"/>
    </row>
    <row r="27" spans="1:8" s="3" customFormat="1" ht="11.25">
      <c r="B27" s="12"/>
    </row>
    <row r="28" spans="1:8" s="3" customFormat="1" ht="11.25">
      <c r="B28" s="12"/>
    </row>
    <row r="29" spans="1:8" s="3" customFormat="1" ht="11.25">
      <c r="B29" s="12"/>
    </row>
    <row r="30" spans="1:8" s="3" customFormat="1" ht="11.25"/>
    <row r="31" spans="1:8" s="3" customFormat="1" ht="11.25"/>
    <row r="32" spans="1:8" s="3" customFormat="1" ht="11.25"/>
    <row r="33" spans="1:10" s="3" customFormat="1" ht="11.25"/>
    <row r="34" spans="1:10" s="3" customFormat="1" ht="11.25"/>
    <row r="35" spans="1:10" s="3" customFormat="1" ht="11.25"/>
    <row r="36" spans="1:10" s="3" customFormat="1" ht="11.25">
      <c r="A36" s="3" t="s">
        <v>478</v>
      </c>
      <c r="B36" s="90" cm="1">
        <f t="array" aca="1" ref="B36" ca="1">INDIRECT("DATA!" &amp; ADDRESS($B19,16))</f>
        <v>0.75</v>
      </c>
      <c r="C36" s="3" t="s">
        <v>504</v>
      </c>
      <c r="E36" s="98"/>
      <c r="F36" s="98"/>
      <c r="G36" s="98"/>
      <c r="H36" s="98"/>
      <c r="I36" s="98"/>
      <c r="J36" s="98"/>
    </row>
    <row r="37" spans="1:10" s="3" customFormat="1" ht="11.25">
      <c r="A37" s="135" t="str">
        <f t="shared" ref="A37" si="11">A20</f>
        <v>DBTTA</v>
      </c>
      <c r="B37" s="12"/>
      <c r="E37" s="98"/>
      <c r="F37" s="98"/>
      <c r="G37" s="98"/>
      <c r="H37" s="98"/>
      <c r="I37" s="98"/>
      <c r="J37" s="98"/>
    </row>
    <row r="38" spans="1:10" s="3" customFormat="1" ht="11.25">
      <c r="A38" s="3" t="s">
        <v>479</v>
      </c>
      <c r="B38" s="90" cm="1">
        <f t="array" aca="1" ref="B38" ca="1">INDIRECT("DATA!" &amp; ADDRESS($B21,16))</f>
        <v>0.75</v>
      </c>
      <c r="C38" s="3" t="s">
        <v>504</v>
      </c>
      <c r="E38" s="98"/>
      <c r="F38" s="98"/>
      <c r="G38" s="98"/>
      <c r="H38" s="98"/>
      <c r="I38" s="98"/>
      <c r="J38" s="98"/>
    </row>
    <row r="39" spans="1:10" s="3" customFormat="1" ht="11.25">
      <c r="A39" s="135" t="str">
        <f t="shared" ref="A39" si="12">A22</f>
        <v>FAEQLTL</v>
      </c>
      <c r="B39" s="12"/>
      <c r="E39" s="98"/>
      <c r="F39" s="98"/>
      <c r="G39" s="98"/>
      <c r="H39" s="98"/>
      <c r="I39" s="98"/>
      <c r="J39" s="98"/>
    </row>
    <row r="40" spans="1:10" s="3" customFormat="1" ht="11.25">
      <c r="A40" s="135" t="str">
        <f t="shared" ref="A40" si="13">A23</f>
        <v>RETA</v>
      </c>
      <c r="B40" s="12"/>
      <c r="E40" s="98"/>
      <c r="F40" s="98"/>
      <c r="G40" s="98"/>
      <c r="H40" s="98"/>
      <c r="I40" s="98"/>
      <c r="J40" s="98"/>
    </row>
    <row r="41" spans="1:10" s="3" customFormat="1" ht="11.25">
      <c r="A41" s="3" t="s">
        <v>477</v>
      </c>
      <c r="B41" s="90" cm="1">
        <f t="array" aca="1" ref="B41" ca="1">INDIRECT("DATA!" &amp; ADDRESS($B24,16))</f>
        <v>1</v>
      </c>
      <c r="C41" s="3" t="s">
        <v>504</v>
      </c>
      <c r="E41" s="98"/>
      <c r="F41" s="98"/>
      <c r="G41" s="98"/>
      <c r="H41" s="98"/>
      <c r="I41" s="98"/>
      <c r="J41" s="98"/>
    </row>
    <row r="42" spans="1:10" s="3" customFormat="1" ht="11.25">
      <c r="B42" s="12"/>
    </row>
    <row r="43" spans="1:10" s="3" customFormat="1" ht="11.25">
      <c r="B43" s="12"/>
    </row>
    <row r="44" spans="1:10" s="3" customFormat="1" ht="11.25"/>
    <row r="45" spans="1:10" s="3" customFormat="1" ht="11.25"/>
    <row r="46" spans="1:10" s="3" customFormat="1" ht="11.25"/>
    <row r="47" spans="1:10" s="3" customFormat="1" ht="11.25"/>
    <row r="48" spans="1:10" s="3" customFormat="1" ht="11.25"/>
    <row r="49" s="3" customFormat="1" ht="11.25"/>
    <row r="50" s="3" customFormat="1" ht="11.25"/>
    <row r="51" s="3" customFormat="1" ht="11.25"/>
    <row r="52" s="3" customFormat="1" ht="11.25"/>
    <row r="53" s="3" customFormat="1" ht="11.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FormatLiquidityDriversPage">
                <anchor moveWithCells="1" sizeWithCells="1">
                  <from>
                    <xdr:col>8</xdr:col>
                    <xdr:colOff>438150</xdr:colOff>
                    <xdr:row>15</xdr:row>
                    <xdr:rowOff>38100</xdr:rowOff>
                  </from>
                  <to>
                    <xdr:col>10</xdr:col>
                    <xdr:colOff>514350</xdr:colOff>
                    <xdr:row>16</xdr:row>
                    <xdr:rowOff>114300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DE9EA-EFFC-46BE-BE39-3949F4BA9A8A}">
  <sheetPr codeName="Sheet24"/>
  <dimension ref="A1:F46"/>
  <sheetViews>
    <sheetView workbookViewId="0">
      <selection activeCell="S25" sqref="S25"/>
    </sheetView>
  </sheetViews>
  <sheetFormatPr defaultRowHeight="11.25"/>
  <cols>
    <col min="1" max="1" width="20.85546875" style="3" customWidth="1"/>
    <col min="2" max="3" width="9.140625" style="3"/>
    <col min="4" max="4" width="15.28515625" style="3" customWidth="1"/>
    <col min="5" max="16384" width="9.140625" style="3"/>
  </cols>
  <sheetData>
    <row r="1" spans="1:4">
      <c r="B1" s="4" t="s">
        <v>435</v>
      </c>
      <c r="C1" s="4" t="s">
        <v>436</v>
      </c>
      <c r="D1" s="4" t="s">
        <v>40</v>
      </c>
    </row>
    <row r="2" spans="1:4">
      <c r="B2" s="4" t="s">
        <v>181</v>
      </c>
      <c r="C2" s="4" t="s">
        <v>413</v>
      </c>
      <c r="D2" s="4" t="s">
        <v>367</v>
      </c>
    </row>
    <row r="3" spans="1:4">
      <c r="B3" s="116">
        <f>MATCH(B2,SKCOLNAMES,0)</f>
        <v>132</v>
      </c>
      <c r="C3" s="116">
        <f>MATCH(C2,SKCOLNAMES,0)</f>
        <v>110</v>
      </c>
      <c r="D3" s="116">
        <f>MATCH(D2,SKCOLNAMES,0)</f>
        <v>56</v>
      </c>
    </row>
    <row r="4" spans="1:4">
      <c r="A4" s="117">
        <v>1</v>
      </c>
      <c r="B4" s="3" t="str" cm="1">
        <f t="array" aca="1" ref="B4" ca="1">INDIRECT("Data!" &amp; ADDRESS($A4+1,B$3))</f>
        <v>BRF SA</v>
      </c>
      <c r="C4" s="3" cm="1">
        <f t="array" aca="1" ref="C4" ca="1">INDIRECT("Data!" &amp; ADDRESS($A4+1,C$3))</f>
        <v>0.42666666666666675</v>
      </c>
      <c r="D4" s="3" cm="1">
        <f t="array" aca="1" ref="D4" ca="1">INDIRECT("Data!" &amp; ADDRESS($A4+1,D$3))</f>
        <v>0.73333333333333328</v>
      </c>
    </row>
    <row r="5" spans="1:4">
      <c r="A5" s="117">
        <f t="shared" ref="A5:A23" si="0">A4+1</f>
        <v>2</v>
      </c>
      <c r="B5" s="3" t="str" cm="1">
        <f t="array" aca="1" ref="B5" ca="1">INDIRECT("Data!" &amp; ADDRESS($A5+1,B$3))</f>
        <v>CAMPBELL SOUP CO</v>
      </c>
      <c r="C5" s="3" cm="1">
        <f t="array" aca="1" ref="C5" ca="1">INDIRECT("Data!" &amp; ADDRESS($A5+1,C$3))</f>
        <v>0.79999999999999993</v>
      </c>
      <c r="D5" s="3" cm="1">
        <f t="array" aca="1" ref="D5" ca="1">INDIRECT("Data!" &amp; ADDRESS($A5+1,D$3))</f>
        <v>0</v>
      </c>
    </row>
    <row r="6" spans="1:4">
      <c r="A6" s="117">
        <f t="shared" si="0"/>
        <v>3</v>
      </c>
      <c r="B6" s="3" t="str" cm="1">
        <f t="array" aca="1" ref="B6" ca="1">INDIRECT("Data!" &amp; ADDRESS($A6+1,B$3))</f>
        <v>CONAGRA BRANDS INC</v>
      </c>
      <c r="C6" s="3" cm="1">
        <f t="array" aca="1" ref="C6" ca="1">INDIRECT("Data!" &amp; ADDRESS($A6+1,C$3))</f>
        <v>0.8</v>
      </c>
      <c r="D6" s="3" cm="1">
        <f t="array" aca="1" ref="D6" ca="1">INDIRECT("Data!" &amp; ADDRESS($A6+1,D$3))</f>
        <v>0.26666666666666666</v>
      </c>
    </row>
    <row r="7" spans="1:4">
      <c r="A7" s="117">
        <f t="shared" si="0"/>
        <v>4</v>
      </c>
      <c r="B7" s="3" t="str" cm="1">
        <f t="array" aca="1" ref="B7" ca="1">INDIRECT("Data!" &amp; ADDRESS($A7+1,B$3))</f>
        <v>DANONE S.A.</v>
      </c>
      <c r="C7" s="3" cm="1">
        <f t="array" aca="1" ref="C7" ca="1">INDIRECT("Data!" &amp; ADDRESS($A7+1,C$3))</f>
        <v>0.6</v>
      </c>
      <c r="D7" s="3" cm="1">
        <f t="array" aca="1" ref="D7" ca="1">INDIRECT("Data!" &amp; ADDRESS($A7+1,D$3))</f>
        <v>0.8666666666666667</v>
      </c>
    </row>
    <row r="8" spans="1:4">
      <c r="A8" s="117">
        <f t="shared" si="0"/>
        <v>5</v>
      </c>
      <c r="B8" s="3" t="str" cm="1">
        <f t="array" aca="1" ref="B8" ca="1">INDIRECT("Data!" &amp; ADDRESS($A8+1,B$3))</f>
        <v>GENERAL MILLS INC</v>
      </c>
      <c r="C8" s="3" cm="1">
        <f t="array" aca="1" ref="C8" ca="1">INDIRECT("Data!" &amp; ADDRESS($A8+1,C$3))</f>
        <v>0.26666666666666672</v>
      </c>
      <c r="D8" s="3" cm="1">
        <f t="array" aca="1" ref="D8" ca="1">INDIRECT("Data!" &amp; ADDRESS($A8+1,D$3))</f>
        <v>0.66666666666666663</v>
      </c>
    </row>
    <row r="9" spans="1:4">
      <c r="A9" s="117">
        <f t="shared" si="0"/>
        <v>6</v>
      </c>
      <c r="B9" s="3" t="str" cm="1">
        <f t="array" aca="1" ref="B9" ca="1">INDIRECT("Data!" &amp; ADDRESS($A9+1,B$3))</f>
        <v>HAIN CELESTIAL</v>
      </c>
      <c r="C9" s="3" cm="1">
        <f t="array" aca="1" ref="C9" ca="1">INDIRECT("Data!" &amp; ADDRESS($A9+1,C$3))</f>
        <v>0.2533333333333333</v>
      </c>
      <c r="D9" s="3" cm="1">
        <f t="array" aca="1" ref="D9" ca="1">INDIRECT("Data!" &amp; ADDRESS($A9+1,D$3))</f>
        <v>0.13333333333333333</v>
      </c>
    </row>
    <row r="10" spans="1:4">
      <c r="A10" s="117">
        <f t="shared" si="0"/>
        <v>7</v>
      </c>
      <c r="B10" s="3" t="str" cm="1">
        <f t="array" aca="1" ref="B10" ca="1">IF(A10&lt;=$B$28,INDIRECT("Data!" &amp; ADDRESS($A10+1,B$3)),"")</f>
        <v>HERSHEY CO</v>
      </c>
      <c r="C10" s="3" cm="1">
        <f t="array" aca="1" ref="C10" ca="1">INDIRECT("Data!" &amp; ADDRESS($A10+1,C$3))</f>
        <v>0.44000000000000006</v>
      </c>
      <c r="D10" s="3" cm="1">
        <f t="array" aca="1" ref="D10" ca="1">INDIRECT("Data!" &amp; ADDRESS($A10+1,D$3))</f>
        <v>0.93333333333333335</v>
      </c>
    </row>
    <row r="11" spans="1:4">
      <c r="A11" s="117">
        <f t="shared" si="0"/>
        <v>8</v>
      </c>
      <c r="B11" s="3" t="str" cm="1">
        <f t="array" aca="1" ref="B11" ca="1">IF(A11&lt;=$B$28,INDIRECT("Data!" &amp; ADDRESS($A11+1,B$3)),"")</f>
        <v>HORMEL FOODS CORP</v>
      </c>
      <c r="C11" s="3" cm="1">
        <f t="array" aca="1" ref="C11" ca="1">INDIRECT("Data!" &amp; ADDRESS($A11+1,C$3))</f>
        <v>0.52</v>
      </c>
      <c r="D11" s="3" cm="1">
        <f t="array" aca="1" ref="D11" ca="1">INDIRECT("Data!" &amp; ADDRESS($A11+1,D$3))</f>
        <v>0.8</v>
      </c>
    </row>
    <row r="12" spans="1:4">
      <c r="A12" s="117">
        <f t="shared" si="0"/>
        <v>9</v>
      </c>
      <c r="B12" s="3" t="str" cm="1">
        <f t="array" aca="1" ref="B12" ca="1">IF(A12&lt;=$B$28,INDIRECT("Data!" &amp; ADDRESS($A12+1,B$3)),"")</f>
        <v>J M SMUCKER CO</v>
      </c>
      <c r="C12" s="3" cm="1">
        <f t="array" aca="1" ref="C12" ca="1">INDIRECT("Data!" &amp; ADDRESS($A12+1,C$3))</f>
        <v>0.6</v>
      </c>
      <c r="D12" s="3" cm="1">
        <f t="array" aca="1" ref="D12" ca="1">INDIRECT("Data!" &amp; ADDRESS($A12+1,D$3))</f>
        <v>0.46666666666666667</v>
      </c>
    </row>
    <row r="13" spans="1:4">
      <c r="A13" s="117">
        <f t="shared" si="0"/>
        <v>10</v>
      </c>
      <c r="B13" s="3" t="str" cm="1">
        <f t="array" aca="1" ref="B13" ca="1">IF(A13&lt;=$B$28,INDIRECT("Data!" &amp; ADDRESS($A13+1,B$3)),"")</f>
        <v>KELLOGG CO</v>
      </c>
      <c r="C13" s="3" cm="1">
        <f t="array" aca="1" ref="C13" ca="1">INDIRECT("Data!" &amp; ADDRESS($A13+1,C$3))</f>
        <v>0.44000000000000006</v>
      </c>
      <c r="D13" s="3" cm="1">
        <f t="array" aca="1" ref="D13" ca="1">INDIRECT("Data!" &amp; ADDRESS($A13+1,D$3))</f>
        <v>0.53333333333333333</v>
      </c>
    </row>
    <row r="14" spans="1:4">
      <c r="A14" s="117">
        <f t="shared" si="0"/>
        <v>11</v>
      </c>
      <c r="B14" s="3" t="str" cm="1">
        <f t="array" aca="1" ref="B14" ca="1">IF(A14&lt;=$B$28,INDIRECT("Data!" &amp; ADDRESS($A14+1,B$3)),"")</f>
        <v>KRAFT HEINZ CO</v>
      </c>
      <c r="C14" s="3" cm="1">
        <f t="array" aca="1" ref="C14" ca="1">INDIRECT("Data!" &amp; ADDRESS($A14+1,C$3))</f>
        <v>0.36</v>
      </c>
      <c r="D14" s="3" cm="1">
        <f t="array" aca="1" ref="D14" ca="1">INDIRECT("Data!" &amp; ADDRESS($A14+1,D$3))</f>
        <v>0.6</v>
      </c>
    </row>
    <row r="15" spans="1:4">
      <c r="A15" s="117">
        <f t="shared" si="0"/>
        <v>12</v>
      </c>
      <c r="B15" s="3" t="str" cm="1">
        <f t="array" aca="1" ref="B15" ca="1">IF(A15&lt;=$B$28,INDIRECT("Data!" &amp; ADDRESS($A15+1,B$3)),"")</f>
        <v>LAMB WESTON</v>
      </c>
      <c r="C15" s="3" cm="1">
        <f t="array" aca="1" ref="C15" ca="1">INDIRECT("Data!" &amp; ADDRESS($A15+1,C$3))</f>
        <v>0.31999999999999995</v>
      </c>
      <c r="D15" s="3" cm="1">
        <f t="array" aca="1" ref="D15" ca="1">INDIRECT("Data!" &amp; ADDRESS($A15+1,D$3))</f>
        <v>1</v>
      </c>
    </row>
    <row r="16" spans="1:4">
      <c r="A16" s="117">
        <f t="shared" si="0"/>
        <v>13</v>
      </c>
      <c r="B16" s="3" t="str" cm="1">
        <f t="array" aca="1" ref="B16" ca="1">IF(A16&lt;=$B$28,INDIRECT("Data!" &amp; ADDRESS($A16+1,B$3)),"")</f>
        <v>MCCORMICK &amp; CO INC</v>
      </c>
      <c r="C16" s="3" cm="1">
        <f t="array" aca="1" ref="C16" ca="1">INDIRECT("Data!" &amp; ADDRESS($A16+1,C$3))</f>
        <v>0.45333333333333331</v>
      </c>
      <c r="D16" s="3" cm="1">
        <f t="array" aca="1" ref="D16" ca="1">INDIRECT("Data!" &amp; ADDRESS($A16+1,D$3))</f>
        <v>0.33333333333333331</v>
      </c>
    </row>
    <row r="17" spans="1:4">
      <c r="A17" s="117">
        <f t="shared" si="0"/>
        <v>14</v>
      </c>
      <c r="B17" s="3" t="str" cm="1">
        <f t="array" aca="1" ref="B17" ca="1">IF(A17&lt;=$B$28,INDIRECT("Data!" &amp; ADDRESS($A17+1,B$3)),"")</f>
        <v>MONDELEZ</v>
      </c>
      <c r="C17" s="3" cm="1">
        <f t="array" aca="1" ref="C17" ca="1">INDIRECT("Data!" &amp; ADDRESS($A17+1,C$3))</f>
        <v>0.45333333333333342</v>
      </c>
      <c r="D17" s="3" cm="1">
        <f t="array" aca="1" ref="D17" ca="1">INDIRECT("Data!" &amp; ADDRESS($A17+1,D$3))</f>
        <v>6.6666666666666666E-2</v>
      </c>
    </row>
    <row r="18" spans="1:4">
      <c r="A18" s="117">
        <f t="shared" si="0"/>
        <v>15</v>
      </c>
      <c r="B18" s="3" t="str" cm="1">
        <f t="array" aca="1" ref="B18" ca="1">IF(A18&lt;=$B$28,INDIRECT("Data!" &amp; ADDRESS($A18+1,B$3)),"")</f>
        <v>PILGRIMS PRIDE CORP</v>
      </c>
      <c r="C18" s="3" cm="1">
        <f t="array" aca="1" ref="C18" ca="1">INDIRECT("Data!" &amp; ADDRESS($A18+1,C$3))</f>
        <v>0.53333333333333344</v>
      </c>
      <c r="D18" s="3" cm="1">
        <f t="array" aca="1" ref="D18" ca="1">INDIRECT("Data!" &amp; ADDRESS($A18+1,D$3))</f>
        <v>0.4</v>
      </c>
    </row>
    <row r="19" spans="1:4">
      <c r="A19" s="117">
        <f t="shared" si="0"/>
        <v>16</v>
      </c>
      <c r="B19" s="3" t="str" cm="1">
        <f t="array" aca="1" ref="B19" ca="1">IF(A19&lt;=$B$28,INDIRECT("Data!" &amp; ADDRESS($A19+1,B$3)),"")</f>
        <v>TYSON FOODS INC</v>
      </c>
      <c r="C19" s="3" cm="1">
        <f t="array" aca="1" ref="C19" ca="1">INDIRECT("Data!" &amp; ADDRESS($A19+1,C$3))</f>
        <v>0.73333333333333339</v>
      </c>
      <c r="D19" s="3" cm="1">
        <f t="array" aca="1" ref="D19" ca="1">INDIRECT("Data!" &amp; ADDRESS($A19+1,D$3))</f>
        <v>0.2</v>
      </c>
    </row>
    <row r="20" spans="1:4">
      <c r="A20" s="117">
        <f t="shared" si="0"/>
        <v>17</v>
      </c>
      <c r="B20" s="3" t="str" cm="1">
        <f t="array" aca="1" ref="B20" ca="1">IF(A20&lt;=$B$28,INDIRECT("Data!" &amp; ADDRESS($A20+1,B$3)),"")</f>
        <v/>
      </c>
      <c r="C20" s="3" cm="1">
        <f t="array" aca="1" ref="C20" ca="1">INDIRECT("Data!" &amp; ADDRESS($A20+1,C$3))</f>
        <v>0</v>
      </c>
      <c r="D20" s="3" cm="1">
        <f t="array" aca="1" ref="D20" ca="1">INDIRECT("Data!" &amp; ADDRESS($A20+1,D$3))</f>
        <v>0</v>
      </c>
    </row>
    <row r="21" spans="1:4">
      <c r="A21" s="117">
        <f t="shared" si="0"/>
        <v>18</v>
      </c>
      <c r="B21" s="3" t="str" cm="1">
        <f t="array" aca="1" ref="B21" ca="1">IF(A21&lt;=$B$28,INDIRECT("Data!" &amp; ADDRESS($A21+1,B$3)),"")</f>
        <v/>
      </c>
      <c r="C21" s="3" cm="1">
        <f t="array" aca="1" ref="C21" ca="1">INDIRECT("Data!" &amp; ADDRESS($A21+1,C$3))</f>
        <v>0</v>
      </c>
      <c r="D21" s="3" cm="1">
        <f t="array" aca="1" ref="D21" ca="1">INDIRECT("Data!" &amp; ADDRESS($A21+1,D$3))</f>
        <v>0</v>
      </c>
    </row>
    <row r="22" spans="1:4">
      <c r="A22" s="117">
        <f t="shared" si="0"/>
        <v>19</v>
      </c>
      <c r="B22" s="3" t="str" cm="1">
        <f t="array" aca="1" ref="B22" ca="1">IF(A22&lt;=$B$28,INDIRECT("Data!" &amp; ADDRESS($A22+1,B$3)),"")</f>
        <v/>
      </c>
      <c r="C22" s="3" cm="1">
        <f t="array" aca="1" ref="C22" ca="1">INDIRECT("Data!" &amp; ADDRESS($A22+1,C$3))</f>
        <v>0</v>
      </c>
      <c r="D22" s="3" cm="1">
        <f t="array" aca="1" ref="D22" ca="1">INDIRECT("Data!" &amp; ADDRESS($A22+1,D$3))</f>
        <v>0</v>
      </c>
    </row>
    <row r="23" spans="1:4">
      <c r="A23" s="117">
        <f t="shared" si="0"/>
        <v>20</v>
      </c>
      <c r="B23" s="3" t="str" cm="1">
        <f t="array" aca="1" ref="B23" ca="1">IF(A23&lt;=$B$28,INDIRECT("Data!" &amp; ADDRESS($A23+1,B$3)),"")</f>
        <v/>
      </c>
      <c r="C23" s="3" cm="1">
        <f t="array" aca="1" ref="C23" ca="1">INDIRECT("Data!" &amp; ADDRESS($A23+1,C$3))</f>
        <v>0</v>
      </c>
      <c r="D23" s="3" cm="1">
        <f t="array" aca="1" ref="D23" ca="1">INDIRECT("Data!" &amp; ADDRESS($A23+1,D$3))</f>
        <v>0</v>
      </c>
    </row>
    <row r="25" spans="1:4">
      <c r="A25" s="3" t="s">
        <v>12</v>
      </c>
      <c r="B25" s="3">
        <v>220</v>
      </c>
    </row>
    <row r="26" spans="1:4">
      <c r="A26" s="3" t="s">
        <v>13</v>
      </c>
      <c r="B26" s="3">
        <v>165</v>
      </c>
      <c r="C26" s="3">
        <v>160</v>
      </c>
    </row>
    <row r="27" spans="1:4">
      <c r="A27" s="3" t="s">
        <v>41</v>
      </c>
      <c r="B27" s="3">
        <v>0.6</v>
      </c>
    </row>
    <row r="28" spans="1:4">
      <c r="A28" s="3" t="s">
        <v>239</v>
      </c>
      <c r="B28" s="3">
        <f>Data!B21</f>
        <v>16</v>
      </c>
    </row>
    <row r="38" spans="1:6">
      <c r="C38" s="4" t="s">
        <v>1</v>
      </c>
      <c r="D38" s="4" t="s">
        <v>0</v>
      </c>
    </row>
    <row r="39" spans="1:6">
      <c r="A39" s="120" t="str">
        <f>C2</f>
        <v>LEVERAGESCORE</v>
      </c>
      <c r="B39" s="3">
        <f>37 + MATCH(A39,BDNAMES2,0) - 1</f>
        <v>80</v>
      </c>
      <c r="C39" s="3" cm="1">
        <f t="array" aca="1" ref="C39" ca="1">VALUE(INDIRECT("Data!" &amp; ADDRESS($B39,7)))</f>
        <v>0.45333333333333337</v>
      </c>
      <c r="D39" s="3" cm="1">
        <f t="array" aca="1" ref="D39" ca="1">VALUE(INDIRECT("Data!" &amp; ADDRESS($B39,8)))</f>
        <v>0.6</v>
      </c>
    </row>
    <row r="40" spans="1:6">
      <c r="A40" s="120" t="s">
        <v>367</v>
      </c>
      <c r="B40" s="3">
        <f>37 + MATCH(A40,BDNAMES2,0) - 1</f>
        <v>87</v>
      </c>
      <c r="C40" s="3" cm="1">
        <f t="array" aca="1" ref="C40" ca="1">VALUE(INDIRECT("Data!" &amp; ADDRESS($B40,7)))</f>
        <v>0.5</v>
      </c>
      <c r="D40" s="3" cm="1">
        <f t="array" aca="1" ref="D40" ca="1">VALUE(INDIRECT("Data!" &amp; ADDRESS($B40,8)))</f>
        <v>0.75</v>
      </c>
    </row>
    <row r="42" spans="1:6">
      <c r="C42" s="4" t="s">
        <v>447</v>
      </c>
      <c r="D42" s="4" t="s">
        <v>448</v>
      </c>
      <c r="E42" s="4" t="s">
        <v>449</v>
      </c>
      <c r="F42" s="4" t="s">
        <v>450</v>
      </c>
    </row>
    <row r="43" spans="1:6">
      <c r="A43" s="3" t="s">
        <v>451</v>
      </c>
      <c r="C43" s="3">
        <f ca="1">C39</f>
        <v>0.45333333333333337</v>
      </c>
      <c r="D43" s="3">
        <f ca="1">C43</f>
        <v>0.45333333333333337</v>
      </c>
      <c r="E43" s="3">
        <v>0</v>
      </c>
      <c r="F43" s="3">
        <v>1</v>
      </c>
    </row>
    <row r="44" spans="1:6">
      <c r="A44" s="3" t="s">
        <v>452</v>
      </c>
      <c r="C44" s="3">
        <f ca="1">D39</f>
        <v>0.6</v>
      </c>
      <c r="D44" s="3">
        <f ca="1">C44</f>
        <v>0.6</v>
      </c>
      <c r="E44" s="3">
        <v>0</v>
      </c>
      <c r="F44" s="3">
        <v>1</v>
      </c>
    </row>
    <row r="45" spans="1:6">
      <c r="A45" s="3" t="s">
        <v>453</v>
      </c>
      <c r="C45" s="3">
        <v>0</v>
      </c>
      <c r="D45" s="3">
        <v>1</v>
      </c>
      <c r="E45" s="3">
        <f ca="1">C40</f>
        <v>0.5</v>
      </c>
      <c r="F45" s="3">
        <f ca="1">E45</f>
        <v>0.5</v>
      </c>
    </row>
    <row r="46" spans="1:6">
      <c r="A46" s="3" t="s">
        <v>454</v>
      </c>
      <c r="C46" s="3">
        <v>0</v>
      </c>
      <c r="D46" s="3">
        <v>1</v>
      </c>
      <c r="E46" s="3">
        <f ca="1">D40</f>
        <v>0.75</v>
      </c>
      <c r="F46" s="3">
        <f ca="1">E46</f>
        <v>0.75</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ProcessTwoArrowPageDev">
                <anchor moveWithCells="1" sizeWithCells="1">
                  <from>
                    <xdr:col>17</xdr:col>
                    <xdr:colOff>485775</xdr:colOff>
                    <xdr:row>7</xdr:row>
                    <xdr:rowOff>123825</xdr:rowOff>
                  </from>
                  <to>
                    <xdr:col>19</xdr:col>
                    <xdr:colOff>323850</xdr:colOff>
                    <xdr:row>9</xdr:row>
                    <xdr:rowOff>95250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38D30-C260-4BD2-A74E-5C12BB674464}">
  <sheetPr codeName="Sheet13"/>
  <dimension ref="A1:K54"/>
  <sheetViews>
    <sheetView topLeftCell="C28" workbookViewId="0">
      <selection activeCell="C16" sqref="C16"/>
    </sheetView>
  </sheetViews>
  <sheetFormatPr defaultRowHeight="15"/>
  <cols>
    <col min="1" max="1" width="32.7109375" customWidth="1"/>
    <col min="2" max="2" width="18.28515625" customWidth="1"/>
    <col min="3" max="3" width="17.85546875" customWidth="1"/>
    <col min="4" max="4" width="16.140625" customWidth="1"/>
    <col min="5" max="5" width="18" customWidth="1"/>
    <col min="6" max="6" width="10.28515625" customWidth="1"/>
    <col min="7" max="7" width="10.85546875" customWidth="1"/>
  </cols>
  <sheetData>
    <row r="1" spans="1:11" s="3" customFormat="1" ht="11.25">
      <c r="A1" s="3" t="s">
        <v>64</v>
      </c>
      <c r="B1" s="12" t="s">
        <v>442</v>
      </c>
      <c r="C1" s="12" t="s">
        <v>66</v>
      </c>
      <c r="D1" s="12" t="s">
        <v>67</v>
      </c>
      <c r="E1" s="12" t="str">
        <f ca="1">Data!B25</f>
        <v>CAMPBELL SOUP CO</v>
      </c>
      <c r="F1" s="12" t="s">
        <v>2</v>
      </c>
      <c r="G1" s="12" t="s">
        <v>62</v>
      </c>
      <c r="H1" s="12" t="s">
        <v>0</v>
      </c>
      <c r="I1" s="12" t="s">
        <v>89</v>
      </c>
      <c r="J1" s="12" t="s">
        <v>90</v>
      </c>
      <c r="K1" s="12" t="s">
        <v>91</v>
      </c>
    </row>
    <row r="2" spans="1:11" s="3" customFormat="1" ht="11.25">
      <c r="A2" s="3" t="s">
        <v>65</v>
      </c>
      <c r="B2" s="3">
        <v>175</v>
      </c>
      <c r="C2" s="3">
        <v>125</v>
      </c>
      <c r="D2" s="3">
        <v>80</v>
      </c>
      <c r="E2" s="3">
        <v>80</v>
      </c>
      <c r="F2" s="3">
        <v>80</v>
      </c>
      <c r="G2" s="3">
        <v>80</v>
      </c>
      <c r="H2" s="3">
        <v>80</v>
      </c>
    </row>
    <row r="3" spans="1:11" s="3" customFormat="1" ht="12">
      <c r="A3" s="3" t="s">
        <v>114</v>
      </c>
      <c r="B3" s="121" t="s">
        <v>443</v>
      </c>
      <c r="C3" s="121" t="s">
        <v>290</v>
      </c>
      <c r="E3" s="100" cm="1">
        <f t="array" aca="1" ref="E3" ca="1">ROUND(VALUE(INDIRECT("Data!"&amp;ADDRESS($B20,E$14))),4)</f>
        <v>-7.9399999999999998E-2</v>
      </c>
      <c r="F3" s="100" cm="1">
        <f t="array" aca="1" ref="F3" ca="1">ROUND(VALUE(INDIRECT("Data!"&amp;ADDRESS($B20,F$14))),4)</f>
        <v>-8.3299999999999999E-2</v>
      </c>
      <c r="G3" s="100" cm="1">
        <f t="array" aca="1" ref="G3" ca="1">ROUND(VALUE(INDIRECT("Data!"&amp;ADDRESS($B20,G$14))),4)</f>
        <v>1.03E-2</v>
      </c>
      <c r="H3" s="100" cm="1">
        <f t="array" aca="1" ref="H3" ca="1">ROUND(VALUE(INDIRECT("Data!"&amp;ADDRESS($B20,H$14))),4)</f>
        <v>7.5800000000000006E-2</v>
      </c>
      <c r="I3" s="3" t="b">
        <v>0</v>
      </c>
      <c r="J3" s="12">
        <f t="shared" ref="J3:J12" ca="1" si="0">IF(E3&gt;=H3, 0, IF(E3&gt;G3, 1, IF(E3&gt;F3, 2, 3)))</f>
        <v>2</v>
      </c>
      <c r="K3" s="99">
        <f t="shared" ref="K3:K12" ca="1" si="1">IF(I3,3-J3,J3)</f>
        <v>2</v>
      </c>
    </row>
    <row r="4" spans="1:11" s="3" customFormat="1" ht="12">
      <c r="A4" s="3" t="s">
        <v>115</v>
      </c>
      <c r="B4" s="121" t="s">
        <v>277</v>
      </c>
      <c r="C4" s="121" t="s">
        <v>284</v>
      </c>
      <c r="E4" s="90" cm="1">
        <f t="array" aca="1" ref="E4" ca="1">ROUND(VALUE(INDIRECT("Data!"&amp;ADDRESS($B21,E$14))),2)</f>
        <v>6.54</v>
      </c>
      <c r="F4" s="90" cm="1">
        <f t="array" aca="1" ref="F4" ca="1">ROUND(VALUE(INDIRECT("Data!"&amp;IF($I4, ADDRESS($B21,H$14),ADDRESS($B21,F$14)))),2)</f>
        <v>5.69</v>
      </c>
      <c r="G4" s="90" cm="1">
        <f t="array" aca="1" ref="G4" ca="1">ROUND(VALUE(INDIRECT("Data!"&amp;ADDRESS($B21,G$14))),2)</f>
        <v>6.42</v>
      </c>
      <c r="H4" s="90" cm="1">
        <f t="array" aca="1" ref="H4" ca="1">ROUND(VALUE(INDIRECT("Data!"&amp;IF($I4, ADDRESS($B21,F$14),ADDRESS($B21,H$14)))),2)</f>
        <v>7.2</v>
      </c>
      <c r="I4" s="3" t="b">
        <v>0</v>
      </c>
      <c r="J4" s="12">
        <f t="shared" ca="1" si="0"/>
        <v>1</v>
      </c>
      <c r="K4" s="99">
        <f t="shared" ca="1" si="1"/>
        <v>1</v>
      </c>
    </row>
    <row r="5" spans="1:11" s="3" customFormat="1" ht="12">
      <c r="A5" s="3" t="s">
        <v>116</v>
      </c>
      <c r="B5" s="121" t="s">
        <v>278</v>
      </c>
      <c r="C5" s="121" t="s">
        <v>285</v>
      </c>
      <c r="E5" s="100" cm="1">
        <f t="array" aca="1" ref="E5" ca="1">ROUND(VALUE(INDIRECT("Data!"&amp;ADDRESS($B22,E$14))),4)</f>
        <v>3.6701999999999999</v>
      </c>
      <c r="F5" s="100" cm="1">
        <f t="array" aca="1" ref="F5" ca="1">ROUND(VALUE(INDIRECT("Data!"&amp;ADDRESS($B22,F$14))),4)</f>
        <v>3.5424000000000002</v>
      </c>
      <c r="G5" s="100" cm="1">
        <f t="array" aca="1" ref="G5" ca="1">ROUND(VALUE(INDIRECT("Data!"&amp;ADDRESS($B22,G$14))),4)</f>
        <v>4.1665999999999999</v>
      </c>
      <c r="H5" s="100" cm="1">
        <f t="array" aca="1" ref="H5" ca="1">ROUND(VALUE(INDIRECT("Data!"&amp;ADDRESS($B22,H$14))),4)</f>
        <v>5.2427999999999999</v>
      </c>
      <c r="I5" s="3" t="b">
        <v>0</v>
      </c>
      <c r="J5" s="12">
        <f t="shared" ca="1" si="0"/>
        <v>2</v>
      </c>
      <c r="K5" s="99">
        <f t="shared" ca="1" si="1"/>
        <v>2</v>
      </c>
    </row>
    <row r="6" spans="1:11" s="3" customFormat="1" ht="12">
      <c r="A6" s="3" t="s">
        <v>117</v>
      </c>
      <c r="B6" s="121" t="s">
        <v>279</v>
      </c>
      <c r="C6" s="121" t="s">
        <v>286</v>
      </c>
      <c r="E6" s="100" cm="1">
        <f t="array" aca="1" ref="E6" ca="1">ROUND(VALUE(INDIRECT("Data!"&amp;ADDRESS($B23,E$14))),4)</f>
        <v>0.70250000000000001</v>
      </c>
      <c r="F6" s="100" cm="1">
        <f t="array" aca="1" ref="F6" ca="1">ROUND(VALUE(INDIRECT("Data!"&amp;ADDRESS($B23,F$14))),4)</f>
        <v>0.49259999999999998</v>
      </c>
      <c r="G6" s="100" cm="1">
        <f t="array" aca="1" ref="G6" ca="1">ROUND(VALUE(INDIRECT("Data!"&amp;ADDRESS($B23,G$14))),4)</f>
        <v>0.78010000000000002</v>
      </c>
      <c r="H6" s="100" cm="1">
        <f t="array" aca="1" ref="H6" ca="1">ROUND(VALUE(INDIRECT("Data!"&amp;ADDRESS($B23,H$14))),4)</f>
        <v>0.88080000000000003</v>
      </c>
      <c r="I6" s="3" t="b">
        <v>0</v>
      </c>
      <c r="J6" s="12">
        <f t="shared" ca="1" si="0"/>
        <v>2</v>
      </c>
      <c r="K6" s="99">
        <f t="shared" ca="1" si="1"/>
        <v>2</v>
      </c>
    </row>
    <row r="7" spans="1:11" s="3" customFormat="1" ht="12">
      <c r="A7" s="3" t="s">
        <v>118</v>
      </c>
      <c r="B7" s="121" t="s">
        <v>280</v>
      </c>
      <c r="C7" s="121" t="s">
        <v>287</v>
      </c>
      <c r="E7" s="90" cm="1">
        <f t="array" aca="1" ref="E7" ca="1">ROUND(VALUE(INDIRECT("Data!"&amp;ADDRESS($B24,E$14))),2)</f>
        <v>3.39</v>
      </c>
      <c r="F7" s="90" cm="1">
        <f t="array" aca="1" ref="F7" ca="1">ROUND(VALUE(INDIRECT("Data!"&amp;IF($I7, ADDRESS($B24,H$14),ADDRESS($B24,F$14)))),2)</f>
        <v>1.41</v>
      </c>
      <c r="G7" s="90" cm="1">
        <f t="array" aca="1" ref="G7" ca="1">ROUND(VALUE(INDIRECT("Data!"&amp;ADDRESS($B24,G$14))),2)</f>
        <v>2.19</v>
      </c>
      <c r="H7" s="90" cm="1">
        <f t="array" aca="1" ref="H7" ca="1">ROUND(VALUE(INDIRECT("Data!"&amp;IF($I7, ADDRESS($B24,F$14),ADDRESS($B24,H$14)))),2)</f>
        <v>3.6</v>
      </c>
      <c r="I7" s="3" t="b">
        <v>0</v>
      </c>
      <c r="J7" s="12">
        <f t="shared" ca="1" si="0"/>
        <v>1</v>
      </c>
      <c r="K7" s="99">
        <f t="shared" ca="1" si="1"/>
        <v>1</v>
      </c>
    </row>
    <row r="8" spans="1:11" s="3" customFormat="1" ht="12">
      <c r="A8" s="3" t="s">
        <v>174</v>
      </c>
      <c r="B8" s="122" t="s">
        <v>281</v>
      </c>
      <c r="C8" s="121" t="s">
        <v>288</v>
      </c>
      <c r="E8" s="100" cm="1">
        <f t="array" aca="1" ref="E8" ca="1">ROUND(VALUE(INDIRECT("Data!"&amp;ADDRESS($B25,E$14))),4)</f>
        <v>0.1002</v>
      </c>
      <c r="F8" s="100" cm="1">
        <f t="array" aca="1" ref="F8" ca="1">ROUND(VALUE(INDIRECT("Data!"&amp;ADDRESS($B25,F$14))),4)</f>
        <v>9.7500000000000003E-2</v>
      </c>
      <c r="G8" s="100" cm="1">
        <f t="array" aca="1" ref="G8" ca="1">ROUND(VALUE(INDIRECT("Data!"&amp;ADDRESS($B25,G$14))),4)</f>
        <v>0.1084</v>
      </c>
      <c r="H8" s="100" cm="1">
        <f t="array" aca="1" ref="H8" ca="1">ROUND(VALUE(INDIRECT("Data!"&amp;ADDRESS($B25,H$14))),4)</f>
        <v>0.12180000000000001</v>
      </c>
      <c r="I8" s="3" t="b">
        <v>0</v>
      </c>
      <c r="J8" s="12">
        <f t="shared" ca="1" si="0"/>
        <v>2</v>
      </c>
      <c r="K8" s="99">
        <f t="shared" ca="1" si="1"/>
        <v>2</v>
      </c>
    </row>
    <row r="9" spans="1:11" s="3" customFormat="1" ht="12">
      <c r="A9" s="3" t="s">
        <v>119</v>
      </c>
      <c r="B9" s="121" t="s">
        <v>282</v>
      </c>
      <c r="C9" s="121" t="s">
        <v>289</v>
      </c>
      <c r="E9" s="90" cm="1">
        <f t="array" aca="1" ref="E9" ca="1">ROUND(VALUE(INDIRECT("Data!"&amp;ADDRESS($B26,E$14))),2)</f>
        <v>15.11</v>
      </c>
      <c r="F9" s="90" cm="1">
        <f t="array" aca="1" ref="F9" ca="1">ROUND(VALUE(INDIRECT("Data!"&amp;IF($I9, ADDRESS($B26,H$14),ADDRESS($B26,F$14)))),2)</f>
        <v>14.25</v>
      </c>
      <c r="G9" s="90" cm="1">
        <f t="array" aca="1" ref="G9" ca="1">ROUND(VALUE(INDIRECT("Data!"&amp;ADDRESS($B26,G$14))),2)</f>
        <v>12.78</v>
      </c>
      <c r="H9" s="90" cm="1">
        <f t="array" aca="1" ref="H9" ca="1">ROUND(VALUE(INDIRECT("Data!"&amp;IF($I9, ADDRESS($B26,F$14),ADDRESS($B26,H$14)))),2)</f>
        <v>11.39</v>
      </c>
      <c r="I9" s="3" t="b">
        <v>1</v>
      </c>
      <c r="J9" s="12">
        <f t="shared" ca="1" si="0"/>
        <v>0</v>
      </c>
      <c r="K9" s="99">
        <f t="shared" ca="1" si="1"/>
        <v>3</v>
      </c>
    </row>
    <row r="10" spans="1:11" s="3" customFormat="1" ht="12">
      <c r="A10" s="3" t="s">
        <v>120</v>
      </c>
      <c r="B10" s="121" t="s">
        <v>283</v>
      </c>
      <c r="C10" s="121" t="s">
        <v>444</v>
      </c>
      <c r="E10" s="90" cm="1">
        <f t="array" aca="1" ref="E10" ca="1">ROUND(VALUE(INDIRECT("Data!"&amp;ADDRESS($B27,E$14))),2)</f>
        <v>0.17</v>
      </c>
      <c r="F10" s="90" cm="1">
        <f t="array" aca="1" ref="F10" ca="1">ROUND(VALUE(INDIRECT("Data!"&amp;IF($I10, ADDRESS($B27,H$14),ADDRESS($B27,F$14)))),2)</f>
        <v>0.14000000000000001</v>
      </c>
      <c r="G10" s="90" cm="1">
        <f t="array" aca="1" ref="G10" ca="1">ROUND(VALUE(INDIRECT("Data!"&amp;ADDRESS($B27,G$14))),2)</f>
        <v>0.15</v>
      </c>
      <c r="H10" s="90" cm="1">
        <f t="array" aca="1" ref="H10" ca="1">ROUND(VALUE(INDIRECT("Data!"&amp;IF($I10, ADDRESS($B27,F$14),ADDRESS($B27,H$14)))),2)</f>
        <v>0.22</v>
      </c>
      <c r="I10" s="3" t="b">
        <v>0</v>
      </c>
      <c r="J10" s="12">
        <f t="shared" ca="1" si="0"/>
        <v>1</v>
      </c>
      <c r="K10" s="99">
        <f t="shared" ca="1" si="1"/>
        <v>1</v>
      </c>
    </row>
    <row r="11" spans="1:11" s="3" customFormat="1" ht="12">
      <c r="A11" s="3" t="s">
        <v>121</v>
      </c>
      <c r="B11" s="121" t="s">
        <v>445</v>
      </c>
      <c r="C11" s="121" t="s">
        <v>446</v>
      </c>
      <c r="D11" s="4"/>
      <c r="E11" s="100" cm="1">
        <f t="array" aca="1" ref="E11" ca="1">ROUND(VALUE(INDIRECT("Data!"&amp;ADDRESS($B28,E$14))),4)</f>
        <v>3.6440000000000001</v>
      </c>
      <c r="F11" s="100" cm="1">
        <f t="array" aca="1" ref="F11" ca="1">ROUND(VALUE(INDIRECT("Data!"&amp;ADDRESS($B28,F$14))),4)</f>
        <v>2.8864000000000001</v>
      </c>
      <c r="G11" s="100" cm="1">
        <f t="array" aca="1" ref="G11" ca="1">ROUND(VALUE(INDIRECT("Data!"&amp;ADDRESS($B28,G$14))),4)</f>
        <v>3.6616</v>
      </c>
      <c r="H11" s="100" cm="1">
        <f t="array" aca="1" ref="H11" ca="1">ROUND(VALUE(INDIRECT("Data!"&amp;ADDRESS($B28,H$14))),4)</f>
        <v>3.9742000000000002</v>
      </c>
      <c r="I11" s="3" t="b">
        <v>0</v>
      </c>
      <c r="J11" s="12">
        <f t="shared" ca="1" si="0"/>
        <v>2</v>
      </c>
      <c r="K11" s="99">
        <f t="shared" ca="1" si="1"/>
        <v>2</v>
      </c>
    </row>
    <row r="12" spans="1:11" s="3" customFormat="1" ht="12">
      <c r="A12" s="3" t="s">
        <v>402</v>
      </c>
      <c r="B12" s="121" t="s">
        <v>291</v>
      </c>
      <c r="C12" s="121"/>
      <c r="D12" s="98"/>
      <c r="E12" s="100" cm="1">
        <f t="array" aca="1" ref="E12" ca="1">ROUND(VALUE(INDIRECT("Data!"&amp;ADDRESS($B29,E$14))),4)</f>
        <v>0.49630000000000002</v>
      </c>
      <c r="F12" s="100" cm="1">
        <f t="array" aca="1" ref="F12" ca="1">ROUND(VALUE(INDIRECT("Data!"&amp;ADDRESS($B29,F$14))),4)</f>
        <v>0.40739999999999998</v>
      </c>
      <c r="G12" s="100" cm="1">
        <f t="array" aca="1" ref="G12" ca="1">ROUND(VALUE(INDIRECT("Data!"&amp;ADDRESS($B29,G$14))),4)</f>
        <v>0.47410000000000002</v>
      </c>
      <c r="H12" s="100" cm="1">
        <f t="array" aca="1" ref="H12" ca="1">ROUND(VALUE(INDIRECT("Data!"&amp;ADDRESS($B29,H$14))),4)</f>
        <v>0.57779999999999998</v>
      </c>
      <c r="I12" s="3" t="b">
        <v>1</v>
      </c>
      <c r="J12" s="12">
        <f t="shared" ca="1" si="0"/>
        <v>1</v>
      </c>
      <c r="K12" s="99">
        <f t="shared" ca="1" si="1"/>
        <v>2</v>
      </c>
    </row>
    <row r="13" spans="1:11" s="3" customFormat="1" ht="11.25">
      <c r="C13" s="6"/>
      <c r="D13" s="90"/>
      <c r="E13" s="101"/>
      <c r="F13" s="101"/>
      <c r="G13" s="101"/>
      <c r="H13" s="101"/>
      <c r="J13" s="12"/>
      <c r="K13" s="99"/>
    </row>
    <row r="14" spans="1:11" s="3" customFormat="1" ht="11.25">
      <c r="A14" s="3" t="s">
        <v>12</v>
      </c>
      <c r="B14" s="41">
        <v>40</v>
      </c>
      <c r="C14" s="98"/>
      <c r="D14" s="98"/>
      <c r="E14" s="41">
        <v>11</v>
      </c>
      <c r="F14" s="3">
        <v>6</v>
      </c>
      <c r="G14" s="3">
        <v>7</v>
      </c>
      <c r="H14" s="3">
        <v>8</v>
      </c>
    </row>
    <row r="15" spans="1:11" s="3" customFormat="1" ht="11.25">
      <c r="A15" s="3" t="s">
        <v>13</v>
      </c>
      <c r="B15" s="41">
        <v>165</v>
      </c>
      <c r="C15" s="98" t="s">
        <v>802</v>
      </c>
      <c r="D15" s="98"/>
      <c r="E15" s="98"/>
    </row>
    <row r="16" spans="1:11" s="3" customFormat="1" ht="11.25">
      <c r="A16" s="3" t="s">
        <v>14</v>
      </c>
      <c r="B16" s="98">
        <v>1</v>
      </c>
      <c r="C16" s="98"/>
      <c r="D16" s="98"/>
      <c r="E16" s="98"/>
    </row>
    <row r="17" spans="1:10" s="3" customFormat="1" ht="11.25">
      <c r="A17" s="3" t="s">
        <v>15</v>
      </c>
      <c r="B17" s="98">
        <v>1</v>
      </c>
      <c r="C17" s="98"/>
      <c r="D17" s="98"/>
      <c r="E17" s="98"/>
    </row>
    <row r="18" spans="1:10" s="3" customFormat="1" ht="11.25">
      <c r="B18" s="98"/>
      <c r="C18" s="98"/>
      <c r="D18" s="98"/>
      <c r="E18" s="98"/>
    </row>
    <row r="19" spans="1:10" s="3" customFormat="1" ht="11.25">
      <c r="B19" s="98"/>
      <c r="C19" s="124"/>
      <c r="D19" s="125"/>
      <c r="E19" s="4" t="s">
        <v>464</v>
      </c>
      <c r="F19" s="125" t="s">
        <v>463</v>
      </c>
      <c r="G19" s="65" t="s">
        <v>461</v>
      </c>
      <c r="H19" s="65" t="s">
        <v>462</v>
      </c>
      <c r="I19" s="4"/>
      <c r="J19" s="4"/>
    </row>
    <row r="20" spans="1:10" s="3" customFormat="1" ht="11.25">
      <c r="A20" s="127" t="str">
        <f>A3</f>
        <v>WCSALES</v>
      </c>
      <c r="B20" s="12">
        <f t="shared" ref="B20:B29" si="2">37+MATCH(A20,BDNAMES2,0)-1</f>
        <v>69</v>
      </c>
      <c r="C20" s="126"/>
      <c r="D20" s="126"/>
      <c r="E20" s="126" cm="1">
        <f t="array" aca="1" ref="E20" ca="1">VALUE(INDIRECT("Data!" &amp; ADDRESS($B20,E$14)))</f>
        <v>-7.9392474974111144E-2</v>
      </c>
      <c r="F20" s="126" cm="1">
        <f t="array" aca="1" ref="F20" ca="1">VALUE(INDIRECT("Data!" &amp; ADDRESS($B20,F$14)))</f>
        <v>-8.3290918532254607E-2</v>
      </c>
      <c r="G20" s="126" cm="1">
        <f t="array" aca="1" ref="G20" ca="1">VALUE(INDIRECT("Data!" &amp; ADDRESS($B20,G$14)))</f>
        <v>1.0298736673296484E-2</v>
      </c>
      <c r="H20" s="126" cm="1">
        <f t="array" aca="1" ref="H20" ca="1">VALUE(INDIRECT("Data!" &amp; ADDRESS($B20,H$14)))</f>
        <v>7.5804701449199943E-2</v>
      </c>
      <c r="I20" s="126"/>
      <c r="J20" s="126"/>
    </row>
    <row r="21" spans="1:10" s="3" customFormat="1" ht="11.25">
      <c r="A21" s="127" t="str">
        <f t="shared" ref="A21:A28" si="3">A4</f>
        <v>ITURNS</v>
      </c>
      <c r="B21" s="12">
        <f t="shared" si="2"/>
        <v>70</v>
      </c>
      <c r="C21" s="126"/>
      <c r="D21" s="126"/>
      <c r="E21" s="126" cm="1">
        <f t="array" aca="1" ref="E21" ca="1">VALUE(INDIRECT("Data!" &amp; ADDRESS($B21,E$14)))</f>
        <v>6.5350172215843854</v>
      </c>
      <c r="F21" s="126" cm="1">
        <f t="array" aca="1" ref="F21" ca="1">VALUE(INDIRECT("Data!" &amp; ADDRESS($B21,F$14)))</f>
        <v>5.6903369200116343</v>
      </c>
      <c r="G21" s="126" cm="1">
        <f t="array" aca="1" ref="G21" ca="1">VALUE(INDIRECT("Data!" &amp; ADDRESS($B21,G$14)))</f>
        <v>6.4245769312013863</v>
      </c>
      <c r="H21" s="126" cm="1">
        <f t="array" aca="1" ref="H21" ca="1">VALUE(INDIRECT("Data!" &amp; ADDRESS($B21,H$14)))</f>
        <v>7.1960516256030456</v>
      </c>
      <c r="I21" s="126"/>
      <c r="J21" s="126"/>
    </row>
    <row r="22" spans="1:10" s="3" customFormat="1" ht="11.25">
      <c r="A22" s="3" t="str">
        <f t="shared" si="3"/>
        <v>FATURN</v>
      </c>
      <c r="B22" s="12">
        <f t="shared" si="2"/>
        <v>71</v>
      </c>
      <c r="C22" s="126"/>
      <c r="D22" s="126"/>
      <c r="E22" s="126"/>
      <c r="F22" s="126"/>
      <c r="G22" s="126"/>
      <c r="H22" s="126"/>
      <c r="I22" s="126"/>
      <c r="J22" s="126"/>
    </row>
    <row r="23" spans="1:10" s="3" customFormat="1" ht="11.25">
      <c r="A23" s="127" t="str">
        <f t="shared" si="3"/>
        <v>TATURN</v>
      </c>
      <c r="B23" s="12">
        <f t="shared" si="2"/>
        <v>72</v>
      </c>
      <c r="C23" s="126"/>
      <c r="D23" s="126"/>
      <c r="E23" s="126" cm="1">
        <f t="array" aca="1" ref="E23" ca="1">VALUE(INDIRECT("Data!" &amp; ADDRESS($B23,E$14)))</f>
        <v>0.70247332686711927</v>
      </c>
      <c r="F23" s="126" cm="1">
        <f t="array" aca="1" ref="F23" ca="1">VALUE(INDIRECT("Data!" &amp; ADDRESS($B23,F$14)))</f>
        <v>0.49258184507613972</v>
      </c>
      <c r="G23" s="126" cm="1">
        <f t="array" aca="1" ref="G23" ca="1">VALUE(INDIRECT("Data!" &amp; ADDRESS($B23,G$14)))</f>
        <v>0.78011882495324014</v>
      </c>
      <c r="H23" s="126" cm="1">
        <f t="array" aca="1" ref="H23" ca="1">VALUE(INDIRECT("Data!" &amp; ADDRESS($B23,H$14)))</f>
        <v>0.88078738334824713</v>
      </c>
      <c r="I23" s="126"/>
      <c r="J23" s="126"/>
    </row>
    <row r="24" spans="1:10" s="3" customFormat="1" ht="11.25">
      <c r="A24" s="127" t="str">
        <f t="shared" si="3"/>
        <v>EQTURNS</v>
      </c>
      <c r="B24" s="12">
        <f t="shared" si="2"/>
        <v>73</v>
      </c>
      <c r="C24" s="126"/>
      <c r="D24" s="126"/>
      <c r="E24" s="126" cm="1">
        <f t="array" aca="1" ref="E24" ca="1">VALUE(INDIRECT("Data!" &amp; ADDRESS($B24,E$14)))</f>
        <v>3.3909481076863051</v>
      </c>
      <c r="F24" s="126" cm="1">
        <f t="array" aca="1" ref="F24" ca="1">VALUE(INDIRECT("Data!" &amp; ADDRESS($B24,F$14)))</f>
        <v>1.4131736187239465</v>
      </c>
      <c r="G24" s="126" cm="1">
        <f t="array" aca="1" ref="G24" ca="1">VALUE(INDIRECT("Data!" &amp; ADDRESS($B24,G$14)))</f>
        <v>2.1873301482906244</v>
      </c>
      <c r="H24" s="126" cm="1">
        <f t="array" aca="1" ref="H24" ca="1">VALUE(INDIRECT("Data!" &amp; ADDRESS($B24,H$14)))</f>
        <v>3.6015224409399265</v>
      </c>
      <c r="I24" s="126"/>
      <c r="J24" s="126"/>
    </row>
    <row r="25" spans="1:10" s="3" customFormat="1" ht="11.25">
      <c r="A25" s="3" t="str">
        <f t="shared" si="3"/>
        <v>INVSALES</v>
      </c>
      <c r="B25" s="12">
        <f t="shared" si="2"/>
        <v>74</v>
      </c>
      <c r="C25" s="126"/>
      <c r="D25" s="126"/>
      <c r="E25" s="126"/>
      <c r="F25" s="126"/>
      <c r="G25" s="126"/>
      <c r="H25" s="126"/>
      <c r="I25" s="126"/>
      <c r="J25" s="126"/>
    </row>
    <row r="26" spans="1:10" s="3" customFormat="1" ht="11.25">
      <c r="A26" s="127" t="str">
        <f t="shared" si="3"/>
        <v>RTURNS</v>
      </c>
      <c r="B26" s="12">
        <f t="shared" si="2"/>
        <v>75</v>
      </c>
      <c r="C26" s="126"/>
      <c r="D26" s="126"/>
      <c r="E26" s="126" cm="1">
        <f t="array" aca="1" ref="E26" ca="1">VALUE(INDIRECT("Data!" &amp; ADDRESS($B26,E$14)))</f>
        <v>15.114782608695652</v>
      </c>
      <c r="F26" s="126" cm="1">
        <f t="array" aca="1" ref="F26" ca="1">VALUE(INDIRECT("Data!" &amp; ADDRESS($B26,F$14)))</f>
        <v>11.394569283707465</v>
      </c>
      <c r="G26" s="126" cm="1">
        <f t="array" aca="1" ref="G26" ca="1">VALUE(INDIRECT("Data!" &amp; ADDRESS($B26,G$14)))</f>
        <v>12.776897139404667</v>
      </c>
      <c r="H26" s="126" cm="1">
        <f t="array" aca="1" ref="H26" ca="1">VALUE(INDIRECT("Data!" &amp; ADDRESS($B26,H$14)))</f>
        <v>14.251268063429798</v>
      </c>
      <c r="I26" s="126"/>
      <c r="J26" s="126"/>
    </row>
    <row r="27" spans="1:10" s="3" customFormat="1" ht="11.25">
      <c r="A27" s="3" t="str">
        <f t="shared" si="3"/>
        <v>QASALES</v>
      </c>
      <c r="B27" s="12">
        <f t="shared" si="2"/>
        <v>76</v>
      </c>
      <c r="C27" s="126"/>
      <c r="D27" s="126"/>
      <c r="E27" s="126"/>
      <c r="F27" s="126"/>
      <c r="G27" s="126"/>
      <c r="H27" s="126"/>
      <c r="I27" s="126"/>
      <c r="J27" s="126"/>
    </row>
    <row r="28" spans="1:10" s="3" customFormat="1" ht="11.25">
      <c r="A28" s="3" t="str">
        <f t="shared" si="3"/>
        <v>CASALES</v>
      </c>
      <c r="B28" s="12">
        <f t="shared" si="2"/>
        <v>77</v>
      </c>
    </row>
    <row r="29" spans="1:10" s="3" customFormat="1" ht="11.25">
      <c r="A29" s="3" t="str">
        <f>A12</f>
        <v>TURNOVERSCORE</v>
      </c>
      <c r="B29" s="12">
        <f t="shared" si="2"/>
        <v>81</v>
      </c>
    </row>
    <row r="30" spans="1:10" s="3" customFormat="1" ht="11.25">
      <c r="B30" s="12"/>
    </row>
    <row r="31" spans="1:10" s="3" customFormat="1" ht="11.25">
      <c r="C31" s="126"/>
      <c r="D31" s="126"/>
      <c r="E31" s="126"/>
      <c r="F31" s="126"/>
      <c r="G31" s="126"/>
      <c r="H31" s="126"/>
      <c r="I31" s="126"/>
      <c r="J31" s="126"/>
    </row>
    <row r="32" spans="1:10" s="3" customFormat="1" ht="11.25"/>
    <row r="33" spans="1:3" s="3" customFormat="1" ht="11.25"/>
    <row r="34" spans="1:3" s="3" customFormat="1" ht="11.25"/>
    <row r="35" spans="1:3" s="3" customFormat="1" ht="11.25"/>
    <row r="36" spans="1:3" s="3" customFormat="1" ht="11.25">
      <c r="A36" s="3" t="s">
        <v>483</v>
      </c>
      <c r="B36" s="90" cm="1">
        <f t="array" aca="1" ref="B36" ca="1">INDIRECT("DATA!" &amp; ADDRESS($B20,16))</f>
        <v>0.5</v>
      </c>
      <c r="C36" s="3" t="s">
        <v>504</v>
      </c>
    </row>
    <row r="37" spans="1:3" s="3" customFormat="1" ht="11.25">
      <c r="A37" s="3" t="s">
        <v>482</v>
      </c>
      <c r="B37" s="90" cm="1">
        <f t="array" aca="1" ref="B37" ca="1">INDIRECT("DATA!" &amp; ADDRESS($B21,16))</f>
        <v>0.5</v>
      </c>
      <c r="C37" s="3" t="s">
        <v>504</v>
      </c>
    </row>
    <row r="38" spans="1:3" s="3" customFormat="1" ht="11.25">
      <c r="A38" s="135" t="str">
        <f t="shared" ref="A38:A45" si="4">A22</f>
        <v>FATURN</v>
      </c>
      <c r="B38" s="12"/>
    </row>
    <row r="39" spans="1:3" s="3" customFormat="1" ht="11.25">
      <c r="A39" s="3" t="s">
        <v>480</v>
      </c>
      <c r="B39" s="90" cm="1">
        <f t="array" aca="1" ref="B39" ca="1">INDIRECT("DATA!" &amp; ADDRESS($B23,16))</f>
        <v>0.5</v>
      </c>
      <c r="C39" s="3" t="s">
        <v>504</v>
      </c>
    </row>
    <row r="40" spans="1:3" s="3" customFormat="1" ht="11.25">
      <c r="A40" s="3" t="s">
        <v>481</v>
      </c>
      <c r="B40" s="90" cm="1">
        <f t="array" aca="1" ref="B40" ca="1">INDIRECT("DATA!" &amp; ADDRESS($B24,16))</f>
        <v>0.5</v>
      </c>
      <c r="C40" s="3" t="s">
        <v>504</v>
      </c>
    </row>
    <row r="41" spans="1:3" s="3" customFormat="1" ht="11.25">
      <c r="A41" s="135" t="str">
        <f t="shared" si="4"/>
        <v>INVSALES</v>
      </c>
      <c r="B41" s="12"/>
    </row>
    <row r="42" spans="1:3" s="3" customFormat="1" ht="11.25">
      <c r="A42" s="3" t="s">
        <v>492</v>
      </c>
      <c r="B42" s="90" cm="1">
        <f t="array" aca="1" ref="B42" ca="1">INDIRECT("DATA!" &amp; ADDRESS($B26,16))</f>
        <v>0.25</v>
      </c>
      <c r="C42" s="3" t="s">
        <v>504</v>
      </c>
    </row>
    <row r="43" spans="1:3" s="3" customFormat="1" ht="11.25">
      <c r="A43" s="135" t="str">
        <f t="shared" si="4"/>
        <v>QASALES</v>
      </c>
      <c r="B43" s="12"/>
    </row>
    <row r="44" spans="1:3" s="3" customFormat="1" ht="11.25">
      <c r="A44" s="135" t="str">
        <f t="shared" si="4"/>
        <v>CASALES</v>
      </c>
      <c r="B44" s="12"/>
    </row>
    <row r="45" spans="1:3" s="3" customFormat="1" ht="11.25">
      <c r="A45" s="135" t="str">
        <f t="shared" si="4"/>
        <v>TURNOVERSCORE</v>
      </c>
      <c r="B45" s="12"/>
    </row>
    <row r="46" spans="1:3" s="3" customFormat="1" ht="11.25"/>
    <row r="47" spans="1:3" s="3" customFormat="1" ht="11.25"/>
    <row r="48" spans="1:3" s="3" customFormat="1" ht="11.25"/>
    <row r="49" s="3" customFormat="1" ht="11.25"/>
    <row r="50" s="3" customFormat="1" ht="11.25"/>
    <row r="51" s="3" customFormat="1" ht="11.25"/>
    <row r="52" s="3" customFormat="1" ht="11.25"/>
    <row r="53" s="3" customFormat="1" ht="11.25"/>
    <row r="54" s="3" customFormat="1" ht="11.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FormatLiquidityDriversPage">
                <anchor moveWithCells="1" sizeWithCells="1">
                  <from>
                    <xdr:col>8</xdr:col>
                    <xdr:colOff>438150</xdr:colOff>
                    <xdr:row>15</xdr:row>
                    <xdr:rowOff>38100</xdr:rowOff>
                  </from>
                  <to>
                    <xdr:col>10</xdr:col>
                    <xdr:colOff>514350</xdr:colOff>
                    <xdr:row>16</xdr:row>
                    <xdr:rowOff>114300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9C44F-E267-43F7-BC67-BD3ABD608618}">
  <sheetPr codeName="Sheet25"/>
  <dimension ref="A1:F46"/>
  <sheetViews>
    <sheetView workbookViewId="0">
      <selection activeCell="T41" sqref="T41"/>
    </sheetView>
  </sheetViews>
  <sheetFormatPr defaultRowHeight="11.25"/>
  <cols>
    <col min="1" max="1" width="20.85546875" style="3" customWidth="1"/>
    <col min="2" max="3" width="9.140625" style="3"/>
    <col min="4" max="4" width="15.28515625" style="3" customWidth="1"/>
    <col min="5" max="16384" width="9.140625" style="3"/>
  </cols>
  <sheetData>
    <row r="1" spans="1:4">
      <c r="B1" s="4" t="s">
        <v>435</v>
      </c>
      <c r="C1" s="4" t="s">
        <v>436</v>
      </c>
      <c r="D1" s="4" t="s">
        <v>40</v>
      </c>
    </row>
    <row r="2" spans="1:4">
      <c r="B2" s="4" t="s">
        <v>181</v>
      </c>
      <c r="C2" s="4" t="s">
        <v>402</v>
      </c>
      <c r="D2" s="4" t="s">
        <v>367</v>
      </c>
    </row>
    <row r="3" spans="1:4">
      <c r="B3" s="116">
        <f>MATCH(B2,SKCOLNAMES,0)</f>
        <v>132</v>
      </c>
      <c r="C3" s="116">
        <f>MATCH(C2,SKCOLNAMES,0)</f>
        <v>99</v>
      </c>
      <c r="D3" s="116">
        <f>MATCH(D2,SKCOLNAMES,0)</f>
        <v>56</v>
      </c>
    </row>
    <row r="4" spans="1:4">
      <c r="A4" s="117">
        <v>1</v>
      </c>
      <c r="B4" s="3" t="str" cm="1">
        <f t="array" aca="1" ref="B4" ca="1">INDIRECT("Data!" &amp; ADDRESS($A4+1,B$3))</f>
        <v>BRF SA</v>
      </c>
      <c r="C4" s="3" cm="1">
        <f t="array" aca="1" ref="C4" ca="1">INDIRECT("Data!" &amp; ADDRESS($A4+1,C$3))</f>
        <v>0.51851851851851849</v>
      </c>
      <c r="D4" s="3" cm="1">
        <f t="array" aca="1" ref="D4" ca="1">INDIRECT("Data!" &amp; ADDRESS($A4+1,D$3))</f>
        <v>0.73333333333333328</v>
      </c>
    </row>
    <row r="5" spans="1:4">
      <c r="A5" s="117">
        <f t="shared" ref="A5:A23" si="0">A4+1</f>
        <v>2</v>
      </c>
      <c r="B5" s="3" t="str" cm="1">
        <f t="array" aca="1" ref="B5" ca="1">INDIRECT("Data!" &amp; ADDRESS($A5+1,B$3))</f>
        <v>CAMPBELL SOUP CO</v>
      </c>
      <c r="C5" s="3" cm="1">
        <f t="array" aca="1" ref="C5" ca="1">INDIRECT("Data!" &amp; ADDRESS($A5+1,C$3))</f>
        <v>0.49629629629629629</v>
      </c>
      <c r="D5" s="3" cm="1">
        <f t="array" aca="1" ref="D5" ca="1">INDIRECT("Data!" &amp; ADDRESS($A5+1,D$3))</f>
        <v>0</v>
      </c>
    </row>
    <row r="6" spans="1:4">
      <c r="A6" s="117">
        <f t="shared" si="0"/>
        <v>3</v>
      </c>
      <c r="B6" s="3" t="str" cm="1">
        <f t="array" aca="1" ref="B6" ca="1">INDIRECT("Data!" &amp; ADDRESS($A6+1,B$3))</f>
        <v>CONAGRA BRANDS INC</v>
      </c>
      <c r="C6" s="3" cm="1">
        <f t="array" aca="1" ref="C6" ca="1">INDIRECT("Data!" &amp; ADDRESS($A6+1,C$3))</f>
        <v>0.57037037037037031</v>
      </c>
      <c r="D6" s="3" cm="1">
        <f t="array" aca="1" ref="D6" ca="1">INDIRECT("Data!" &amp; ADDRESS($A6+1,D$3))</f>
        <v>0.26666666666666666</v>
      </c>
    </row>
    <row r="7" spans="1:4">
      <c r="A7" s="117">
        <f t="shared" si="0"/>
        <v>4</v>
      </c>
      <c r="B7" s="3" t="str" cm="1">
        <f t="array" aca="1" ref="B7" ca="1">INDIRECT("Data!" &amp; ADDRESS($A7+1,B$3))</f>
        <v>DANONE S.A.</v>
      </c>
      <c r="C7" s="3" cm="1">
        <f t="array" aca="1" ref="C7" ca="1">INDIRECT("Data!" &amp; ADDRESS($A7+1,C$3))</f>
        <v>0.34074074074074079</v>
      </c>
      <c r="D7" s="3" cm="1">
        <f t="array" aca="1" ref="D7" ca="1">INDIRECT("Data!" &amp; ADDRESS($A7+1,D$3))</f>
        <v>0.8666666666666667</v>
      </c>
    </row>
    <row r="8" spans="1:4">
      <c r="A8" s="117">
        <f t="shared" si="0"/>
        <v>5</v>
      </c>
      <c r="B8" s="3" t="str" cm="1">
        <f t="array" aca="1" ref="B8" ca="1">INDIRECT("Data!" &amp; ADDRESS($A8+1,B$3))</f>
        <v>GENERAL MILLS INC</v>
      </c>
      <c r="C8" s="3" cm="1">
        <f t="array" aca="1" ref="C8" ca="1">INDIRECT("Data!" &amp; ADDRESS($A8+1,C$3))</f>
        <v>0.40740740740740744</v>
      </c>
      <c r="D8" s="3" cm="1">
        <f t="array" aca="1" ref="D8" ca="1">INDIRECT("Data!" &amp; ADDRESS($A8+1,D$3))</f>
        <v>0.66666666666666663</v>
      </c>
    </row>
    <row r="9" spans="1:4">
      <c r="A9" s="117">
        <f t="shared" si="0"/>
        <v>6</v>
      </c>
      <c r="B9" s="3" t="str" cm="1">
        <f t="array" aca="1" ref="B9" ca="1">INDIRECT("Data!" &amp; ADDRESS($A9+1,B$3))</f>
        <v>HAIN CELESTIAL</v>
      </c>
      <c r="C9" s="3" cm="1">
        <f t="array" aca="1" ref="C9" ca="1">INDIRECT("Data!" &amp; ADDRESS($A9+1,C$3))</f>
        <v>0.45185185185185195</v>
      </c>
      <c r="D9" s="3" cm="1">
        <f t="array" aca="1" ref="D9" ca="1">INDIRECT("Data!" &amp; ADDRESS($A9+1,D$3))</f>
        <v>0.13333333333333333</v>
      </c>
    </row>
    <row r="10" spans="1:4">
      <c r="A10" s="117">
        <f t="shared" si="0"/>
        <v>7</v>
      </c>
      <c r="B10" s="3" t="str" cm="1">
        <f t="array" aca="1" ref="B10" ca="1">IF(A10&lt;=$B$28,INDIRECT("Data!" &amp; ADDRESS($A10+1,B$3)),"")</f>
        <v>HERSHEY CO</v>
      </c>
      <c r="C10" s="3" cm="1">
        <f t="array" aca="1" ref="C10" ca="1">INDIRECT("Data!" &amp; ADDRESS($A10+1,C$3))</f>
        <v>0.52592592592592591</v>
      </c>
      <c r="D10" s="3" cm="1">
        <f t="array" aca="1" ref="D10" ca="1">INDIRECT("Data!" &amp; ADDRESS($A10+1,D$3))</f>
        <v>0.93333333333333335</v>
      </c>
    </row>
    <row r="11" spans="1:4">
      <c r="A11" s="117">
        <f t="shared" si="0"/>
        <v>8</v>
      </c>
      <c r="B11" s="3" t="str" cm="1">
        <f t="array" aca="1" ref="B11" ca="1">IF(A11&lt;=$B$28,INDIRECT("Data!" &amp; ADDRESS($A11+1,B$3)),"")</f>
        <v>HORMEL FOODS CORP</v>
      </c>
      <c r="C11" s="3" cm="1">
        <f t="array" aca="1" ref="C11" ca="1">INDIRECT("Data!" &amp; ADDRESS($A11+1,C$3))</f>
        <v>0.40740740740740744</v>
      </c>
      <c r="D11" s="3" cm="1">
        <f t="array" aca="1" ref="D11" ca="1">INDIRECT("Data!" &amp; ADDRESS($A11+1,D$3))</f>
        <v>0.8</v>
      </c>
    </row>
    <row r="12" spans="1:4">
      <c r="A12" s="117">
        <f t="shared" si="0"/>
        <v>9</v>
      </c>
      <c r="B12" s="3" t="str" cm="1">
        <f t="array" aca="1" ref="B12" ca="1">IF(A12&lt;=$B$28,INDIRECT("Data!" &amp; ADDRESS($A12+1,B$3)),"")</f>
        <v>J M SMUCKER CO</v>
      </c>
      <c r="C12" s="3" cm="1">
        <f t="array" aca="1" ref="C12" ca="1">INDIRECT("Data!" &amp; ADDRESS($A12+1,C$3))</f>
        <v>0.4148148148148148</v>
      </c>
      <c r="D12" s="3" cm="1">
        <f t="array" aca="1" ref="D12" ca="1">INDIRECT("Data!" &amp; ADDRESS($A12+1,D$3))</f>
        <v>0.46666666666666667</v>
      </c>
    </row>
    <row r="13" spans="1:4">
      <c r="A13" s="117">
        <f t="shared" si="0"/>
        <v>10</v>
      </c>
      <c r="B13" s="3" t="str" cm="1">
        <f t="array" aca="1" ref="B13" ca="1">IF(A13&lt;=$B$28,INDIRECT("Data!" &amp; ADDRESS($A13+1,B$3)),"")</f>
        <v>KELLOGG CO</v>
      </c>
      <c r="C13" s="3" cm="1">
        <f t="array" aca="1" ref="C13" ca="1">INDIRECT("Data!" &amp; ADDRESS($A13+1,C$3))</f>
        <v>0.60000000000000009</v>
      </c>
      <c r="D13" s="3" cm="1">
        <f t="array" aca="1" ref="D13" ca="1">INDIRECT("Data!" &amp; ADDRESS($A13+1,D$3))</f>
        <v>0.53333333333333333</v>
      </c>
    </row>
    <row r="14" spans="1:4">
      <c r="A14" s="117">
        <f t="shared" si="0"/>
        <v>11</v>
      </c>
      <c r="B14" s="3" t="str" cm="1">
        <f t="array" aca="1" ref="B14" ca="1">IF(A14&lt;=$B$28,INDIRECT("Data!" &amp; ADDRESS($A14+1,B$3)),"")</f>
        <v>KRAFT HEINZ CO</v>
      </c>
      <c r="C14" s="3" cm="1">
        <f t="array" aca="1" ref="C14" ca="1">INDIRECT("Data!" &amp; ADDRESS($A14+1,C$3))</f>
        <v>0.36296296296296293</v>
      </c>
      <c r="D14" s="3" cm="1">
        <f t="array" aca="1" ref="D14" ca="1">INDIRECT("Data!" &amp; ADDRESS($A14+1,D$3))</f>
        <v>0.6</v>
      </c>
    </row>
    <row r="15" spans="1:4">
      <c r="A15" s="117">
        <f t="shared" si="0"/>
        <v>12</v>
      </c>
      <c r="B15" s="3" t="str" cm="1">
        <f t="array" aca="1" ref="B15" ca="1">IF(A15&lt;=$B$28,INDIRECT("Data!" &amp; ADDRESS($A15+1,B$3)),"")</f>
        <v>LAMB WESTON</v>
      </c>
      <c r="C15" s="3" cm="1">
        <f t="array" aca="1" ref="C15" ca="1">INDIRECT("Data!" &amp; ADDRESS($A15+1,C$3))</f>
        <v>0.62962962962962965</v>
      </c>
      <c r="D15" s="3" cm="1">
        <f t="array" aca="1" ref="D15" ca="1">INDIRECT("Data!" &amp; ADDRESS($A15+1,D$3))</f>
        <v>1</v>
      </c>
    </row>
    <row r="16" spans="1:4">
      <c r="A16" s="117">
        <f t="shared" si="0"/>
        <v>13</v>
      </c>
      <c r="B16" s="3" t="str" cm="1">
        <f t="array" aca="1" ref="B16" ca="1">IF(A16&lt;=$B$28,INDIRECT("Data!" &amp; ADDRESS($A16+1,B$3)),"")</f>
        <v>MCCORMICK &amp; CO INC</v>
      </c>
      <c r="C16" s="3" cm="1">
        <f t="array" aca="1" ref="C16" ca="1">INDIRECT("Data!" &amp; ADDRESS($A16+1,C$3))</f>
        <v>0.41481481481481486</v>
      </c>
      <c r="D16" s="3" cm="1">
        <f t="array" aca="1" ref="D16" ca="1">INDIRECT("Data!" &amp; ADDRESS($A16+1,D$3))</f>
        <v>0.33333333333333331</v>
      </c>
    </row>
    <row r="17" spans="1:4">
      <c r="A17" s="117">
        <f t="shared" si="0"/>
        <v>14</v>
      </c>
      <c r="B17" s="3" t="str" cm="1">
        <f t="array" aca="1" ref="B17" ca="1">IF(A17&lt;=$B$28,INDIRECT("Data!" &amp; ADDRESS($A17+1,B$3)),"")</f>
        <v>MONDELEZ</v>
      </c>
      <c r="C17" s="3" cm="1">
        <f t="array" aca="1" ref="C17" ca="1">INDIRECT("Data!" &amp; ADDRESS($A17+1,C$3))</f>
        <v>0.73333333333333339</v>
      </c>
      <c r="D17" s="3" cm="1">
        <f t="array" aca="1" ref="D17" ca="1">INDIRECT("Data!" &amp; ADDRESS($A17+1,D$3))</f>
        <v>6.6666666666666666E-2</v>
      </c>
    </row>
    <row r="18" spans="1:4">
      <c r="A18" s="117">
        <f t="shared" si="0"/>
        <v>15</v>
      </c>
      <c r="B18" s="3" t="str" cm="1">
        <f t="array" aca="1" ref="B18" ca="1">IF(A18&lt;=$B$28,INDIRECT("Data!" &amp; ADDRESS($A18+1,B$3)),"")</f>
        <v>PILGRIMS PRIDE CORP</v>
      </c>
      <c r="C18" s="3" cm="1">
        <f t="array" aca="1" ref="C18" ca="1">INDIRECT("Data!" &amp; ADDRESS($A18+1,C$3))</f>
        <v>0.37037037037037041</v>
      </c>
      <c r="D18" s="3" cm="1">
        <f t="array" aca="1" ref="D18" ca="1">INDIRECT("Data!" &amp; ADDRESS($A18+1,D$3))</f>
        <v>0.4</v>
      </c>
    </row>
    <row r="19" spans="1:4">
      <c r="A19" s="117">
        <f t="shared" si="0"/>
        <v>16</v>
      </c>
      <c r="B19" s="3" t="str" cm="1">
        <f t="array" aca="1" ref="B19" ca="1">IF(A19&lt;=$B$28,INDIRECT("Data!" &amp; ADDRESS($A19+1,B$3)),"")</f>
        <v>TYSON FOODS INC</v>
      </c>
      <c r="C19" s="3" cm="1">
        <f t="array" aca="1" ref="C19" ca="1">INDIRECT("Data!" &amp; ADDRESS($A19+1,C$3))</f>
        <v>0.75555555555555554</v>
      </c>
      <c r="D19" s="3" cm="1">
        <f t="array" aca="1" ref="D19" ca="1">INDIRECT("Data!" &amp; ADDRESS($A19+1,D$3))</f>
        <v>0.2</v>
      </c>
    </row>
    <row r="20" spans="1:4">
      <c r="A20" s="117">
        <f t="shared" si="0"/>
        <v>17</v>
      </c>
      <c r="B20" s="3" t="str" cm="1">
        <f t="array" aca="1" ref="B20" ca="1">IF(A20&lt;=$B$28,INDIRECT("Data!" &amp; ADDRESS($A20+1,B$3)),"")</f>
        <v/>
      </c>
      <c r="C20" s="3" cm="1">
        <f t="array" aca="1" ref="C20" ca="1">INDIRECT("Data!" &amp; ADDRESS($A20+1,C$3))</f>
        <v>0</v>
      </c>
      <c r="D20" s="3" cm="1">
        <f t="array" aca="1" ref="D20" ca="1">INDIRECT("Data!" &amp; ADDRESS($A20+1,D$3))</f>
        <v>0</v>
      </c>
    </row>
    <row r="21" spans="1:4">
      <c r="A21" s="117">
        <f t="shared" si="0"/>
        <v>18</v>
      </c>
      <c r="B21" s="3" t="str" cm="1">
        <f t="array" aca="1" ref="B21" ca="1">IF(A21&lt;=$B$28,INDIRECT("Data!" &amp; ADDRESS($A21+1,B$3)),"")</f>
        <v/>
      </c>
      <c r="C21" s="3" cm="1">
        <f t="array" aca="1" ref="C21" ca="1">INDIRECT("Data!" &amp; ADDRESS($A21+1,C$3))</f>
        <v>0</v>
      </c>
      <c r="D21" s="3" cm="1">
        <f t="array" aca="1" ref="D21" ca="1">INDIRECT("Data!" &amp; ADDRESS($A21+1,D$3))</f>
        <v>0</v>
      </c>
    </row>
    <row r="22" spans="1:4">
      <c r="A22" s="117">
        <f t="shared" si="0"/>
        <v>19</v>
      </c>
      <c r="B22" s="3" t="str" cm="1">
        <f t="array" aca="1" ref="B22" ca="1">IF(A22&lt;=$B$28,INDIRECT("Data!" &amp; ADDRESS($A22+1,B$3)),"")</f>
        <v/>
      </c>
      <c r="C22" s="3" cm="1">
        <f t="array" aca="1" ref="C22" ca="1">INDIRECT("Data!" &amp; ADDRESS($A22+1,C$3))</f>
        <v>0</v>
      </c>
      <c r="D22" s="3" cm="1">
        <f t="array" aca="1" ref="D22" ca="1">INDIRECT("Data!" &amp; ADDRESS($A22+1,D$3))</f>
        <v>0</v>
      </c>
    </row>
    <row r="23" spans="1:4">
      <c r="A23" s="117">
        <f t="shared" si="0"/>
        <v>20</v>
      </c>
      <c r="B23" s="3" t="str" cm="1">
        <f t="array" aca="1" ref="B23" ca="1">IF(A23&lt;=$B$28,INDIRECT("Data!" &amp; ADDRESS($A23+1,B$3)),"")</f>
        <v/>
      </c>
      <c r="C23" s="3" cm="1">
        <f t="array" aca="1" ref="C23" ca="1">INDIRECT("Data!" &amp; ADDRESS($A23+1,C$3))</f>
        <v>0</v>
      </c>
      <c r="D23" s="3" cm="1">
        <f t="array" aca="1" ref="D23" ca="1">INDIRECT("Data!" &amp; ADDRESS($A23+1,D$3))</f>
        <v>0</v>
      </c>
    </row>
    <row r="25" spans="1:4">
      <c r="A25" s="3" t="s">
        <v>12</v>
      </c>
      <c r="B25" s="3">
        <v>220</v>
      </c>
    </row>
    <row r="26" spans="1:4">
      <c r="A26" s="3" t="s">
        <v>13</v>
      </c>
      <c r="B26" s="3">
        <v>165</v>
      </c>
      <c r="C26" s="3">
        <v>160</v>
      </c>
    </row>
    <row r="27" spans="1:4">
      <c r="A27" s="3" t="s">
        <v>41</v>
      </c>
      <c r="B27" s="3">
        <v>0.6</v>
      </c>
    </row>
    <row r="28" spans="1:4">
      <c r="A28" s="3" t="s">
        <v>239</v>
      </c>
      <c r="B28" s="3">
        <f>Data!B21</f>
        <v>16</v>
      </c>
    </row>
    <row r="38" spans="1:6">
      <c r="C38" s="4" t="s">
        <v>1</v>
      </c>
      <c r="D38" s="4" t="s">
        <v>0</v>
      </c>
    </row>
    <row r="39" spans="1:6">
      <c r="A39" s="120" t="str">
        <f>C2</f>
        <v>TURNOVERSCORE</v>
      </c>
      <c r="B39" s="3">
        <f>37 + MATCH(A39,BDNAMES2,0) - 1</f>
        <v>81</v>
      </c>
      <c r="C39" s="3" cm="1">
        <f t="array" aca="1" ref="C39" ca="1">VALUE(INDIRECT("Data!" &amp; ADDRESS($B39,7)))</f>
        <v>0.47407407407407409</v>
      </c>
      <c r="D39" s="3" cm="1">
        <f t="array" aca="1" ref="D39" ca="1">VALUE(INDIRECT("Data!" &amp; ADDRESS($B39,8)))</f>
        <v>0.57777777777777772</v>
      </c>
    </row>
    <row r="40" spans="1:6">
      <c r="A40" s="120" t="s">
        <v>367</v>
      </c>
      <c r="B40" s="3">
        <f>37 + MATCH(A40,BDNAMES2,0) - 1</f>
        <v>87</v>
      </c>
      <c r="C40" s="3" cm="1">
        <f t="array" aca="1" ref="C40" ca="1">VALUE(INDIRECT("Data!" &amp; ADDRESS($B40,7)))</f>
        <v>0.5</v>
      </c>
      <c r="D40" s="3" cm="1">
        <f t="array" aca="1" ref="D40" ca="1">VALUE(INDIRECT("Data!" &amp; ADDRESS($B40,8)))</f>
        <v>0.75</v>
      </c>
    </row>
    <row r="42" spans="1:6">
      <c r="C42" s="4" t="s">
        <v>447</v>
      </c>
      <c r="D42" s="4" t="s">
        <v>448</v>
      </c>
      <c r="E42" s="4" t="s">
        <v>449</v>
      </c>
      <c r="F42" s="4" t="s">
        <v>450</v>
      </c>
    </row>
    <row r="43" spans="1:6">
      <c r="A43" s="3" t="s">
        <v>451</v>
      </c>
      <c r="C43" s="3">
        <f ca="1">C39</f>
        <v>0.47407407407407409</v>
      </c>
      <c r="D43" s="3">
        <f ca="1">C43</f>
        <v>0.47407407407407409</v>
      </c>
      <c r="E43" s="3">
        <v>0</v>
      </c>
      <c r="F43" s="3">
        <v>1</v>
      </c>
    </row>
    <row r="44" spans="1:6">
      <c r="A44" s="3" t="s">
        <v>452</v>
      </c>
      <c r="C44" s="3">
        <f ca="1">D39</f>
        <v>0.57777777777777772</v>
      </c>
      <c r="D44" s="3">
        <f ca="1">C44</f>
        <v>0.57777777777777772</v>
      </c>
      <c r="E44" s="3">
        <v>0</v>
      </c>
      <c r="F44" s="3">
        <v>1</v>
      </c>
    </row>
    <row r="45" spans="1:6">
      <c r="A45" s="3" t="s">
        <v>453</v>
      </c>
      <c r="C45" s="3">
        <v>0</v>
      </c>
      <c r="D45" s="3">
        <v>1</v>
      </c>
      <c r="E45" s="3">
        <f ca="1">C40</f>
        <v>0.5</v>
      </c>
      <c r="F45" s="3">
        <f ca="1">E45</f>
        <v>0.5</v>
      </c>
    </row>
    <row r="46" spans="1:6">
      <c r="A46" s="3" t="s">
        <v>454</v>
      </c>
      <c r="C46" s="3">
        <v>0</v>
      </c>
      <c r="D46" s="3">
        <v>1</v>
      </c>
      <c r="E46" s="3">
        <f ca="1">D40</f>
        <v>0.75</v>
      </c>
      <c r="F46" s="3">
        <f ca="1">E46</f>
        <v>0.75</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ProcessTwoArrowPageDev">
                <anchor moveWithCells="1" sizeWithCells="1">
                  <from>
                    <xdr:col>17</xdr:col>
                    <xdr:colOff>485775</xdr:colOff>
                    <xdr:row>7</xdr:row>
                    <xdr:rowOff>123825</xdr:rowOff>
                  </from>
                  <to>
                    <xdr:col>19</xdr:col>
                    <xdr:colOff>323850</xdr:colOff>
                    <xdr:row>9</xdr:row>
                    <xdr:rowOff>95250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11C09-4615-462F-BF74-E2902232C183}">
  <sheetPr codeName="Sheet19"/>
  <dimension ref="A1:F31"/>
  <sheetViews>
    <sheetView workbookViewId="0">
      <selection activeCell="I29" sqref="I29"/>
    </sheetView>
  </sheetViews>
  <sheetFormatPr defaultRowHeight="11.25"/>
  <cols>
    <col min="1" max="16384" width="9.140625" style="3"/>
  </cols>
  <sheetData>
    <row r="1" spans="1:6">
      <c r="A1" s="4" t="s">
        <v>310</v>
      </c>
      <c r="B1" s="4" t="s">
        <v>37</v>
      </c>
      <c r="C1" s="4" t="s">
        <v>135</v>
      </c>
      <c r="D1" s="4" t="s">
        <v>136</v>
      </c>
      <c r="E1" s="4" t="s">
        <v>93</v>
      </c>
      <c r="F1" s="4" t="s">
        <v>311</v>
      </c>
    </row>
    <row r="2" spans="1:6">
      <c r="A2" s="3">
        <v>2015</v>
      </c>
      <c r="B2" s="41">
        <v>25.364363037573249</v>
      </c>
      <c r="C2" s="41">
        <v>58.024201319406401</v>
      </c>
      <c r="D2" s="41">
        <v>68.502609675530351</v>
      </c>
      <c r="E2" s="41">
        <v>28.627336701074849</v>
      </c>
      <c r="F2" s="3">
        <v>6</v>
      </c>
    </row>
    <row r="3" spans="1:6">
      <c r="A3" s="3">
        <v>2016</v>
      </c>
      <c r="B3" s="41">
        <v>25.364363037573249</v>
      </c>
      <c r="C3" s="41">
        <v>58.024201319406401</v>
      </c>
      <c r="D3" s="41">
        <v>68.502609675530351</v>
      </c>
      <c r="E3" s="41">
        <v>28.627336701074849</v>
      </c>
    </row>
    <row r="4" spans="1:6">
      <c r="A4" s="3">
        <v>2017</v>
      </c>
      <c r="B4" s="41">
        <v>25.364363037573249</v>
      </c>
      <c r="C4" s="41">
        <v>58.024201319406401</v>
      </c>
      <c r="D4" s="41">
        <v>68.502609675530351</v>
      </c>
      <c r="E4" s="41">
        <v>28.627336701074849</v>
      </c>
    </row>
    <row r="5" spans="1:6">
      <c r="A5" s="3">
        <v>2018</v>
      </c>
      <c r="B5" s="41">
        <v>25.364363037573249</v>
      </c>
      <c r="C5" s="41">
        <v>58.024201319406401</v>
      </c>
      <c r="D5" s="41">
        <v>68.502609675530351</v>
      </c>
      <c r="E5" s="41">
        <v>28.627336701074849</v>
      </c>
    </row>
    <row r="6" spans="1:6">
      <c r="A6" s="3">
        <v>2019</v>
      </c>
      <c r="B6" s="41">
        <v>25.364363037573249</v>
      </c>
      <c r="C6" s="41">
        <v>58.024201319406401</v>
      </c>
      <c r="D6" s="41">
        <v>68.502609675530351</v>
      </c>
      <c r="E6" s="41">
        <v>28.627336701074849</v>
      </c>
    </row>
    <row r="7" spans="1:6">
      <c r="A7" s="3">
        <v>2020</v>
      </c>
      <c r="B7" s="41">
        <v>25.364363037573249</v>
      </c>
      <c r="C7" s="41">
        <v>58.024201319406401</v>
      </c>
      <c r="D7" s="41">
        <v>68.502609675530351</v>
      </c>
      <c r="E7" s="41">
        <v>28.627336701074849</v>
      </c>
    </row>
    <row r="17" spans="1:2">
      <c r="A17" s="3" t="s">
        <v>312</v>
      </c>
      <c r="B17" s="3">
        <v>40</v>
      </c>
    </row>
    <row r="18" spans="1:2">
      <c r="A18" s="3" t="s">
        <v>313</v>
      </c>
      <c r="B18" s="3">
        <v>130</v>
      </c>
    </row>
    <row r="19" spans="1:2">
      <c r="A19" s="3" t="s">
        <v>41</v>
      </c>
      <c r="B19" s="90">
        <v>1</v>
      </c>
    </row>
    <row r="21" spans="1:2">
      <c r="A21" s="3" t="s">
        <v>314</v>
      </c>
      <c r="B21" s="3">
        <v>440</v>
      </c>
    </row>
    <row r="22" spans="1:2">
      <c r="A22" s="3" t="s">
        <v>315</v>
      </c>
      <c r="B22" s="3">
        <f>B18</f>
        <v>130</v>
      </c>
    </row>
    <row r="23" spans="1:2">
      <c r="A23" s="3" t="s">
        <v>41</v>
      </c>
      <c r="B23" s="90">
        <v>1</v>
      </c>
    </row>
    <row r="25" spans="1:2">
      <c r="A25" s="3" t="s">
        <v>316</v>
      </c>
      <c r="B25" s="3">
        <f>B17</f>
        <v>40</v>
      </c>
    </row>
    <row r="26" spans="1:2">
      <c r="A26" s="3" t="s">
        <v>317</v>
      </c>
      <c r="B26" s="3">
        <v>370</v>
      </c>
    </row>
    <row r="27" spans="1:2">
      <c r="A27" s="3" t="s">
        <v>41</v>
      </c>
      <c r="B27" s="90">
        <v>1</v>
      </c>
    </row>
    <row r="29" spans="1:2">
      <c r="A29" s="3" t="s">
        <v>318</v>
      </c>
      <c r="B29" s="3">
        <f>B21</f>
        <v>440</v>
      </c>
    </row>
    <row r="30" spans="1:2">
      <c r="A30" s="3" t="s">
        <v>319</v>
      </c>
      <c r="B30" s="3">
        <v>370</v>
      </c>
    </row>
    <row r="31" spans="1:2">
      <c r="A31" s="3" t="s">
        <v>41</v>
      </c>
      <c r="B31" s="90">
        <v>1</v>
      </c>
    </row>
  </sheetData>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FormatTrendingPage2">
                <anchor moveWithCells="1" sizeWithCells="1">
                  <from>
                    <xdr:col>14</xdr:col>
                    <xdr:colOff>9525</xdr:colOff>
                    <xdr:row>1</xdr:row>
                    <xdr:rowOff>19050</xdr:rowOff>
                  </from>
                  <to>
                    <xdr:col>15</xdr:col>
                    <xdr:colOff>457200</xdr:colOff>
                    <xdr:row>2</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97AFA-9B2E-44BB-B3ED-3DC0F92B929A}">
  <sheetPr codeName="Sheet1"/>
  <dimension ref="A1"/>
  <sheetViews>
    <sheetView workbookViewId="0">
      <selection activeCell="U32" sqref="U32"/>
    </sheetView>
  </sheetViews>
  <sheetFormatPr defaultRowHeight="1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7"/>
  <sheetViews>
    <sheetView workbookViewId="0">
      <selection activeCell="K12" sqref="K12:O15"/>
    </sheetView>
  </sheetViews>
  <sheetFormatPr defaultRowHeight="15"/>
  <cols>
    <col min="11" max="11" width="24.140625" bestFit="1" customWidth="1"/>
    <col min="12" max="12" width="14" bestFit="1" customWidth="1"/>
    <col min="13" max="13" width="9.5703125" bestFit="1" customWidth="1"/>
    <col min="14" max="14" width="19" bestFit="1" customWidth="1"/>
    <col min="15" max="15" width="14.42578125" bestFit="1" customWidth="1"/>
  </cols>
  <sheetData>
    <row r="1" spans="1:15">
      <c r="A1" s="2" t="s">
        <v>22</v>
      </c>
      <c r="B1" s="1" t="s">
        <v>23</v>
      </c>
      <c r="K1" t="e">
        <f>#REF!</f>
        <v>#REF!</v>
      </c>
      <c r="L1" t="e">
        <f>#REF!</f>
        <v>#REF!</v>
      </c>
      <c r="M1" t="e">
        <f>#REF!</f>
        <v>#REF!</v>
      </c>
      <c r="N1" t="e">
        <f>#REF!</f>
        <v>#REF!</v>
      </c>
      <c r="O1" t="e">
        <f>#REF!</f>
        <v>#REF!</v>
      </c>
    </row>
    <row r="2" spans="1:15">
      <c r="K2" t="e">
        <f>IF(#REF!="","",#REF!)</f>
        <v>#REF!</v>
      </c>
      <c r="L2" t="e">
        <f>IF(#REF!="","",#REF!)</f>
        <v>#REF!</v>
      </c>
      <c r="M2" t="e">
        <f>IF(#REF!="","",#REF!)</f>
        <v>#REF!</v>
      </c>
      <c r="N2" t="e">
        <f>IF(#REF!="","",#REF!)</f>
        <v>#REF!</v>
      </c>
      <c r="O2" t="e">
        <f>IF(#REF!="","",#REF!)</f>
        <v>#REF!</v>
      </c>
    </row>
    <row r="3" spans="1:15">
      <c r="K3" t="e">
        <f>IF(#REF!="","",#REF!)</f>
        <v>#REF!</v>
      </c>
      <c r="L3" t="e">
        <f>IF(#REF!="","",#REF!)</f>
        <v>#REF!</v>
      </c>
      <c r="M3" t="e">
        <f>IF(#REF!="","",#REF!)</f>
        <v>#REF!</v>
      </c>
      <c r="N3" t="e">
        <f>IF(#REF!="","",#REF!)</f>
        <v>#REF!</v>
      </c>
      <c r="O3" t="e">
        <f>IF(#REF!="","",#REF!)</f>
        <v>#REF!</v>
      </c>
    </row>
    <row r="4" spans="1:15">
      <c r="K4" t="e">
        <f>IF(#REF!="","",#REF!)</f>
        <v>#REF!</v>
      </c>
      <c r="L4" t="e">
        <f>IF(#REF!="","",#REF!)</f>
        <v>#REF!</v>
      </c>
    </row>
    <row r="12" spans="1:15">
      <c r="K12" t="s">
        <v>20</v>
      </c>
      <c r="L12" t="s">
        <v>24</v>
      </c>
      <c r="M12" t="s">
        <v>25</v>
      </c>
      <c r="N12" t="s">
        <v>26</v>
      </c>
      <c r="O12" t="s">
        <v>27</v>
      </c>
    </row>
    <row r="13" spans="1:15">
      <c r="A13" s="1"/>
      <c r="B13" s="1"/>
      <c r="K13" t="s">
        <v>28</v>
      </c>
      <c r="L13" t="s">
        <v>29</v>
      </c>
      <c r="M13" t="s">
        <v>30</v>
      </c>
      <c r="N13" t="s">
        <v>31</v>
      </c>
      <c r="O13" t="s">
        <v>32</v>
      </c>
    </row>
    <row r="14" spans="1:15">
      <c r="A14" s="1"/>
      <c r="B14" s="1"/>
      <c r="K14" t="s">
        <v>21</v>
      </c>
      <c r="L14" t="s">
        <v>33</v>
      </c>
      <c r="M14" t="s">
        <v>19</v>
      </c>
      <c r="N14" t="s">
        <v>19</v>
      </c>
      <c r="O14" t="s">
        <v>19</v>
      </c>
    </row>
    <row r="15" spans="1:15">
      <c r="A15" s="1"/>
      <c r="B15" s="1"/>
      <c r="K15" t="s">
        <v>19</v>
      </c>
      <c r="L15" t="s">
        <v>19</v>
      </c>
    </row>
    <row r="16" spans="1:15">
      <c r="A16" s="1"/>
      <c r="B16" s="1"/>
    </row>
    <row r="17" spans="1:2">
      <c r="A17" s="1"/>
      <c r="B17"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36</vt:i4>
      </vt:variant>
    </vt:vector>
  </HeadingPairs>
  <TitlesOfParts>
    <vt:vector size="60" baseType="lpstr">
      <vt:lpstr>Export PPT</vt:lpstr>
      <vt:lpstr>Data</vt:lpstr>
      <vt:lpstr>Phrases</vt:lpstr>
      <vt:lpstr>ExecutiveSummaryFirstPage</vt:lpstr>
      <vt:lpstr>CashConversionByIndustryPage</vt:lpstr>
      <vt:lpstr>PeerOverviewPage</vt:lpstr>
      <vt:lpstr>PeerDemographicsPage</vt:lpstr>
      <vt:lpstr>CccPage</vt:lpstr>
      <vt:lpstr>DsoPage</vt:lpstr>
      <vt:lpstr>DioPage</vt:lpstr>
      <vt:lpstr>DpoPage</vt:lpstr>
      <vt:lpstr>BenefitSummaryPage</vt:lpstr>
      <vt:lpstr>TwoArrowPage</vt:lpstr>
      <vt:lpstr>LiquidityDriversPage</vt:lpstr>
      <vt:lpstr>LiquidityTwoArrowPage</vt:lpstr>
      <vt:lpstr>ProfitabilityDriversPage</vt:lpstr>
      <vt:lpstr>ProfitabilityTwoArrowPage</vt:lpstr>
      <vt:lpstr>LeverageDriversPage</vt:lpstr>
      <vt:lpstr>LeverageTwoArrowPage</vt:lpstr>
      <vt:lpstr>TurnoverDriversPage</vt:lpstr>
      <vt:lpstr>TurnoverTwoArrowPage</vt:lpstr>
      <vt:lpstr>TrendingPage</vt:lpstr>
      <vt:lpstr>AssumptionsPage</vt:lpstr>
      <vt:lpstr>Temp</vt:lpstr>
      <vt:lpstr>BDNAMES1</vt:lpstr>
      <vt:lpstr>BDNAMES2</vt:lpstr>
      <vt:lpstr>BenefitSummaryPage_CCC</vt:lpstr>
      <vt:lpstr>CCCOpportunity</vt:lpstr>
      <vt:lpstr>CccPage_CCC</vt:lpstr>
      <vt:lpstr>CompanyCount</vt:lpstr>
      <vt:lpstr>DioOpportunity</vt:lpstr>
      <vt:lpstr>DioPage_DIO</vt:lpstr>
      <vt:lpstr>DIOUQ_AY71</vt:lpstr>
      <vt:lpstr>DpoOpportunity</vt:lpstr>
      <vt:lpstr>DpoPage_DPO</vt:lpstr>
      <vt:lpstr>DPOUQ_AZ73</vt:lpstr>
      <vt:lpstr>DsoOpportunity</vt:lpstr>
      <vt:lpstr>DsoPage_DSO</vt:lpstr>
      <vt:lpstr>DSOUQ_AX71</vt:lpstr>
      <vt:lpstr>eStart</vt:lpstr>
      <vt:lpstr>ExecutiveSummaryFirstPage_CCC</vt:lpstr>
      <vt:lpstr>ExecutiveSummaryFirstPage_Drivers</vt:lpstr>
      <vt:lpstr>FirstCompanyDataRow</vt:lpstr>
      <vt:lpstr>LeverageDriversPage_DebttoEquityRatio</vt:lpstr>
      <vt:lpstr>LeverageDriversPage_FinancialLeverageMultiplier</vt:lpstr>
      <vt:lpstr>LeverageDriversPage_LeverageScore</vt:lpstr>
      <vt:lpstr>LiquidityDriversPage_CashRatio</vt:lpstr>
      <vt:lpstr>LiquidityDriversPage_CurrentRatio</vt:lpstr>
      <vt:lpstr>LiquidityDriversPage_LiquidityScore</vt:lpstr>
      <vt:lpstr>LiquidityDriversPage_WCTA</vt:lpstr>
      <vt:lpstr>LiquidityScore</vt:lpstr>
      <vt:lpstr>ProfitabilityDriversPage_ProfitabilityScore</vt:lpstr>
      <vt:lpstr>ProfitabilityDriversPage_ROA</vt:lpstr>
      <vt:lpstr>ProfitabilityDriversPage_SGAMargin</vt:lpstr>
      <vt:lpstr>SKCOLNAMES</vt:lpstr>
      <vt:lpstr>TurnoverDriversPage_EquityTurnover</vt:lpstr>
      <vt:lpstr>TurnoverDriversPage_InventoryTurnover</vt:lpstr>
      <vt:lpstr>TurnoverDriversPage_ReceivableTurnover</vt:lpstr>
      <vt:lpstr>TurnoverDriversPage_SalestoWorkingCapital</vt:lpstr>
      <vt:lpstr>TurnoverDriversPage_TotalAssetsTurnover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SKhanvilkar</dc:creator>
  <cp:lastModifiedBy>Rick Summers</cp:lastModifiedBy>
  <dcterms:created xsi:type="dcterms:W3CDTF">2018-12-18T04:04:18Z</dcterms:created>
  <dcterms:modified xsi:type="dcterms:W3CDTF">2024-04-29T20:14:21Z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ackup">
    <vt:i4>0</vt:i4>
  </property>
  <property fmtid="{D5CDD505-2E9C-101B-9397-08002B2CF9AE}" pid="3" name="WorkbookGuid">
    <vt:lpwstr>0303e972-1d55-44d1-a2e1-fb80832cf85a</vt:lpwstr>
  </property>
</Properties>
</file>